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oliveira\Downloads\"/>
    </mc:Choice>
  </mc:AlternateContent>
  <xr:revisionPtr revIDLastSave="0" documentId="13_ncr:1_{98670286-6C13-48DA-A475-EF186774DB9A}" xr6:coauthVersionLast="47" xr6:coauthVersionMax="47" xr10:uidLastSave="{00000000-0000-0000-0000-000000000000}"/>
  <bookViews>
    <workbookView xWindow="-108" yWindow="-108" windowWidth="23256" windowHeight="12456" firstSheet="1" activeTab="1" xr2:uid="{69C99051-97B0-45AC-925F-EEE306A76DC4}"/>
  </bookViews>
  <sheets>
    <sheet name="disque100-primeiro-semestre-202" sheetId="2" state="hidden" r:id="rId1"/>
    <sheet name="BOXSPLOT" sheetId="7" r:id="rId2"/>
    <sheet name="Exploração de dados" sheetId="8" r:id="rId3"/>
    <sheet name="Vitimas x orientação religiosa" sheetId="13" r:id="rId4"/>
    <sheet name="Evolução das denuncias" sheetId="14" r:id="rId5"/>
    <sheet name="Densidade de denuncias por UF" sheetId="15" r:id="rId6"/>
    <sheet name="Vitimas e Suspeitos" sheetId="16" r:id="rId7"/>
    <sheet name="Tipos de violação" sheetId="17" r:id="rId8"/>
  </sheets>
  <definedNames>
    <definedName name="_xlnm._FilterDatabase" localSheetId="1" hidden="1">BOXSPLOT!$D$4:$E$4</definedName>
    <definedName name="_xlnm._FilterDatabase" localSheetId="2" hidden="1">'Exploração de dados'!$J$2:$O$2</definedName>
    <definedName name="_xlchart.v1.0" hidden="1">BOXSPLOT!#REF!</definedName>
    <definedName name="_xlchart.v1.1" hidden="1">BOXSPLOT!#REF!</definedName>
    <definedName name="_xlchart.v1.2" hidden="1">BOXSPLOT!#REF!</definedName>
    <definedName name="_xlchart.v1.3" hidden="1">BOXSPLOT!$H$5:$H$9</definedName>
    <definedName name="_xlchart.v1.4" hidden="1">BOXSPLOT!$E$5:$E$145</definedName>
    <definedName name="_xlchart.v1.5" hidden="1">BOXSPLOT!$E$38:$E$178</definedName>
    <definedName name="_xlchart.v5.10" hidden="1">'Densidade de denuncias por UF'!$B$31:$B$54</definedName>
    <definedName name="_xlchart.v5.6" hidden="1">'Densidade de denuncias por UF'!$A$30</definedName>
    <definedName name="_xlchart.v5.7" hidden="1">'Densidade de denuncias por UF'!$A$31:$A$54</definedName>
    <definedName name="_xlchart.v5.8" hidden="1">'Densidade de denuncias por UF'!$B$29</definedName>
    <definedName name="_xlchart.v5.9" hidden="1">'Densidade de denuncias por UF'!$B$30</definedName>
    <definedName name="DadosExternos_1" localSheetId="0" hidden="1">'disque100-primeiro-semestre-202'!$A$1:$W$1279</definedName>
  </definedNames>
  <calcPr calcId="191029"/>
  <pivotCaches>
    <pivotCache cacheId="18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7" l="1"/>
  <c r="H9" i="7"/>
  <c r="H8" i="7"/>
  <c r="H7" i="7"/>
  <c r="H5" i="7"/>
  <c r="R6" i="8"/>
  <c r="S6" i="8"/>
  <c r="T6" i="8"/>
  <c r="U6" i="8"/>
  <c r="V6" i="8"/>
  <c r="Q6" i="8"/>
  <c r="R5" i="8"/>
  <c r="S5" i="8"/>
  <c r="T5" i="8"/>
  <c r="U5" i="8"/>
  <c r="V5" i="8"/>
  <c r="Q5" i="8"/>
  <c r="R4" i="8"/>
  <c r="S4" i="8"/>
  <c r="T4" i="8"/>
  <c r="U4" i="8"/>
  <c r="V4" i="8"/>
  <c r="Q4" i="8"/>
  <c r="R3" i="8"/>
  <c r="S3" i="8"/>
  <c r="T3" i="8"/>
  <c r="U3" i="8"/>
  <c r="V3" i="8"/>
  <c r="Q3" i="8"/>
  <c r="S2" i="8"/>
  <c r="T2" i="8"/>
  <c r="U2" i="8"/>
  <c r="V2" i="8"/>
  <c r="R2" i="8"/>
  <c r="Q2" i="8"/>
  <c r="C19" i="13"/>
  <c r="C20" i="13"/>
  <c r="C21" i="13"/>
  <c r="C22" i="13"/>
  <c r="C23" i="13"/>
  <c r="C24" i="13"/>
  <c r="C25" i="13"/>
  <c r="C26" i="13"/>
  <c r="C18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92CDBA-A0EE-42B9-AA60-7E29CC923D19}" keepAlive="1" name="Consulta - disque100-primeiro-semestre-2025 (1)" description="Conexão com a consulta 'disque100-primeiro-semestre-2025 (1)' na pasta de trabalho." type="5" refreshedVersion="8" background="1" saveData="1">
    <dbPr connection="Provider=Microsoft.Mashup.OleDb.1;Data Source=$Workbook$;Location=&quot;disque100-primeiro-semestre-2025 (1)&quot;;Extended Properties=&quot;&quot;" command="SELECT * FROM [disque100-primeiro-semestre-2025 (1)]"/>
  </connection>
</connections>
</file>

<file path=xl/sharedStrings.xml><?xml version="1.0" encoding="utf-8"?>
<sst xmlns="http://schemas.openxmlformats.org/spreadsheetml/2006/main" count="28773" uniqueCount="800">
  <si>
    <t>Data_de_cadastro</t>
  </si>
  <si>
    <t>Cenário_da_violação</t>
  </si>
  <si>
    <t>UF</t>
  </si>
  <si>
    <t>Início_das_violações</t>
  </si>
  <si>
    <t>Grupo_vulnerável</t>
  </si>
  <si>
    <t>Relação_vítima_suspeito</t>
  </si>
  <si>
    <t>Genero_da_vítima</t>
  </si>
  <si>
    <t>Faixa_etária_da_vítima</t>
  </si>
  <si>
    <t>UF_da_vítima</t>
  </si>
  <si>
    <t>Grau_de_instrução_da_vítima</t>
  </si>
  <si>
    <t>Religião_da_vítima</t>
  </si>
  <si>
    <t>Raça_Cor_da_vítima</t>
  </si>
  <si>
    <t>Etnia_da_vítima</t>
  </si>
  <si>
    <t>Genero_do_suspeito</t>
  </si>
  <si>
    <t>Faixa_etária_do_suspeito</t>
  </si>
  <si>
    <t>Suspeito_preso</t>
  </si>
  <si>
    <t>UF_do_suspeito</t>
  </si>
  <si>
    <t>Religião_do_suspeito</t>
  </si>
  <si>
    <t>Raça_Cor_do_suspeito</t>
  </si>
  <si>
    <t>sl_suspeito_ramo</t>
  </si>
  <si>
    <t>violacao</t>
  </si>
  <si>
    <t>CASA ONDE RESIDE A VÍTIMA E O SUSPEITO</t>
  </si>
  <si>
    <t>SP</t>
  </si>
  <si>
    <t>HÁ UM MÊS</t>
  </si>
  <si>
    <t>VIOLÊNCIA CONTRA CIDADÃO, FAMÍLIA OU COMUNIDADE</t>
  </si>
  <si>
    <t>MÃE</t>
  </si>
  <si>
    <t>MASCULINO</t>
  </si>
  <si>
    <t>30 A 34 ANOS</t>
  </si>
  <si>
    <t>NULL</t>
  </si>
  <si>
    <t>PARDA</t>
  </si>
  <si>
    <t>FEMININO</t>
  </si>
  <si>
    <t>NÃO</t>
  </si>
  <si>
    <t>BRANCA</t>
  </si>
  <si>
    <t>CASA DA VÍTIMA</t>
  </si>
  <si>
    <t>PB</t>
  </si>
  <si>
    <t>HÁ MAIS DE UM ANO</t>
  </si>
  <si>
    <t>IRMÃO(Ã)</t>
  </si>
  <si>
    <t>45 A 49 ANOS</t>
  </si>
  <si>
    <t>35 A 39 ANOS</t>
  </si>
  <si>
    <t>CASA DO SUSPEITO</t>
  </si>
  <si>
    <t>MG</t>
  </si>
  <si>
    <t>HÁ MAIS DE CINCO ANOS</t>
  </si>
  <si>
    <t>25 A 29 ANOS</t>
  </si>
  <si>
    <t>RJ</t>
  </si>
  <si>
    <t>HÁ MAIS DE DEZ ANOS</t>
  </si>
  <si>
    <t>50 A 54 ANOS</t>
  </si>
  <si>
    <t>NÃO SABE INFORMAR</t>
  </si>
  <si>
    <t>EMPREGADOR/PATRÃO (HIERARQUICAMENTE SUPERIOR)</t>
  </si>
  <si>
    <t>NÃO INFORMADO</t>
  </si>
  <si>
    <t>DENUNCIANTE NÃO SOUBE INFORMAR</t>
  </si>
  <si>
    <t>CE</t>
  </si>
  <si>
    <t>DIRETOR(A) DE UNIDADE PRISIONAL</t>
  </si>
  <si>
    <t>40 A 44 ANOS</t>
  </si>
  <si>
    <t>ENSINO FUNDAMENTAL INCOMPLETO</t>
  </si>
  <si>
    <t>AGNÓSTICO/ATEU/SEM RELIGIÃO</t>
  </si>
  <si>
    <t>PRETA</t>
  </si>
  <si>
    <t>SEGURANÇA PÚBLICA, FORÇAS ARMADAS, DEFESA CIVIL, BOMBEIROS E ASSEMELHADOS ? MUNICIPAL</t>
  </si>
  <si>
    <t>LOCAL DE TRABALHO DA VÍTIMA</t>
  </si>
  <si>
    <t>20 A 24 ANOS</t>
  </si>
  <si>
    <t>OUTRAS ATIVIDADES DE SERVIÇOS</t>
  </si>
  <si>
    <t>BA</t>
  </si>
  <si>
    <t>OUTROS</t>
  </si>
  <si>
    <t>LOCAL DE TRABALHO DO AGRESSOR</t>
  </si>
  <si>
    <t>DEMAIS COMUNIDADES TRADICIONAIS</t>
  </si>
  <si>
    <t>HÁ MAIS DE SEIS MESES</t>
  </si>
  <si>
    <t>ESPOSA(O)</t>
  </si>
  <si>
    <t>55 A 59 ANOS</t>
  </si>
  <si>
    <t>AM</t>
  </si>
  <si>
    <t>NÃO SE APLICA</t>
  </si>
  <si>
    <t>VIZINHO(A)</t>
  </si>
  <si>
    <t>RS</t>
  </si>
  <si>
    <t>LÍDER RELIGIOSO(A)</t>
  </si>
  <si>
    <t>EX-COMPANHEIRO(A)</t>
  </si>
  <si>
    <t>HÁ UMA SEMANA</t>
  </si>
  <si>
    <t>PODER EXECUTIVO EM GERAL ? ESTADUAL/DISTRITO FEDERAL</t>
  </si>
  <si>
    <t>PI</t>
  </si>
  <si>
    <t>ENSINO MÉDIO COMPLETO</t>
  </si>
  <si>
    <t>AGÊNCIA REGULADORA ? MUNICIPAL</t>
  </si>
  <si>
    <t>PE</t>
  </si>
  <si>
    <t>TO</t>
  </si>
  <si>
    <t>ANALFABETO/SEM INSTRUÇÃO</t>
  </si>
  <si>
    <t>DF</t>
  </si>
  <si>
    <t>LIBERDADE&gt;DE RELIGIÃO ou CRENÇA&gt;DE CRENÇA</t>
  </si>
  <si>
    <t>GO</t>
  </si>
  <si>
    <t>AMBIENTE VIRTUAL (NO ÂMBITO DA INTERNET)</t>
  </si>
  <si>
    <t>CUNHADO(A)</t>
  </si>
  <si>
    <t>FUNCIONÁRIO, VOLUNTÁRIO OU PRESTADOR DE SERVIÇO PARA INSTITUIÇÃO</t>
  </si>
  <si>
    <t>SEGURANÇA PÚBLICA, FORÇAS ARMADAS, DEFESA CIVIL, BOMBEIROS E ASSEMELHADOS ? ESTADUAL/DISTRITO FEDERAL</t>
  </si>
  <si>
    <t>ATENDIMENTO INTERROMPIDO</t>
  </si>
  <si>
    <t>PODER EXECUTIVO EM GERAL ? FEDERAL</t>
  </si>
  <si>
    <t>ESTABELECIMENTO DE SAÚDE</t>
  </si>
  <si>
    <t>MS</t>
  </si>
  <si>
    <t>MA</t>
  </si>
  <si>
    <t>SC</t>
  </si>
  <si>
    <t>PODER EXECUTIVO EM GERAL - MUNICIPAL</t>
  </si>
  <si>
    <t>PR</t>
  </si>
  <si>
    <t>SE</t>
  </si>
  <si>
    <t>DESCONHECIDO(A)</t>
  </si>
  <si>
    <t>PRESTADOR(A) DE SERVIÇO</t>
  </si>
  <si>
    <t>INFORMAÇÃO E COMUNICAÇÃO</t>
  </si>
  <si>
    <t>18 A 19 ANOS</t>
  </si>
  <si>
    <t>TIO(A)</t>
  </si>
  <si>
    <t>ENSINO MÉDIO INCOMPLETO</t>
  </si>
  <si>
    <t>ESPÍRITA</t>
  </si>
  <si>
    <t>COLEGA DE TRABALHO (MESMO NÍVEL HIERÁRQUICO)</t>
  </si>
  <si>
    <t>AL</t>
  </si>
  <si>
    <t>SUPERIOR INCOMPLETO</t>
  </si>
  <si>
    <t>DIRETOR/GESTOR DE INSTITUIÇÃO</t>
  </si>
  <si>
    <t>16 ANOS</t>
  </si>
  <si>
    <t>TRANSPORTE, ARMAZENAGEM E CORREIO</t>
  </si>
  <si>
    <t>OUTROS FAMILIARES</t>
  </si>
  <si>
    <t>PAI</t>
  </si>
  <si>
    <t>PROFISSIONAL DE SAÚDE</t>
  </si>
  <si>
    <t>RO</t>
  </si>
  <si>
    <t>PRIMO(A)</t>
  </si>
  <si>
    <t>ENSINO FUNDAMENTAL COMPLETO</t>
  </si>
  <si>
    <t>AGÊNCIA REGULADORA ? ESTADUAL/DISTRITO FEDERAL</t>
  </si>
  <si>
    <t>RN</t>
  </si>
  <si>
    <t>SAÚDE HUMANA E SERVIÇOS SOCIAIS</t>
  </si>
  <si>
    <t>SEGURANÇA PÚBLICA, FORÇAS ARMADAS, DEFESA CIVIL, BOMBEIROS E ASSEMELHADOS ? FEDERAL</t>
  </si>
  <si>
    <t>SUPERIOR COMPLETO</t>
  </si>
  <si>
    <t>EDUCAÇÃO</t>
  </si>
  <si>
    <t>ES</t>
  </si>
  <si>
    <t>PODER LEGISLATIVO ? MUNICIPAL</t>
  </si>
  <si>
    <t>INDÚSTRIAS DE TRANSFORMAÇÃO</t>
  </si>
  <si>
    <t>PA</t>
  </si>
  <si>
    <t>COMÉRCIO, REPARAÇÃO DE VEÍCULOS AUTOMOTORES E MOTOCICLETAS</t>
  </si>
  <si>
    <t>ALOJAMENTO E ALIMENTAÇÃO</t>
  </si>
  <si>
    <t>EVANGÉLICA</t>
  </si>
  <si>
    <t>INDÍGENA</t>
  </si>
  <si>
    <t>DEFENSORIA PÚBLICA - ESTADUAL</t>
  </si>
  <si>
    <t>MINISTÉRIO PÚBLICO - ESTADUAL</t>
  </si>
  <si>
    <t>EX-ESPOSA(O)</t>
  </si>
  <si>
    <t>PÓS-GRADUAÇÃO</t>
  </si>
  <si>
    <t>SOBRINHO(A)</t>
  </si>
  <si>
    <t>DIRETOR(A) DE ESCOLA</t>
  </si>
  <si>
    <t>ATIVIDADES FINANCEIRAS, DE SEGUROS E SERVIÇOS RELACIONADOS</t>
  </si>
  <si>
    <t>LIBERDADE&gt;DE RELIGIÃO ou CRENÇA&gt;NÃO CRENÇA</t>
  </si>
  <si>
    <t>17 ANOS</t>
  </si>
  <si>
    <t>SERVIÇOS DOMÉSTICOS</t>
  </si>
  <si>
    <t>AVÔ(Ó)</t>
  </si>
  <si>
    <t>MESTRADO</t>
  </si>
  <si>
    <t>AMARELA</t>
  </si>
  <si>
    <t>PREVENTIVA</t>
  </si>
  <si>
    <t>EVENTO PÚBLICO</t>
  </si>
  <si>
    <t>EMPREGADO (HIERARQUICAMENTE INFERIOR)</t>
  </si>
  <si>
    <t>LIBERDADE&gt;DE RELIGIÃO ou CRENÇA&gt;DE CULTO</t>
  </si>
  <si>
    <t>SOGRO(A)</t>
  </si>
  <si>
    <t>INTERSEXO</t>
  </si>
  <si>
    <t>AGÊNCIA REGULADORA ? FEDERAL</t>
  </si>
  <si>
    <t>MINISTÉRIO PÚBLICO - FEDERAL</t>
  </si>
  <si>
    <t>NÃO DETERMINADA E MULTIPLO PERTENCIMENTO</t>
  </si>
  <si>
    <t>UMBANDA E CANDOMBLÉ</t>
  </si>
  <si>
    <t>JUDAÍSMO</t>
  </si>
  <si>
    <t>OUTRAS RELIGIOSIDADES CRISTÃS</t>
  </si>
  <si>
    <t>NAMORADO(A)</t>
  </si>
  <si>
    <t>PROFESSOR(A)</t>
  </si>
  <si>
    <t>OUTRAS RELIGIOSIDADES</t>
  </si>
  <si>
    <t>POVOS CIGANOS</t>
  </si>
  <si>
    <t>COMUNIDADES DE TERREIROS E MATRIZ AFRICANA</t>
  </si>
  <si>
    <t>hash</t>
  </si>
  <si>
    <t>DB856AF5D5D4162C7529D18ED6CB4460DF45859311F02D50BFDF069F75F6F33D</t>
  </si>
  <si>
    <t>7F34F1FB099D8957BC2713E9DAA625495BA9A56CC52ADAD5106284E40D51E1DD</t>
  </si>
  <si>
    <t>FDBF8BF6206929A29013C04B20E72FC6E41ADCE21706424868D83128B9F79E9E</t>
  </si>
  <si>
    <t>B23FF7DFFE4AE12ED69833D76869EBB884A7C859B9062B54837C3EA943238464</t>
  </si>
  <si>
    <t>6F0E10261FE871F34E880C90947BB0B31D68F6A40469320FA8CFC5B02D411B8D</t>
  </si>
  <si>
    <t>4C84D676B07A50B642471AF20E306E63F4278C3EEC7FBA172E2A6483F07BCC2D</t>
  </si>
  <si>
    <t>8F76BFE890D916EB4DAB76AD708F9BAEDD2294B9F68CEC286797270A1D1B24DF</t>
  </si>
  <si>
    <t>35551411202D5882519B4491B33AFD767718DFF00B195F5CC774D3E6D0CE3373</t>
  </si>
  <si>
    <t>9A241FA8033F47B1D07A8E03C3B246BBE725C59BB4B1AEE6EDBE582EB0DD9232</t>
  </si>
  <si>
    <t>B54B7763BD22802BF638E450A8181F7381CE89ED868BBC6E8144A1BC30AD7698</t>
  </si>
  <si>
    <t>421ED8D037D37B4A5C8677FF52F788841F822C5082CA715A40339EF43AB44B2E</t>
  </si>
  <si>
    <t>0C094294E76A944A727DE891D67AF73F0F7E4C2E6F7AFDA8E79746033793EBE3</t>
  </si>
  <si>
    <t>A5B718E8AA173B43EA07633AD2A72E044D10F9FB01CAF078E8C348C546DFAD30</t>
  </si>
  <si>
    <t>76A593D88F299BC5A94A685B0B4762E98B386BF88B979F346F49F705D4F2D99D</t>
  </si>
  <si>
    <t>5CBE0B701E2215C145674FB38ECBB8D6A103BAEAE4728557CC0ED94804B4949E</t>
  </si>
  <si>
    <t>FBD7D0133C427F56FBA45D92A45ED76A6D6E4D23F5A674DB29118C927B079D31</t>
  </si>
  <si>
    <t>F3AF44C1660C8BAFA54642872AB2BEEED5E3313C9871A41E1B93612C117514E0</t>
  </si>
  <si>
    <t>F738CED08D42CF4AFBB9A8399808B7A1169846CA34819258C95F672DEE8256AC</t>
  </si>
  <si>
    <t>0FB849FB818153236FE7D274EF4F8F40EE9CE705167ABE622E5A35110C48DF6E</t>
  </si>
  <si>
    <t>788EC03DC583CC024E23A1AC83C1EB8CC0DFBBEFCF674172BBB1219E15D44EE0</t>
  </si>
  <si>
    <t>21D71F4C14093952BC92D20423A34F92878DD157A76F2244F1AC5BC095385E28</t>
  </si>
  <si>
    <t>773A0AAAE486FEFBB75F60C51CAE5F528BE46034E8EF9513C0EC36FBD0B30B95</t>
  </si>
  <si>
    <t>4BDCE2CD60FC8E00BC0AC0EC2ACA1A7DABBA99671047BB25AB810FB2C20D62E6</t>
  </si>
  <si>
    <t>6D19A2940D19A410BF6E5D29513A10AE8E62F5E154EF694E23D7B68F2A620726</t>
  </si>
  <si>
    <t>8FE85A064B1761358E1972AE637A2ED895FAB127A38495962FA480BE18E711DB</t>
  </si>
  <si>
    <t>795FD9598A5C25A9A94E3721B880B095CAC42FA465246D24AC168F812739E548</t>
  </si>
  <si>
    <t>9A96F812C8AB244F317BC47C95FC0A65C3086C96D18D3161477EBF2FC2C84CC1</t>
  </si>
  <si>
    <t>DF61D89FB04901BBFE871D94981741ED83CB766DE6B4C72C1857B98930B97F42</t>
  </si>
  <si>
    <t>906F92CE1682BED8B0CAC6038A0AF04AF5AA2CD5AD30A2569BF86BE520ACAD52</t>
  </si>
  <si>
    <t>B78C94F9E63340CB5F68A26104C036A654DC4414176ABEB8BD645168DB926DAA</t>
  </si>
  <si>
    <t>7B9007ECDA0F1777C54F7871A0AE8AF5EFAA38156571E4EAB09C71C4524AD1DB</t>
  </si>
  <si>
    <t>4AE3702C3CF675FF3F413581A915618132D003B59F5ACD6FEC9B39DD6BAEECA8</t>
  </si>
  <si>
    <t>20AD402E2AD65F638F89A8E067EFF1005C67162CFA33B526FD5FC1B8A5907791</t>
  </si>
  <si>
    <t>EB38F23C6D28256B210021446BC2C87D371D55B032EBCE5001F42FFD5B7BA87F</t>
  </si>
  <si>
    <t>DC9463AEC30C10E0B4E7EE97D84197C0A08461648E6E884234C5D3F1BDC61DB4</t>
  </si>
  <si>
    <t>916618A7E714EF20FEA22DBACAFE09F42520AEFB7A14EBF090EEE7080E481001</t>
  </si>
  <si>
    <t>19DDE4FB80F95A9E6E0F1883711F22DFD8E60FA16CA75A32F1E2E9FAD4701FC0</t>
  </si>
  <si>
    <t>26AF34CD365E4FCEF8A64DADDC658A9927C4AC56D559C96AE97F8BB71016F1AB</t>
  </si>
  <si>
    <t>BEF8913CBDE26D7545F6D0E0D5F516CCD855A515A678865A3991E9E7B0763E43</t>
  </si>
  <si>
    <t>4B6D617958201D1C6D939872F27F671A77587611DB161E8DC9A3AF45F363659B</t>
  </si>
  <si>
    <t>2843702881E0086AC03282BD9CD7817A334556A7C7CA3E1F4CBE539BFFB20E5B</t>
  </si>
  <si>
    <t>88DA3F52CD87F35D3B875F9C04E1CB51FE2C7EAED2FEAD84D5F4CB820BEB88BF</t>
  </si>
  <si>
    <t>A0DFD030C33F99E8E5D30A9FDB2D9783346BA725210EDDC9CE0108CA04753951</t>
  </si>
  <si>
    <t>8F7DDCC3CAA8DA3B71AEEEB89B3DD6BDA463D4C778FCAA9E21015CEF54EF0BC7</t>
  </si>
  <si>
    <t>E060F402E193D4E61A02C088E1A12A6FB4CAA23FF323D86D188D3FC4F173517A</t>
  </si>
  <si>
    <t>5BE2C44EFA0F62143E484AA3C6C2F5017AD5CBE5E0021774075EC75775E1C7CF</t>
  </si>
  <si>
    <t>BD7633642CA70419CA4E8648725762299035DC3B812077B2F9316BFF284F0BF9</t>
  </si>
  <si>
    <t>AD0C7063D56267A5AD288F07352C44BDB4529248F7DFF6B290A7A03F9DF32962</t>
  </si>
  <si>
    <t>9007DD29132CCD1D4B158D188F5D0EADA502639D8040866CD381AA7FE5E8F8DC</t>
  </si>
  <si>
    <t>2A88B580C9E73DB8382345D50F55C60529A2AE8E6334AFFEE836F3CA28B1E55C</t>
  </si>
  <si>
    <t>0AC813460F87B512E1B3518F8D09DE6C4AF32797F1EFB8657D43DD47F1F1B9DE</t>
  </si>
  <si>
    <t>2511E5BE777DBC5393C894D7388F906BD94EBE4099709999D68083D7F3064B38</t>
  </si>
  <si>
    <t>51B36F840D7405A82C763B9EA2D844143817772C6D5FB1191AEF9CBF20CAE3D5</t>
  </si>
  <si>
    <t>D883144E64AE25E9811FDF17AC28E618248C8AFEDFE09B184E9063F08D81D26E</t>
  </si>
  <si>
    <t>F17EEF065115B0F1086BFDF3D2EF6FA734D6BCF5597F1F23D13719C5E6C875B0</t>
  </si>
  <si>
    <t>2A963D2506BC7A9FB77F9C1C75B87053CD5D8F5CA07197B98A7C62104BAE33C8</t>
  </si>
  <si>
    <t>E64C5312C8B1BB366D339EF945D382756EBE08CCB8FB65180C88330E0E72C6A4</t>
  </si>
  <si>
    <t>FD85A75260D3AD281A26A252EA8C4C89A64A33B3E65BB3DC51EA2B080AEFC534</t>
  </si>
  <si>
    <t>3FEF8D3F491A5A6F8EF4A17425C3B0B597E27162F929FE8FE30BF31B78100765</t>
  </si>
  <si>
    <t>A04E07DB74EF680C99B78BA0580C5CF139B0A0F79FCD76851EBE1A424DEE9784</t>
  </si>
  <si>
    <t>0201FD258CAD1C6F0107692B50CC91C45419F8E5686C4758EFE0D011E3BEABA4</t>
  </si>
  <si>
    <t>8896C40EBCB3B990F102CB98306F043C3E4D7E3ED7B47CEA7E4C75B80FC8D52B</t>
  </si>
  <si>
    <t>08DE7EF9B763552E7054793FF1AF0F65C739CE7534EE06549D508B4A10DD0BA4</t>
  </si>
  <si>
    <t>9C21D068C88EA54BF4ECB5D4EF792D6F6397277849AD66DD2B33D2E6E8E8A197</t>
  </si>
  <si>
    <t>BBFB3A91721D3AC3073D3D318CD4B6564EFC0C40465E2F7C45A258E06F7045DC</t>
  </si>
  <si>
    <t>BF23814A22537FB086D307D794B905F215F82A39A080953F421F77110C56BCCA</t>
  </si>
  <si>
    <t>7B2DDF2578E2E06D59F59153D9E84F7A56E89D712070D6B9FD68A9F2BB998EEF</t>
  </si>
  <si>
    <t>38F01D9ABB7D821E7DE9066B641FA0CBC8948E4CFA7860B9EF0D9E978F1E38F6</t>
  </si>
  <si>
    <t>483E10C9BA6EAEB1D706B843E289F3C37473743FD01728FC1BDA957BA148E3E0</t>
  </si>
  <si>
    <t>0CA5B74FF007947BAE6C00B9432C926EE619B21392069A63C3DA6B625CA66797</t>
  </si>
  <si>
    <t>0A2F2724D9972E8A215873175ACF9BE5AFBD918FCE854C6AAEB886EDABB3ECB5</t>
  </si>
  <si>
    <t>BB2748D49103A5CF2539C529626B9564FE7F1301A7CDEB354DAF5B74E89532F3</t>
  </si>
  <si>
    <t>B43AE7CE852D2055BBFD42D36A0BC3C80F56C277371F56BE3D8AB242834EFBDA</t>
  </si>
  <si>
    <t>4B3985A8929A7B30594EC2A2516CBD49CE1E47420A5001F8ACE1FA0B1853C71E</t>
  </si>
  <si>
    <t>0C8E208CE3BACB8B6947F2EE8D1829674B80003DF032729790C14111999D625A</t>
  </si>
  <si>
    <t>D9D11E21B2A9E0BA27DA416A12068AE949806D480E44B022A527514E23B6BA45</t>
  </si>
  <si>
    <t>F8E432DBEE545E76B82860C8AD2C68E4A23989BEC85FA631B14DD0FD0F78C318</t>
  </si>
  <si>
    <t>EA33BD4192761DECE3578B7F4A4FFC84FB9DEFED2E2A969ED6088F11EF2DAFED</t>
  </si>
  <si>
    <t>DE3C2FB1FE395859BEF13197A765CCDCA474BBB30BA30519B152B3299E3DFA7D</t>
  </si>
  <si>
    <t>42698E772260035FD94CE456DF5030C59107469B4CADAB80AF1EC721241A7D40</t>
  </si>
  <si>
    <t>65284B9CCEB4E9221A469B7CF6CC35A244EBDC3A94371252F49D9EDBF11EF6AE</t>
  </si>
  <si>
    <t>2EC6172CE28864AE4F745FA60A7790BB470289FB0CF45D8535ED04F9ABF9B60C</t>
  </si>
  <si>
    <t>0DBE474BA89C185DE39493EDBF4784B7FBEDFEA6DF02E351D2CBB03AE3B1E56C</t>
  </si>
  <si>
    <t>029FB9DC49F809A65201C42B1EF051A4C131E2B3448B20B76DDA930ED0DF30C0</t>
  </si>
  <si>
    <t>6DB33A1C4EDACCD9D340B56C6C5CE58DB17486C4101838046BE73A4498F91F74</t>
  </si>
  <si>
    <t>BE72F5047D5AAF27C2CFF38EBD6D960000C3F273B7D9A1824579745BA6138E28</t>
  </si>
  <si>
    <t>422E8FD6195EF5434B9D05172E1EA4A399DF54E7D07344434478B0AF85240A09</t>
  </si>
  <si>
    <t>92A6B313C8DDAA4A091EDB6BC290A2438E8BD2A657A6F85213F6BEB33DED781C</t>
  </si>
  <si>
    <t>533A2A215BE1403DAB7E58A76088D2ABC4E03ABA7AEDBB19D9AE5BC8615FB5E7</t>
  </si>
  <si>
    <t>02C9E2BD4321669162E47434B3E2CC73BF59F2AA298D573C3CFBCD2AA7708D1F</t>
  </si>
  <si>
    <t>F5E3F3A96BB80D666E7CEB308BEC8D7AC439E9A54B2A52261BDBCB86707FED50</t>
  </si>
  <si>
    <t>E6ECDE3357254CDA989318532494C0A360ABC77C4B9AD70E7CAF8CEEC7968874</t>
  </si>
  <si>
    <t>51A5FA9C3FD0EA79DDB038C320D9B12614BCFCF0E034AD7FC8F93F4B88F87D73</t>
  </si>
  <si>
    <t>66E76C364AA965D6CC9F1B69490AF75711BA8EB210A1448A231E8A7ADBB91BBB</t>
  </si>
  <si>
    <t>06607B13B7B7DAAF0FB538D18FF3B1A0F27BC08C5F017CFB731086A611C8EB35</t>
  </si>
  <si>
    <t>8E6212A0681D3BE59B4550296455D4938DA280EF68F622A5AD6ECD92277CDF76</t>
  </si>
  <si>
    <t>4FB1163833975D5A43E1CD71B0261A19C615C5595C9260453D55A060621E3750</t>
  </si>
  <si>
    <t>CF788AC9CBB02F97E681C20B2A4984D158A7DE5EB6CD828C11942168F83A6C2C</t>
  </si>
  <si>
    <t>EA8E10CB34FE0DD90DFE62FEF3ED5BEDA2AB2B37576F617966492DAC344DC6A6</t>
  </si>
  <si>
    <t>195830964D46B5E16D407082B60C26CC75ACBE6A553DF3AA658340E1B9999761</t>
  </si>
  <si>
    <t>A0E581F71F7FC4D818350E95DD4FB1F824E077160A126EBBA8D6CBDB295BA77C</t>
  </si>
  <si>
    <t>F8EDA3E4D99B241C6BBD62CE880785BF1723E3F52ACE1141F4B7309B00F1C44D</t>
  </si>
  <si>
    <t>CBB7AF5CD83326518AF0AF254CD375884460D356574EAB1491FF5226A7D89235</t>
  </si>
  <si>
    <t>985894242FA3E17C83A8D571A9D41D8B30E19FD77AAAD266A50C4543C7001866</t>
  </si>
  <si>
    <t>0C4CFD6525E8D3201A7E9219818AEB3B85A4470036E08154EC033559B9ABACD7</t>
  </si>
  <si>
    <t>61F8EAAE6D7B54F305B5BB759320EF01179D287BD4E434C4EDA0A2CA33864C04</t>
  </si>
  <si>
    <t>8DF9768B4503E7E8B904F4E910BBC76D8B07A749C1B0BB0A6A310ACE0FA0A484</t>
  </si>
  <si>
    <t>BBFC7F195084E9514356A891B512E9E5AA27DF82027A99D66BAD9EE52CADDAD0</t>
  </si>
  <si>
    <t>0126F941054061E6861E1D48A830D9EB1A6061F67694DA7FA9518E7143B7366F</t>
  </si>
  <si>
    <t>F2FF58AE50474EA5A42E3AF93AA3AFBC3B7F813B143CCA6B430E39A8E2ABFD83</t>
  </si>
  <si>
    <t>3FD8EE7CC933C09F907A50F342FD1772EA2E8D4BFB037B11F0D4407DD61454B1</t>
  </si>
  <si>
    <t>EF1FCC3C5A0690D951D88DE44498A3BD2C3794B4FF20CC558E2380B2A487339C</t>
  </si>
  <si>
    <t>2EDBB888F3C539F4F787637E912D942BDF6BBFFE8032F7BC8AC70795C2C1905F</t>
  </si>
  <si>
    <t>240A22F9B2BFC99EC74AB5972D22DFB2B90104269A39E7CAA3A0804CD6AAF698</t>
  </si>
  <si>
    <t>1CD82498EF97F0A695CC12AC840DEADABE3C3B05B92EA94172CEBA68EA541BD6</t>
  </si>
  <si>
    <t>A5B01C0849AB6C2DAA991AC30A183B12C1EA2739902F3FB4119B606432A174D0</t>
  </si>
  <si>
    <t>395FA2B6ECD2C4191EAFD876B5230DB942848FEB3C2C3AAFC91D7FA6A52AB7AC</t>
  </si>
  <si>
    <t>0CE2EBCF75C8E7F2F360F72FC9EC4B7CF4E5CC0BED4E941DC14A678C21C72380</t>
  </si>
  <si>
    <t>5E138158F2668C1613CB4A1C39B40E1C731265F51DBF7A6E0E460E418E619B2C</t>
  </si>
  <si>
    <t>54B6C06BAE1FA139F168059D0EE90AC9D8AA592632258F288721E66B0B86343E</t>
  </si>
  <si>
    <t>FA9203E3C875FBFE27DA9E27387FE52E4DE43A5C982521C71087006F8FA3D035</t>
  </si>
  <si>
    <t>524308446D9EEEFF6955831EFB1DA3C791F8A5FC30419FEF9B399CF15E0BCA0A</t>
  </si>
  <si>
    <t>CB8660FE819889E018BBF3B59E40382170ADDB4E90385104C3B14ADB3BCCF76E</t>
  </si>
  <si>
    <t>F72CAECA1B995C06A77D5ED315C1964CBCC1CA65FA95C904B295D8BBDFD15C31</t>
  </si>
  <si>
    <t>9F594E281BA42FDF2D681E7B47CE4488593F5B1C145A53989F5CC074A6FBFDAC</t>
  </si>
  <si>
    <t>1DD5F13E583AF404842019A9AF5D6F271288260214A41620E1BD8FD4AB1F87E3</t>
  </si>
  <si>
    <t>7049DF9CB2F33CA240F16F1ABB3119BFD73A3C25518F274FB83AB5256B3B6D2D</t>
  </si>
  <si>
    <t>E1F1977977FDF210729877671CCFE35B659B65CBEF8F311851D59018399788E0</t>
  </si>
  <si>
    <t>6483270F2287F63C17169F847F396A65F5C424FEBE6DD2970E802FA2C56F959D</t>
  </si>
  <si>
    <t>2532A0040425909368947BD858B91C04B44447308AEDA0391282E788325BBBC2</t>
  </si>
  <si>
    <t>D2FCDAEF2487A65B609808DCB91704D9657C43C93E06567497AE1D8C0CBE0323</t>
  </si>
  <si>
    <t>3F4EE8A03C3DF93ABA13DB17D57D00ECFCAE1F2F3798590FE8D65FC614D231DA</t>
  </si>
  <si>
    <t>09ADC5ED6766F1DFA0A419747F03B44FD937EFCDE818380B9C48AB9D1D823072</t>
  </si>
  <si>
    <t>57907616D06756BAD3158BE1EFFF5955270B068B6CECCE1335BEF272C33C7B30</t>
  </si>
  <si>
    <t>0DAD0550BD6240203277D1007568907B6B9B3EA002BE8181213CF2E98741B627</t>
  </si>
  <si>
    <t>9719F7A4F26446E29192A17BC03D5C843741ED739C3237E12AF500108CAD0140</t>
  </si>
  <si>
    <t>B71C9F96CB473A2F34E05DE0BAEED21DA57955DA142F7F4F24A5817FA8277092</t>
  </si>
  <si>
    <t>708F5F521E07F83F7FB57B18DADCE64395CB0DCA92F6C7155C574A2A7406D142</t>
  </si>
  <si>
    <t>061FDFB2BFB4A52DDC90E0388F4E6022E42E880970B3F953A1C1556754840ED4</t>
  </si>
  <si>
    <t>E5AD05FAB139B0261CBDAFAEB50F486CC4EBBCDE34ADFB6E60640C57CBB7D4E1</t>
  </si>
  <si>
    <t>325681F84C2418E05D8F3BFA09754BAA91287E02C3C8DCC45863C38DCC96F689</t>
  </si>
  <si>
    <t>651ACF0ED0B848E59899CEB97F7726C87229108E38DF4D981ADE518618101C0F</t>
  </si>
  <si>
    <t>220E00DDC68043D78B0748D4EAEC6CAE2724CD0DCC836E587138E7FEB546B2D0</t>
  </si>
  <si>
    <t>8975DE7EAAD7694A49B56CD6CCB319D1A3C552D735373A4BC5F1068977936E3B</t>
  </si>
  <si>
    <t>FEE6BD76A2A1AEED480ED3559445C7697D725BC405948C7F196551C79913B046</t>
  </si>
  <si>
    <t>57C39C82736106B9EE8FA694C6ED78EA9D73E0B5BFEA61BBAC507495BE660A4F</t>
  </si>
  <si>
    <t>51450B3D77ECEA65CD6E30E204BF3F1C30A08FD32E2A5ACB0584331865D01CD9</t>
  </si>
  <si>
    <t>43D258A91666D312CCD9C25621AE4BD0AE585579440DD0DFFDBEE698E9B7E35A</t>
  </si>
  <si>
    <t>29FBD9F592322D034E72945E3136B36D5DD2AF671EC707A53473A58279D2ED46</t>
  </si>
  <si>
    <t>2AFDB43E09C54723CC3B67DA3FC6CFDC2A48B3A0AB91589F098B3D09274E1528</t>
  </si>
  <si>
    <t>9AB084D08281B2274D5235789DC46F00FF1829F3E52B0C5AF7EE60556F8F83D6</t>
  </si>
  <si>
    <t>513583B124CCC37BC64A6E9944FD88A98EFB61C4AEF83D6B7280E5D44F0EDE20</t>
  </si>
  <si>
    <t>5FF8D33C6D8EA9FA64C3D1DA956510E3351B27D84838AFFD3AD2B48203BAC62D</t>
  </si>
  <si>
    <t>86835A21D538E7D5BC330222D10E485D52622ECEBB76F32E3D785ED13C1D19C4</t>
  </si>
  <si>
    <t>A1692C48F368527A9F9389C3AA723992935937B0FFDADFC1B72D4AEC640435A4</t>
  </si>
  <si>
    <t>1E00388F868E520B4F0D30448353EF881291B37B6F852BE7F360604373C75545</t>
  </si>
  <si>
    <t>41E91CB93A2CCB6F1172D15C2BBAE6F1148A6AD46C9BE35B767BD65347C53E47</t>
  </si>
  <si>
    <t>B1F1878705C3B43A2E9C2F9D7049B22F3903E3EEFEE8F7E7E5D27D8EBEB3C3EF</t>
  </si>
  <si>
    <t>637841B2DB98BDB4EBAC65643487D77A4A16467EE9B297A067EEE57B3F55DD83</t>
  </si>
  <si>
    <t>2450483B62EE2DF9AE146F1CDAFE2DC04C0996B93A5BD2C16A767922AA0AA3D0</t>
  </si>
  <si>
    <t>8C665B62FE1BAAB26805538BA0DED32AE3B9F40097BFFF22F22BBA4F23019809</t>
  </si>
  <si>
    <t>FC3A7062F141C504777FC922289EB2C233702B4503FA34F32D76B22177409D6D</t>
  </si>
  <si>
    <t>5EE28C33D3AACA9E799CAF1B88F0ECE849C30818E12DE5C212991CBE3B16CE0A</t>
  </si>
  <si>
    <t>DC4A8D90D04193B0CDAD326EC7008F400A36CCC7777C8D83B8D7E4224E767D20</t>
  </si>
  <si>
    <t>E37C251A8CFEB6CC0529A043D1E4C9B77768EC2160DC81F6BFB80BBBB27B6680</t>
  </si>
  <si>
    <t>A1BE1FF82C5FD7A374D7C02BEDB43051BF96BF4A8FCBFD11EC15941B1C3D2734</t>
  </si>
  <si>
    <t>088E1F8239713038A0C811AE437AA4E410A125DAED006C141DC954CEC9B8DFC9</t>
  </si>
  <si>
    <t>0E806A0DDEA8632E7C3220936296E5769847107E99A05637C7931E595068B7E1</t>
  </si>
  <si>
    <t>FEA1E8FB6446380E1E5991D4AC891AC55D131777F11D3D8ACC001A330BC48BC5</t>
  </si>
  <si>
    <t>C5A9261573E4DFDCEC668B08368A9CAC00065832777684E2DB4F339977E1DE43</t>
  </si>
  <si>
    <t>6BED0DB0D78F5D4803D6D671B0C44F0DC0D3FBCDD58E48C4AE75132FAFEF7D04</t>
  </si>
  <si>
    <t>90E3099AA555691EE98FB92D82B06888AFDE49DA11FF51F0475C46B241576871</t>
  </si>
  <si>
    <t>7D7444019D27B73F116FDA0136332B1FAF03D5380CDF4E7285DC48AE135EB0BF</t>
  </si>
  <si>
    <t>9FE2757F7E9FE7D4C11EF44844536BD4CA32181BF101CE350E3CC0F841801E52</t>
  </si>
  <si>
    <t>E1CB00C969704F7D7DF8593AE3CE500E6D500523AF7DC48C418659FC965FBE20</t>
  </si>
  <si>
    <t>562C2261C493EB7E7CF5A0A768FAFDCA9DB8002F539C4F209055978CEE2D2699</t>
  </si>
  <si>
    <t>FB87FC022C1D3AEBD581F98CF066B81081F268EBEEB1927DB80479687B9F1E9D</t>
  </si>
  <si>
    <t>5023F92691058791C86E26E809CDDD8090DE763F313366234BF3E53968910819</t>
  </si>
  <si>
    <t>0606AEC67B35DB48A0D8F5C7DA4E52D243A0AC2CD8EEBF1D2BB3105010D9FF34</t>
  </si>
  <si>
    <t>DFC53D4FA69759D5DCBA4E1C20B63F91C9F11B6F0BC1061EAD6A5CBBD3DAA5D7</t>
  </si>
  <si>
    <t>OUTRAS CASAS</t>
  </si>
  <si>
    <t>TRANSPORTE</t>
  </si>
  <si>
    <t>OUTROS ESTABELECIMENTOS</t>
  </si>
  <si>
    <t>Contagem de hash</t>
  </si>
  <si>
    <t>Escolhido para representar os dados para uma comparação do número de denuncias mensais</t>
  </si>
  <si>
    <t>Valor mínimo</t>
  </si>
  <si>
    <t>Primeiro Quartil</t>
  </si>
  <si>
    <t>Terceiro Quartil</t>
  </si>
  <si>
    <t>Valor Mediano</t>
  </si>
  <si>
    <t>Valor Máximo</t>
  </si>
  <si>
    <t>QUARTIS</t>
  </si>
  <si>
    <t>Janeiro</t>
  </si>
  <si>
    <t>Fevereiro</t>
  </si>
  <si>
    <t>Março</t>
  </si>
  <si>
    <t>Data_de_cadastro - Mês</t>
  </si>
  <si>
    <t>147ABA88329448DEBB100B8B9B5DCB2E0A065E05D18E4E67BFCA4B90E228A9DF</t>
  </si>
  <si>
    <t>E7E07139DD62E7131F72A711738B927AC650ABC68D158B3FC4C8482994C50EFA</t>
  </si>
  <si>
    <t>380D2C5889CF91BA7E29DF19DD5385A422625EED88C9719C4792EC3D824C2769</t>
  </si>
  <si>
    <t>1F6104DB44260B061CFEB728DD83FCD212912EAE907EA7662859C0255B1C3B2D</t>
  </si>
  <si>
    <t>65AACB7B750537AA6D09398276BBED8586A3DCABBF996E1370B86ED743957669</t>
  </si>
  <si>
    <t>F8E6424D01E08F3D9419D4AFDD687AB613219A5C34EF57C58609BA03C170BD14</t>
  </si>
  <si>
    <t>43F6D2278F940FCAFB8CB1468C7C9375DD2E5249BD4BEAD7603CFE08F5BED054</t>
  </si>
  <si>
    <t>C974522DAADF763859EF19493E58D28BA9FD284F0727A950CE7AFF41E1B2066E</t>
  </si>
  <si>
    <t>C5B19460B944F115CB3B7A316C24591CFE6297746DEAA80374B3B334E55609A7</t>
  </si>
  <si>
    <t>48963F53A9B6EFFA6EC002832BFD04D18FF09416958BC02B7B764F5C134836ED</t>
  </si>
  <si>
    <t>379768D2F339912CC250F6028A16286BA54D0DA95CD0A21C2045F8BE3DD79291</t>
  </si>
  <si>
    <t>BA16232CD0B85ECFEE89DCD877F0498C954F883BCC4A610C21AF2CCD92EBE41E</t>
  </si>
  <si>
    <t>74532DB70A16A1C5789C05C9E3E0F725AA3E0B50FBE507E2E213C2DBDC3DB1D0</t>
  </si>
  <si>
    <t>AEB936B2BE3C63F03911C1339D23DA89D8258EB8B0195EE649F0830EAF6AA003</t>
  </si>
  <si>
    <t>6B4000B5380225211F84481C2D5CD3FD4837DAC54F19DEFAB7BB27C08A9C5DF5</t>
  </si>
  <si>
    <t>9E357893104A50893F50357CCB44C585BE47121F7096DD821F8F1439860E694D</t>
  </si>
  <si>
    <t>BA549E63803251FE5FC5184B131122F76FEAE0EDB114BB9FCD6442CAB4D3BC58</t>
  </si>
  <si>
    <t>166F1282FFCB0E1399B962F7FA0D263E8B5A6057E76EBFA0B2F8363E12B318C2</t>
  </si>
  <si>
    <t>C2556FBBD20C68AF5A9B7B0ACE9EA50B5B08EF5184BDE04390B44A3F3B65B87F</t>
  </si>
  <si>
    <t>D949D1FAD2CD3B71A87DCC8F568F177EC73760C3323D42E77F205BCBDA67EB9C</t>
  </si>
  <si>
    <t>426C66581DBE9753F9CFED84E626478E3219C4F2652E293E85F2D6EF39F05612</t>
  </si>
  <si>
    <t>ACBB6596E7E520B4EBF2903566FAC2725F6A7DD464B0691F83D830B0839092CF</t>
  </si>
  <si>
    <t>ISLAMISMO</t>
  </si>
  <si>
    <t>A0C7F4C1E6C058EF9E05F27308F6C3216FCFE78804298486BCC8678D273B0038</t>
  </si>
  <si>
    <t>3ACFBF60A13CDC990DB36FAB729673391DFA6DC2F5FB8784847FFE88DB461597</t>
  </si>
  <si>
    <t>8D45D98688C58A76C5B0AAF54D280C713C447C05F1D214CDC4B1A688387EA943</t>
  </si>
  <si>
    <t>94E8E444F89DE10B0E5C3A9487ECBE4F255E52372774D87B97BBE157AAFF451D</t>
  </si>
  <si>
    <t>C6BFCFDECA4A8807A6BCEC3F15188403A45B11F26882AADE5EB96438D0CD0F2A</t>
  </si>
  <si>
    <t>20CFFD1CA2CC8990F7A74903F1584C999996A3EAFD4EAE2EC15E629D77DC3CA9</t>
  </si>
  <si>
    <t>806C029731D7BB5D51BA51F5D18E8BB3D24E59CC2AE6FB9C5C2B658120837481</t>
  </si>
  <si>
    <t>896D8B9C7AD32E8CA2D5F0318898AC83F3155205CB493B86376FE506E7C2AC6B</t>
  </si>
  <si>
    <t>61EE242E0CF5BD4E0311DD300C9508470F1F4CE52B88FD7F5BDBA3D3B15F2F17</t>
  </si>
  <si>
    <t>1ED1D7DC54350D5073EB9EDF03556EC3D5FCE87034D466E543E0D056056AED5E</t>
  </si>
  <si>
    <t>4952C3D56F169541161B75DE30FAC107344B0C564F3B055367FBBAE7F423EB49</t>
  </si>
  <si>
    <t>5616FAEFDB7AECA7F446F6668B61C959A0F1D2CC96055EE8ADACAE47EE9675E8</t>
  </si>
  <si>
    <t>699BE190DD0843CADA4AC973B5EF43A205F7E54DF0166FE04061C71471940D5E</t>
  </si>
  <si>
    <t>6786C2C2F6B97CD338F4D21DAA6A1E1FDF936A2DFCE50967E260ABE5FE22D2DB</t>
  </si>
  <si>
    <t>9A942B92B48462DD21013585F7EF48A4AF14718984E24802A285EC08232DD722</t>
  </si>
  <si>
    <t>B5B7D4C2EECBBAED65F156A68C517B923FAF804908F465A3DA117B86265778AD</t>
  </si>
  <si>
    <t>D63D734EEA686AA000D163BAC21373F9C67DE2F27F86749F6F54F8C03454A844</t>
  </si>
  <si>
    <t>9592F6567DB932B32B3236E8E648BA717C2858AF4F36E6EB605D3F69B52FCB9E</t>
  </si>
  <si>
    <t>72EA509C7DE31198BC91D08C237A76E000B05001BDC87C66DDDC0B6DFB639514</t>
  </si>
  <si>
    <t>8E173EAD479D24F4540FFAE3EED9FA048F90D9FD9325983D7F95D1BDB79EE8A3</t>
  </si>
  <si>
    <t>17A8B5327185DCE6DDE6B2572B447BB91C1C91BEBDA9EA74C25859632317643F</t>
  </si>
  <si>
    <t>AB92103CFC56B7E1B40E08C618F7B350BA658E086233AF5103D89D6E443EBE56</t>
  </si>
  <si>
    <t>F08BC5C046EE84504368471E5437A105C46FCC691CD24F5AE503F797F3BE8234</t>
  </si>
  <si>
    <t>3D61EB3FD8BD8A9F933769107260E9D833291DBE65254E48119DECF542830C06</t>
  </si>
  <si>
    <t>BA429F759FA49F30C5E91947B62A756E079FA24E98DF9AE40F068F6333361907</t>
  </si>
  <si>
    <t>507EA2D1EB1B776A80C0E3A2584CC584C8FAA405235EC2456BBFBA3C280ABD0C</t>
  </si>
  <si>
    <t>581865504CCF9C2D7349052A28ACF06186784DACE7C81CA60BE41BE0F9E3F16A</t>
  </si>
  <si>
    <t>68D03EC4FAB5363B081F7C4E0B7CDE8D301BE022351DD56339432991DE18F9B0</t>
  </si>
  <si>
    <t>EE6DAC0E2D20175A53197420922807AE405C4D2D8DA2D39A37D19DA97BC34E18</t>
  </si>
  <si>
    <t>B6F4C6A365B7B520DCB3F84771552778FDD97E3537CD22DC5E112F2AFB57984E</t>
  </si>
  <si>
    <t>69727B8E817E9771C8111A618B7D2EB010F12CC65AA08BE798DC756067B6167C</t>
  </si>
  <si>
    <t>B1E25F97C2C60584FFF3B7F6CF7F3F8B38310D1657E88D1D28E0102A778A310A</t>
  </si>
  <si>
    <t>13AAAD7EC166DEF63870D5E267073DBF0D567537FB35BC2092917D688DC9BDF4</t>
  </si>
  <si>
    <t>F7BD9F1E8580C71C2B0AFABF9C5EA4D8D88CA3FC390F593516A7C5631149C590</t>
  </si>
  <si>
    <t>87201C324EA924CCA90BF4F54C89AE0F12700E4089FA56DDCA05959343B67E06</t>
  </si>
  <si>
    <t>18BECD4F93CDF9757E3A16BA0464E881A22D21C2D1B85533C812F7B65B903E00</t>
  </si>
  <si>
    <t>7593A8498E9D43BC147FEF704892E08F3E5CE4560B44DA998EDFA6A299E35253</t>
  </si>
  <si>
    <t>88D7FD77FE8B31797A9A175C91CF6D00C9043682EE498882C71F6CC15B4B9E52</t>
  </si>
  <si>
    <t>9E0BEE922F093EBB82C02580448F86938F0FB83A5B5AF1F89DC389D14BA8A122</t>
  </si>
  <si>
    <t>A8F14391735488C39BADF89D31360F27FF0162692CEDAE9A131553DCCB402817</t>
  </si>
  <si>
    <t>33FE6787E45169CF8DE9B80545E5D562FF8C34EADC54FBB4FC003E084A37599C</t>
  </si>
  <si>
    <t>CBEC99B18FCFD09BD8C9E5454BB3A945F8F3F16175E30530F433C0A726534038</t>
  </si>
  <si>
    <t>7C94408D01C40D7E25900DC29AAD7DF5215CBF73E7F96AD309B31199F7C62421</t>
  </si>
  <si>
    <t>160358985866680D8BD21F81F5EB2C24E16808F9C3BD61F9501D27292274F824</t>
  </si>
  <si>
    <t>96F563AA039DEECCED5BE7A02E6D70105F0938F571B6459D2EF6384C03A85663</t>
  </si>
  <si>
    <t>6572AC4D6DC1440E54D9D5FC75839BD328F4032BDEFEAAAF506BB13230976353</t>
  </si>
  <si>
    <t>EE1015C3983933A4BE2307C540B83291DF24C040508F9165AFFD7670492F34F1</t>
  </si>
  <si>
    <t>5526AE673A0F1726527AE91AEF45024EDFABDFE695B58E05D2F1FE4652A37430</t>
  </si>
  <si>
    <t>A6E238F46C50A90EFBF72BD119701E9EDE2C98556407FD37EDBE23E3B364F481</t>
  </si>
  <si>
    <t>C9BFD8D8611E58465E5B4825DD39DB15E902750559E5D9B309FAD7BEF2024B13</t>
  </si>
  <si>
    <t>C7A0CE74176C8A39E4713E0CEE2B9E6F43B336F67F5709D8AB2D9DAAD9C8B22E</t>
  </si>
  <si>
    <t>C9C91C9CB62584BD7A64262A866433271150D44CEB4EC4678342EF982B022087</t>
  </si>
  <si>
    <t>00827450D4393B26D98B6377A05F1B88BEACBBC3D38D3043F57DF01B69F9E632</t>
  </si>
  <si>
    <t>8BF942E5B37F54ABAD392CB7416A8236F720BDE0141786FB3812AAE77F11788F</t>
  </si>
  <si>
    <t>4B42562EEF1D2CCD9EB1262156A8132A9686258D296D780B7136A83D1B63CCB1</t>
  </si>
  <si>
    <t>CB5B6050EA1203802295CCEE7CA86E8E86234FB30349F6182720934C8BC9F574</t>
  </si>
  <si>
    <t>DE38202274F70872097BFA038E7129D095D7955A0353CA2FA9B9CDEA40F69CCC</t>
  </si>
  <si>
    <t>24759985F0216CEB7BA1FB36A7A58863ADADC3B2DD80DFC3C7835B85D225823A</t>
  </si>
  <si>
    <t>A926DA4D5467FEDDBB135C44BF66CE45DB7D6872189EA7D4EAEFD2E72468B53E</t>
  </si>
  <si>
    <t>0055546D9936CF7B176D35AFCA966CF8F2A3ED1A0CACC429B92312DF60CAE152</t>
  </si>
  <si>
    <t>6E34A3ED23DFC7BBDAD98D38D458C1848944207AE6076758F445B38911BBA991</t>
  </si>
  <si>
    <t>PARTIDO POLÍTICO</t>
  </si>
  <si>
    <t>323C81FDEEA9AA060BF6990FAFA0240E62B3DEA375944F4846ACCB04C35C93E4</t>
  </si>
  <si>
    <t>C4BB060095122877BA48ADFB7D9150163BA115650F9D2C3D9F4B94F9DB671846</t>
  </si>
  <si>
    <t>003BD25B6466E4003F298D1B5053732B5DDBDBCA00D423F72D9F52B7185C57C2</t>
  </si>
  <si>
    <t>0BB447E972D4931C1C7C079CFF4D476987B041C15E2ED6F44277746636DA895F</t>
  </si>
  <si>
    <t>2B7FEE31DEE17D792376B3F22713B4E2ED0EAAB9CD2A321C3CF6EFDA814FF623</t>
  </si>
  <si>
    <t>27C2C696285D2FCF8BE7717DE213E704AF45AF8F51E2882FDB7F3CBF9162FA79</t>
  </si>
  <si>
    <t>043F4DBC2B4E636DE107D216DD33D342D3A42EE50F5F2015C72352C6906E4C2A</t>
  </si>
  <si>
    <t>6695568C6ED528E29582A833F9E8EFB5375EB5DEED7FE83F9C101AA2B4BB77FC</t>
  </si>
  <si>
    <t>A12A0D311CA02CF1EECB7089D4105699725BBFC77CD0BE73835361A547A632D5</t>
  </si>
  <si>
    <t>B9BA6D56E0E07F64A0D67CEF84FFB00E2A3F77565DE04481D4F767E9C98D6923</t>
  </si>
  <si>
    <t>1D8A907C00FC2D946B981D0B2F1D46811E70AE3BD649FB3E2035A83906D92127</t>
  </si>
  <si>
    <t>F837EEA7292611E79CE58C370CC1227FCB7293849209DBA3982471AADD2A6F42</t>
  </si>
  <si>
    <t>467898A1ECA0470B3CB1BED15255A6D9B6EC202C80EFB6B027BA1A8ECE3B1D52</t>
  </si>
  <si>
    <t>3BA64E5D898B2833610A543215729F8FA00A7E0D474C703F9DECB06E8431800E</t>
  </si>
  <si>
    <t>91FA2DA5A11F32A23DAE19C4F6E7A9AE7820175FD9C6A312D4D7BD7A3548B833</t>
  </si>
  <si>
    <t>DF71AF5E55C478B5C302855DE88FB82095B0342B2B286CD26C79D0416B710150</t>
  </si>
  <si>
    <t>53F520190B249D65FF72F08B5D48506B9EFE8AB89BEF21AF9AAD88FEA32AD26F</t>
  </si>
  <si>
    <t>C68577178D0BD6A7C0E5E52724319AE88F9B8AD27C2220893875DB19CA2499BD</t>
  </si>
  <si>
    <t>98A89A63E0AEEFCDBCF017848CC8FB1D5DB79CE2E1EB1F583FA82EEB362B8764</t>
  </si>
  <si>
    <t>9CBC8A1E6D1D3401F70F326BB1A5A1AD61E6D46414D18886C221E9E47536F37D</t>
  </si>
  <si>
    <t>B56B325422DA56B723AACDD53983D12DA53486C00B4BB612F38D51A284AF4F4E</t>
  </si>
  <si>
    <t>96837458FDF66090FC1779D30B92EC9B16D261F1C663D579CBE13E2B35BAD883</t>
  </si>
  <si>
    <t>D9FC55679F0D4A3A7586FDA555E529745F0C70A929725B8199A665B1E53D1D93</t>
  </si>
  <si>
    <t>939696CD4880C2E159A1DE0673A399E86266B9AEC1BAAA3F079F7B11D1DED4DC</t>
  </si>
  <si>
    <t>1C3CA18EE91A0AEB59B4E17ED1CA6A9F8695187D9EE2B88E1337FDE332926B12</t>
  </si>
  <si>
    <t>7F1A0B12BBB49B43150B7E2A4A21E6DA9798B8C22E9D0DE0372180B2309143DB</t>
  </si>
  <si>
    <t>2356D7D7C4E5B0A4D9AA59A1E1E80AC6A968EA4D84AA87420E3B2187619BC3BD</t>
  </si>
  <si>
    <t>767AFDF4308A61781624A08F5AA8042A705544688F4B49FD7A3E95C782CBC818</t>
  </si>
  <si>
    <t>D4A7039ECFA240126DC10ED1477D457FF78C502D5EAC55A4C8D9C8ACFF57725C</t>
  </si>
  <si>
    <t>55A43D78A187111D580E0848C724D7E8F42F11DBB4AA860DEF1F07712B9C3F77</t>
  </si>
  <si>
    <t>6BCABD05214253BE2CB84E49D8340FC6D1EF531AD6FD42E0CE4C1E9C6660F261</t>
  </si>
  <si>
    <t>83EE753FCECB6FD57274AEAD7238EF5E2398E99247423A467FCAAE134DCDCEB9</t>
  </si>
  <si>
    <t>FFEADFDACB724C6AAE12803A096D8B6FCCCF0A3233991E0D3AB8C68C151664E4</t>
  </si>
  <si>
    <t>7F9D722325C236E3D044B0BEAEDB4E2EBBFF83E3A7754DFE323F1DE60D6FBE4D</t>
  </si>
  <si>
    <t>51ACF4F45961838052B5329414031A6BEC15BC376763E866986496E384526862</t>
  </si>
  <si>
    <t>F0EC6AA4CD28EA961235305355148F83BB515F788293238BD48A683ED0E1DE1E</t>
  </si>
  <si>
    <t>54C23786F34FFF0825229F6BC98BD87FF810ADFDC8557973DCBBAFCE47649E2A</t>
  </si>
  <si>
    <t>A55D13A2CA060E00E210B2927C4533C75AFFA8940CDC7A58FFAC4633E7C20E82</t>
  </si>
  <si>
    <t>BD7C15E9563D11BEDE5C98047EB640F79A017F78193BF92E135456FCD87278CC</t>
  </si>
  <si>
    <t>0D91C2251258909FB71F95E2F81E8930ADD8AC58B0BE68EDCCCABE4719790B86</t>
  </si>
  <si>
    <t>07A2073A675B67CDF4DF00F6D561190C0B50FF5184DF90465140EE3CA8EC4199</t>
  </si>
  <si>
    <t>4F9C851C5B17A51D40E67452C2FDE8761C4545B165AE544E26012E7B844C7859</t>
  </si>
  <si>
    <t>013FE04F88848A0C565C4692CAFD0F39DFD242ABEFB9C9AF911BE4414F79F191</t>
  </si>
  <si>
    <t>ACDC9EA81FB0A071391ABF4F22F23A04425A211C4B180E3EB7FBE6005E2C8C2D</t>
  </si>
  <si>
    <t>90AAEEBA47F11A47E5AC27015FA68D401E25832FF91307520559010C0E4FB9B8</t>
  </si>
  <si>
    <t>8A5A9E888EDAA44731CFF247424DB3F7A947619425F1630B59142C2AFB7D0716</t>
  </si>
  <si>
    <t>523B5F1C41B984EEDB900A2622027D9F9000867F6790346078AB0DA7DF094D94</t>
  </si>
  <si>
    <t>640CC51607D6250B4F16F8D8C9F9292C8BE6CED6388318A2A287E03A043774D2</t>
  </si>
  <si>
    <t>2BEFFEFEB2C12A7BF7094493F7DD5D949BCCAA35412855E682ECF4BC42FCD424</t>
  </si>
  <si>
    <t>434BBAE2533E4DAFC2BC2AF0EBFD56F6EEB375B39A841EAD905C1CBF4C169722</t>
  </si>
  <si>
    <t>52BEA17C03571C04815D8DB725FE5FC6E9839B7D97D599D3ABD565A888C9BF89</t>
  </si>
  <si>
    <t>596358DB680F9A46ACC31CC5B25483E6E839300A036F30FE0FD3192CFF3E22BE</t>
  </si>
  <si>
    <t>F6DDF17F03CE63DC5ADE687D18893F6F79FCDA5C7CF315994DE9B3B793278468</t>
  </si>
  <si>
    <t>10AF79ED200CA22265F14A5D2C23DE3E5745C924B0B90F2D4D148A880A8E002D</t>
  </si>
  <si>
    <t>BF9DA0B37CD40E2F90E720AC8912FC94F141CA39B5E9669B1844892A8948C353</t>
  </si>
  <si>
    <t>D6FA3E28FB59A4284DDCE37742E9DAA69C2A5F8C7F7B018786EB3C570D8B7CEB</t>
  </si>
  <si>
    <t>8BEB28D805930E89A70E143D3B47DCAAC717A59D2B89DDC7C1801CFB5771D579</t>
  </si>
  <si>
    <t>7544209F71D8E00FAC6A5CBA488F5E33E6865DA646228BD1B80BE4952D5FF535</t>
  </si>
  <si>
    <t>4E24FFDA7BE4D8BCFF7AFA456B234667C7565CD82E14E4F8779F037FD038576E</t>
  </si>
  <si>
    <t>0698CDA3F71AA5FC491E503857FA81B8AF5B3AF3F7D1AEB7B7717256E4B775BF</t>
  </si>
  <si>
    <t>81119FC267B2CEB2D32F18E35842A47CFA505ED30A0A10CD860EE76AC7B7919B</t>
  </si>
  <si>
    <t>E9CA00BC1A4BD559C9E1A5CC1B8BCB8E6FABA14EF2B8557DF96000201149DD9F</t>
  </si>
  <si>
    <t>73A59600209372C999421811D3EA1D4CA2FC0D544A151D28D54C82D7020802D9</t>
  </si>
  <si>
    <t>82349FBFE765B517AC202944EE7A375B41AA44C643F6B8E851CCA6DAE9FCAB48</t>
  </si>
  <si>
    <t>EBA480564C365C0C24E3AE6568A374BBE055B7BD4E45208597D3B96CC076D949</t>
  </si>
  <si>
    <t>F1039C9D9DADE92D30E3970AC77544DF9FC0358FBF7803C02ADA42DD936894DD</t>
  </si>
  <si>
    <t>0D12D3DBF2170C2B909CC788DCBB7692384BA24AE65F03615C687DB624BB704A</t>
  </si>
  <si>
    <t>2AEBD3D6C57FCD7A891FD1FF045E29AE5510A7B6DAFC1890A65DCB9E4DD1280A</t>
  </si>
  <si>
    <t>FA84A1BB8726E82CFF36AA497837F706D19C1640B91731F583272331B0BEC90F</t>
  </si>
  <si>
    <t>24F8EDD7BE6FCD17DFAF714FFED179E839656EAF20C00E79AE226F4615260034</t>
  </si>
  <si>
    <t>BBFC454236F8F324105B6699D12A68A5B52C46BBF62506EE4EC11938B9E99425</t>
  </si>
  <si>
    <t>472F76EE0E7FEE0D8D55729ECFA9032B25566FCC04A50E8916DDBB2AB1344477</t>
  </si>
  <si>
    <t>00121E073D9608928B1B5DC0BD5E1644D9DA9B9368749746E0F16BA3A788D7BE</t>
  </si>
  <si>
    <t>4BE6A5827D3C5E9AD707611B25541712D122220047D68E1C01DC536CEE408B2C</t>
  </si>
  <si>
    <t>DAC192776D612C165A72A3A930FFC1BC57AEBED6666BE045CC15ED53E3BA07AF</t>
  </si>
  <si>
    <t>BFA548299F7236EB4F1CD931AAF56445C0AD58E03EA1E991C02366A6E11CC7C8</t>
  </si>
  <si>
    <t>104D9CCCD56E52B954E9394D75730CE74AE02FF183608FE71D0450324B151751</t>
  </si>
  <si>
    <t>36574DCE9C54E7B188A09401B18F5D9A4DBD32F512F7DEFB6EE4C5F4F406A152</t>
  </si>
  <si>
    <t>4CD8122FD775DC1B7DF686002210EDCAF185DEE5628881111080DA0FA5D6714D</t>
  </si>
  <si>
    <t>88F471DA9898157415B063F3EE688E671409DF0D27914D1435A92A66FDF29C93</t>
  </si>
  <si>
    <t>70BCC686CDCFE0A05728B18AF94DBFADD4F9AEE6D26A961258084FC9607CE90B</t>
  </si>
  <si>
    <t>6F56296D187AD7D6EAB4F13C9A3C244ECDC1E436BCB8EFDEE86993411DB18F3C</t>
  </si>
  <si>
    <t>1BB1679174B92F3883ADD3C115CF24773A65CC51D56E11BCD8859A565761DBFF</t>
  </si>
  <si>
    <t>0710B70CF5DB4854742FA12B2EF1602F23666646A776208B56EC5911E8B0C1E4</t>
  </si>
  <si>
    <t>23CD43A48AF5040160A3A9D8938DDE40CCA50AD8D179A1A10279CFBA16882962</t>
  </si>
  <si>
    <t>58A2C33A786AF571801C9F69DD3F0C49ED243555BC615E161B02E3A24F086960</t>
  </si>
  <si>
    <t>775559A503E45F3576F8CC9F7523A66DE5A952CF4671C983A6069B203413C932</t>
  </si>
  <si>
    <t>C4B0BA3336EF8C5E3FDC56ED88BF09C509A36EF8AA27C7DA345823BC86016025</t>
  </si>
  <si>
    <t>2883847B29A9037A46F066D08495056304DD7F3D66997DBFCEC7873D58193642</t>
  </si>
  <si>
    <t>2934B9DFE2C207FA2BCE7B95D2642F10CE5443B29B4D49B99E78EBD3A5703E94</t>
  </si>
  <si>
    <t>FC42C0ED4433E52C55774C034521E7C696F7F9C8059E7E6ABA756A4B74FE52F9</t>
  </si>
  <si>
    <t>29CCACD7BA2FE3B6BAF7D52EB81CD0E3A0DFEC03059518E02A3298BD5D284D5A</t>
  </si>
  <si>
    <t>5106E9126B636429941465D866EC26B1962734447667D60014DE0FEA49F3BC90</t>
  </si>
  <si>
    <t>D6C904B84AB52BC84ED897B3F15FDDB56E1FC9E273CAF929CEC61F22D75228D4</t>
  </si>
  <si>
    <t>60A075CBB5D7E4646FF1B2D9B20310C839398E80133C9A6C0C346635A73BBFBB</t>
  </si>
  <si>
    <t>65695F9FC00CCA8D2B279C4CDD5856BFDFD76E0B605E5328A40CC08F9033CCB9</t>
  </si>
  <si>
    <t>2FF7F5B3A28CE487DC6990221456FCDDC9BDE4A9962738A79FBF7A6257190B4A</t>
  </si>
  <si>
    <t>7E0BD0EE026DEF34CF1E903C0BFA8301EAE8E3C81641C59CD74ACB8C82887415</t>
  </si>
  <si>
    <t>4CA73F2CFCB0CD7D9867C791635DF4AEFC0413B6175A176F17F03267BB8324D6</t>
  </si>
  <si>
    <t>C7153F59EF70C278C249F296BFEFFF78567FF20310A2114D3E518922DA604BBD</t>
  </si>
  <si>
    <t>6CDC42C020C5CB8A29E2143CC2B9BF7190AC83C8352B469016B060EC521459FF</t>
  </si>
  <si>
    <t>6726205FA68825002EE02837CD390C9851E37C8ECF034FF5FCEF4983F841BB1E</t>
  </si>
  <si>
    <t>8FFF1549194952603010F2F11C668D50193BCF6D63C8C6770A92A279712571CD</t>
  </si>
  <si>
    <t>22F45FCB7E6C2DF17EC9010D19FC494368F97F984FE215A12CF58D6BDE7805CC</t>
  </si>
  <si>
    <t>4CA9E9D4537CCFF77F6491B4B06B207491452CAE9606BEDFB28B6C5924E689DC</t>
  </si>
  <si>
    <t>273CAB50FEFE1A3706E243655568283713DC1DB3150263D43EFC0C7E273E0608</t>
  </si>
  <si>
    <t>2004DF82B1DB660BF3A4E5DFEF15570D13CC4350A2458938717DCFFC52B28E99</t>
  </si>
  <si>
    <t>A86417DFF45CB0B9462FD6D43DA093F95F7AF7524E36E4B57CE78B82974C7241</t>
  </si>
  <si>
    <t>A91C742A303FA476E8734FFF7879F20F0DEEEB947242138A1FC2D52CF7644424</t>
  </si>
  <si>
    <t>DA6B0CEC36048FFE7F6FA64B8BBBF685C71D247524D88B242FBABA931D9B915D</t>
  </si>
  <si>
    <t>7F590ED36A94AF8A719DAD2D5F64923EE87070104EF30D3E371FD4544477D9DA</t>
  </si>
  <si>
    <t>217D2D04C9AA0B1306F8698AED5EE2874E9F9417ED2D6B3733067D0895240845</t>
  </si>
  <si>
    <t>89735D1A43D5DA818CC0F7B0A8D90FF198AE2EC1F7F7B55257F2AB929789C207</t>
  </si>
  <si>
    <t>F28F9D383227FF6DA86184C1ADFBB1F741577088778E6842F162A0D73333933A</t>
  </si>
  <si>
    <t>1304336F1D186B8F4DEA332DDCF8F4EBBC34E344D0E3F20B8D16155E4920A011</t>
  </si>
  <si>
    <t>A25263257E7BB78EE4C6648DD04901DB2624726FF5E1099A5695A3988CECD3B2</t>
  </si>
  <si>
    <t>9713EECBCD9FA70B38581DC16170F78E593D8CAEE5420202EB83B16B9D9C474D</t>
  </si>
  <si>
    <t>6590AC0F4C959A0C695AFB3AFBFFFC15E992D8B92ADACD7A1DDBAD1CED9452FD</t>
  </si>
  <si>
    <t>3A0128467A7BEB4796BABFFE7336AB171AA2D02C8C22D1C61CE28A07800097AD</t>
  </si>
  <si>
    <t>7A9D2C74EDD3BEB22AE42FF3E753D6436EC28077799E627E3BDB18BCB79193FC</t>
  </si>
  <si>
    <t>E1B69DA89786A2BB88EE5C71BC1BB6D3888B7F5D8A138683F9AF14757A8E4017</t>
  </si>
  <si>
    <t>3EEBA7FFA54C31CDE8DA460BF46AD3CDD92A06C10A7168CA4788D60BDB5E34A5</t>
  </si>
  <si>
    <t>B763051D880866A5E404C34B4A6865FC5B0675148A3D38689BB4565D6B4E4B5F</t>
  </si>
  <si>
    <t>D50F4386D8DB96FF86E2F2F87669D0E76E34A8841A6549BB07D455007A96AE00</t>
  </si>
  <si>
    <t>4B7895D9F1BE8419C8617EC47139F7678247508240E6AD0410D290AA9EDBD86A</t>
  </si>
  <si>
    <t>566CFB0490E0673E2B1C05DBD53BF43EC912563130D3500D7D0412BA05F22E26</t>
  </si>
  <si>
    <t>72BEC8428DBC4507CEBF6F262EF56106A78074B8A761BFEF804F93DA265B0999</t>
  </si>
  <si>
    <t>3C5BAFA1EEE1F6EDACF0688DB01881E80CC3E23287CE5AD06CAFF68A23F6E888</t>
  </si>
  <si>
    <t>5908E778B614BE915DF3287142CEB1EF67F45F8652D8618BEDC609B03C15EDE6</t>
  </si>
  <si>
    <t>67F6CAD12EE88325D326D49F05BC5F18EB7D572A503DC37968998248CED037DE</t>
  </si>
  <si>
    <t>78BE58840FD475A1FA82D7E912CE9365DA4E14D560BB400850D9BE68176A4351</t>
  </si>
  <si>
    <t>8535017990ABF731B09208886CFD5EF1FC850D16863ED039077CE439D8C33F74</t>
  </si>
  <si>
    <t>8E28C901D68A4DABFAC718779DC69EA5512A8F6FF0CAC1F79709685E63F2589B</t>
  </si>
  <si>
    <t>B376B3BA258AB0510FABC23CB07318E245B552F8FE0FA596B02BCC8F44323E97</t>
  </si>
  <si>
    <t>C1FA5F284B1DE3167B6AF3D37827881B3543E214FC7EC6325DDCFF889AB3078C</t>
  </si>
  <si>
    <t>C6CA7086234D03185E82CCADC962B923B47AC2243F88C832AFD2E6B6A894C388</t>
  </si>
  <si>
    <t>F4EF8D4EFB6E4117BA6AC7EC0FF3D25C6878ED735D6A59F7815F81249403BED1</t>
  </si>
  <si>
    <t>DA4E71B7A5B0313E52902BE5FE77B1B44E641CFF3C40C486917770C024A6305D</t>
  </si>
  <si>
    <t>F70295881DE89B92856383BCB43774EF89A93C3DE63C7A5C00703486EA6E76F6</t>
  </si>
  <si>
    <t>88DEB6609550054BB5C6145A30D9134B9C34E14894AD21C971B91F89AA5C7F9F</t>
  </si>
  <si>
    <t>801C3E8FB8E0CDAE29CDBEE429943DB05EFEFF447E4D092AC12151258AFB7C68</t>
  </si>
  <si>
    <t>29EA25E4957F196539BE4853B220C8FBAB19019859B81BCCF6F5F9F178B8F733</t>
  </si>
  <si>
    <t>A675B29C33F0694625BCA18DFC9BE16213D3D1D3575308CA666FFA24B472F7D8</t>
  </si>
  <si>
    <t>86FC209639BC23B9510C19BCAF728734470F8D81A01603164F2E70D2DCBC1116</t>
  </si>
  <si>
    <t>8A411C42D18ECABEAA88152CD863E0A7B7B54C1AECECFA85D75682B53C0F4806</t>
  </si>
  <si>
    <t>6A0F102E557F655CFDCD575CE98667EE9C418577B62CC91FAC23D3610294F951</t>
  </si>
  <si>
    <t>65034E065076B6B77571764CDD184F32BC803908F2B068FC8AFEE43B2BAAB592</t>
  </si>
  <si>
    <t>C0273358397D790453696EB0E74854663D8D9445ED0A8A4F146F062039DEE9AD</t>
  </si>
  <si>
    <t>13684F526BEEF6506F06FC93B71ED79B7A1FB1E95DF0DE27FF004ABD645FB5C5</t>
  </si>
  <si>
    <t>836E77FBDAD6E9B80CBAC44125B69F0208789C2E71754C660E338E0A58EDA9A8</t>
  </si>
  <si>
    <t>616BF65EA8C795F368B4E2E9CFC2C4AFB7BB7AC88DFFA2ADB6BB1D17BAA4D363</t>
  </si>
  <si>
    <t>4049678E7A5751F0291AE695D13CA976D035B2A0A2006BA10BD99CBF1BC23079</t>
  </si>
  <si>
    <t>5CC3F4A43C4133F1EA72854587D97CC76822FF257B6F99FD25746DBBE8BD3D02</t>
  </si>
  <si>
    <t>6DE73CE0334413B400ACD4B965670509EDDE23C9733E84FE28735E60B6563D30</t>
  </si>
  <si>
    <t>DC54FC29C20CA358E8750681371D2DDF26368DB666D8666514C6D79D576E535C</t>
  </si>
  <si>
    <t>D46F19B060C3342A0BCC79E05A12EB6BA4F67BBD29AFA547AE5FC8B4B9C63C26</t>
  </si>
  <si>
    <t>CC9408205608DEAB61DE32BE191900F0904BFCA9A9D6674C639DCD6702A02E95</t>
  </si>
  <si>
    <t>17E946AA2AEC769760CC99B31022541DF487F52E8C63183785A1EF60206A869E</t>
  </si>
  <si>
    <t>7A27285BAF10454B6BF3045194BA0A37A6CFC86C7F8745ADE1A4D37769C49A84</t>
  </si>
  <si>
    <t>B4180CDBA7F2524CEA74887445AA0D297BF55197A729E490030395BA5AF99926</t>
  </si>
  <si>
    <t>BD2DD512E4DE75C6E0F692B81B7B760E7B66C3A4FEF4FD096CB86325960F5EB6</t>
  </si>
  <si>
    <t>906BDA46E2B13C352DF7223BADEBE29236D389B0580537806530B21967ABB6A4</t>
  </si>
  <si>
    <t>D6F88740688BEFEC331F41077E905104FFEDB954E1103683562D83FD99791D24</t>
  </si>
  <si>
    <t>2428286744935CE605A6B12A8DC53195A0764086062996E3ACE1D8A15F767A40</t>
  </si>
  <si>
    <t>2BEDC8C9C99A8D3960404E2B525C287CD9EF8407FE289499FB12B13F191BF098</t>
  </si>
  <si>
    <t>2F31383AB5A67C2628C765191838CEDE42347D9553F23A7C76069B1D1D1BF0D7</t>
  </si>
  <si>
    <t>788A1FA6F04889D940181477CB7311F76BF4AD29922CC5AB67BA4008E1DF627C</t>
  </si>
  <si>
    <t>BE86202012DA6B1D4ABF0777F5EE90C7C12EFF40E9EDA410280BB650743656B8</t>
  </si>
  <si>
    <t>9BC2EA50A8D478E1CB02C1640B4FB07181C1A3CE0334607B985574148BF71ACE</t>
  </si>
  <si>
    <t>86CAD7246F25473AC923A167571F48525D7B6D9A7084CA58ED02F31FA1B683A6</t>
  </si>
  <si>
    <t>C6B747BFEB11D7598722268A7C3A047E3708730B6788E3C639AC5549AE21BA25</t>
  </si>
  <si>
    <t>DD6707C04D86CC219B3CAFB1875D4AF20006682971354CE167A9AB1047A58454</t>
  </si>
  <si>
    <t>955DBD6DBB92A7CB32F8934260042661A83795FE48A567A128E94BAD656AA87B</t>
  </si>
  <si>
    <t>11B687183CAFEED7FC8E58F3488451DDBB4D943A07C8727FDCCE399CCA3B87EC</t>
  </si>
  <si>
    <t>D12D67FFBD6E1089A547F94B6DDF71E57D5DE90CFC71270DD23422F532AB1D3D</t>
  </si>
  <si>
    <t>243D8EEB9CF701BF3732B5E1666B3C3375C9D24734D1DF6BCA45643744D7EFC1</t>
  </si>
  <si>
    <t>C1C941C074C2F773689D1365F6C6DD19D944259ACECEB7CA158F490DE881C462</t>
  </si>
  <si>
    <t>12B562AF58B237419504EF46E9616DDCF3714B6D93417FD7800C26C83E8EAB60</t>
  </si>
  <si>
    <t>24C521746C08C1382C41E3FC5915CC3AEDFC34A545506B72FEA8D0A7C89AD983</t>
  </si>
  <si>
    <t>85B8A49FCC58CC17EBDBEFE8173A148CB35A2D810053E1D9EA40B30FD4E37FCC</t>
  </si>
  <si>
    <t>8132ED4C76E1CB458B6998AF52DE32C45DC6CD8680D66B4C9CC883094D6F05C3</t>
  </si>
  <si>
    <t>4FD133F33B636C8996F6745BD4491A687E91039F2F9438657E194F061F50DC55</t>
  </si>
  <si>
    <t>5371FBC0CCB3205B5ECD9863139B44749D00874783C6221E9C8CCD9EF2BDA97F</t>
  </si>
  <si>
    <t>5DE738C52C747B73CDD870457BEA39DD36FA503158E42B95869A0FFE54F8B0E1</t>
  </si>
  <si>
    <t>926AA70D63B80FA356D8B9B5B0582C45DF94C23D250E83D374D3A986A6F78F06</t>
  </si>
  <si>
    <t>9F772DAF2064149E75305E56E9748C700C8E4225C540FAA1971370A4C41ABFFA</t>
  </si>
  <si>
    <t>3A346BC0AD599FC7CEABD130717F014A82ACA4EDC74376A23D9F60C30F3DD0E3</t>
  </si>
  <si>
    <t>DAD7013BF5D4D69280E2F46291D00A9BE319B93482EB71FF1C82A71579DEFD13</t>
  </si>
  <si>
    <t>DE892044B394151CA37B807CE99CEB3C2E6028EAE3173DA23EC156D66EB115AC</t>
  </si>
  <si>
    <t>B502A0A2F752409DBA8BB0829894A646929D52DD4C81EB52761CC7E426E0D192</t>
  </si>
  <si>
    <t>8E285E61ADEA32B69DD40DFD989FC8FE7646ED063DE691B11740B3ACCC94043B</t>
  </si>
  <si>
    <t>19EAD68ED3ED79E4CEC536BFEA40B44062DEE4CAB8DD9C8100BFD2ED3EFF25B9</t>
  </si>
  <si>
    <t>ABBCDA1FE500845426FD9F5C42A62DD5C86E7BD6AA54A9045894F4A303997FE2</t>
  </si>
  <si>
    <t>8DD121BFA4D273A599C0217B58B404C4581BCBB6E1E4E6DA66675CBB22CF43E8</t>
  </si>
  <si>
    <t>C1C30118C029A096A181EA3AD49337601E628192F92C21E44C8B664E2C8E0581</t>
  </si>
  <si>
    <t>48F69FF1A6CD47024C80D851991FB707AFA1133F59CA20E842CE19863F1E427B</t>
  </si>
  <si>
    <t>6B9F5C16D582B15E5688CE6E915C2D19FA59E2CB7B170BC8FE74DA03F3056F18</t>
  </si>
  <si>
    <t>4FFF148401E54737CE83C8797990DE23F403B1F96366703FB440D781B975369E</t>
  </si>
  <si>
    <t>Rótulos de Linha</t>
  </si>
  <si>
    <t>Total Geral</t>
  </si>
  <si>
    <t>01/jan</t>
  </si>
  <si>
    <t>03/jan</t>
  </si>
  <si>
    <t>05/jan</t>
  </si>
  <si>
    <t>06/jan</t>
  </si>
  <si>
    <t>08/jan</t>
  </si>
  <si>
    <t>09/jan</t>
  </si>
  <si>
    <t>10/jan</t>
  </si>
  <si>
    <t>11/jan</t>
  </si>
  <si>
    <t>12/jan</t>
  </si>
  <si>
    <t>13/jan</t>
  </si>
  <si>
    <t>15/jan</t>
  </si>
  <si>
    <t>16/jan</t>
  </si>
  <si>
    <t>17/jan</t>
  </si>
  <si>
    <t>18/jan</t>
  </si>
  <si>
    <t>20/jan</t>
  </si>
  <si>
    <t>21/jan</t>
  </si>
  <si>
    <t>22/jan</t>
  </si>
  <si>
    <t>23/jan</t>
  </si>
  <si>
    <t>24/jan</t>
  </si>
  <si>
    <t>25/jan</t>
  </si>
  <si>
    <t>27/jan</t>
  </si>
  <si>
    <t>28/jan</t>
  </si>
  <si>
    <t>29/jan</t>
  </si>
  <si>
    <t>30/jan</t>
  </si>
  <si>
    <t>31/jan</t>
  </si>
  <si>
    <t>01/fev</t>
  </si>
  <si>
    <t>03/fev</t>
  </si>
  <si>
    <t>04/fev</t>
  </si>
  <si>
    <t>05/fev</t>
  </si>
  <si>
    <t>06/fev</t>
  </si>
  <si>
    <t>07/fev</t>
  </si>
  <si>
    <t>08/fev</t>
  </si>
  <si>
    <t>09/fev</t>
  </si>
  <si>
    <t>11/fev</t>
  </si>
  <si>
    <t>12/fev</t>
  </si>
  <si>
    <t>13/fev</t>
  </si>
  <si>
    <t>15/fev</t>
  </si>
  <si>
    <t>16/fev</t>
  </si>
  <si>
    <t>18/fev</t>
  </si>
  <si>
    <t>19/fev</t>
  </si>
  <si>
    <t>20/fev</t>
  </si>
  <si>
    <t>21/fev</t>
  </si>
  <si>
    <t>23/fev</t>
  </si>
  <si>
    <t>24/fev</t>
  </si>
  <si>
    <t>25/fev</t>
  </si>
  <si>
    <t>26/fev</t>
  </si>
  <si>
    <t>02/mar</t>
  </si>
  <si>
    <t>03/mar</t>
  </si>
  <si>
    <t>06/mar</t>
  </si>
  <si>
    <t>07/mar</t>
  </si>
  <si>
    <t>11/mar</t>
  </si>
  <si>
    <t>14/mar</t>
  </si>
  <si>
    <t>15/mar</t>
  </si>
  <si>
    <t>17/mar</t>
  </si>
  <si>
    <t>18/mar</t>
  </si>
  <si>
    <t>20/mar</t>
  </si>
  <si>
    <t>22/mar</t>
  </si>
  <si>
    <t>23/mar</t>
  </si>
  <si>
    <t>24/mar</t>
  </si>
  <si>
    <t>25/mar</t>
  </si>
  <si>
    <t>26/mar</t>
  </si>
  <si>
    <t>27/mar</t>
  </si>
  <si>
    <t>(Tudo)</t>
  </si>
  <si>
    <t>CATÓLICA</t>
  </si>
  <si>
    <t>RELIGIOSIDADES AFROBRASILEIRA</t>
  </si>
  <si>
    <t>28/mar</t>
  </si>
  <si>
    <t>29/mar</t>
  </si>
  <si>
    <t>30/mar</t>
  </si>
  <si>
    <t>31/mar</t>
  </si>
  <si>
    <t>01/abr</t>
  </si>
  <si>
    <t>02/abr</t>
  </si>
  <si>
    <t>03/abr</t>
  </si>
  <si>
    <t>04/abr</t>
  </si>
  <si>
    <t>05/abr</t>
  </si>
  <si>
    <t>07/abr</t>
  </si>
  <si>
    <t>08/abr</t>
  </si>
  <si>
    <t>09/abr</t>
  </si>
  <si>
    <t>11/abr</t>
  </si>
  <si>
    <t>12/abr</t>
  </si>
  <si>
    <t>13/abr</t>
  </si>
  <si>
    <t>14/abr</t>
  </si>
  <si>
    <t>15/abr</t>
  </si>
  <si>
    <t>16/abr</t>
  </si>
  <si>
    <t>17/abr</t>
  </si>
  <si>
    <t>18/abr</t>
  </si>
  <si>
    <t>20/abr</t>
  </si>
  <si>
    <t>21/abr</t>
  </si>
  <si>
    <t>22/abr</t>
  </si>
  <si>
    <t>24/abr</t>
  </si>
  <si>
    <t>25/abr</t>
  </si>
  <si>
    <t>26/abr</t>
  </si>
  <si>
    <t>28/abr</t>
  </si>
  <si>
    <t>29/abr</t>
  </si>
  <si>
    <t>30/abr</t>
  </si>
  <si>
    <t>02/mai</t>
  </si>
  <si>
    <t>05/mai</t>
  </si>
  <si>
    <t>06/mai</t>
  </si>
  <si>
    <t>07/mai</t>
  </si>
  <si>
    <t>08/mai</t>
  </si>
  <si>
    <t>09/mai</t>
  </si>
  <si>
    <t>10/mai</t>
  </si>
  <si>
    <t>11/mai</t>
  </si>
  <si>
    <t>12/mai</t>
  </si>
  <si>
    <t>13/mai</t>
  </si>
  <si>
    <t>14/mai</t>
  </si>
  <si>
    <t>15/mai</t>
  </si>
  <si>
    <t>17/mai</t>
  </si>
  <si>
    <t>18/mai</t>
  </si>
  <si>
    <t>19/mai</t>
  </si>
  <si>
    <t>20/mai</t>
  </si>
  <si>
    <t>21/mai</t>
  </si>
  <si>
    <t>22/mai</t>
  </si>
  <si>
    <t>23/mai</t>
  </si>
  <si>
    <t>24/mai</t>
  </si>
  <si>
    <t>25/mai</t>
  </si>
  <si>
    <t>26/mai</t>
  </si>
  <si>
    <t>27/mai</t>
  </si>
  <si>
    <t>28/mai</t>
  </si>
  <si>
    <t>29/mai</t>
  </si>
  <si>
    <t>02/jun</t>
  </si>
  <si>
    <t>04/jun</t>
  </si>
  <si>
    <t>05/jun</t>
  </si>
  <si>
    <t>06/jun</t>
  </si>
  <si>
    <t>07/jun</t>
  </si>
  <si>
    <t>08/jun</t>
  </si>
  <si>
    <t>09/jun</t>
  </si>
  <si>
    <t>10/jun</t>
  </si>
  <si>
    <t>11/jun</t>
  </si>
  <si>
    <t>12/jun</t>
  </si>
  <si>
    <t>13/jun</t>
  </si>
  <si>
    <t>14/jun</t>
  </si>
  <si>
    <t>15/jun</t>
  </si>
  <si>
    <t>16/jun</t>
  </si>
  <si>
    <t>17/jun</t>
  </si>
  <si>
    <t>18/jun</t>
  </si>
  <si>
    <t>19/jun</t>
  </si>
  <si>
    <t>21/jun</t>
  </si>
  <si>
    <t>23/jun</t>
  </si>
  <si>
    <t>25/jun</t>
  </si>
  <si>
    <t>26/jun</t>
  </si>
  <si>
    <t>27/jun</t>
  </si>
  <si>
    <t>28/jun</t>
  </si>
  <si>
    <t>29/jun</t>
  </si>
  <si>
    <t>30/jun</t>
  </si>
  <si>
    <t>Abril</t>
  </si>
  <si>
    <t>Maio</t>
  </si>
  <si>
    <t>Junho</t>
  </si>
  <si>
    <t>ACIMA DE 59 ANOS</t>
  </si>
  <si>
    <t>Número de denúncias</t>
  </si>
  <si>
    <t>Nº de Denúncias</t>
  </si>
  <si>
    <t>Média</t>
  </si>
  <si>
    <t>Moda</t>
  </si>
  <si>
    <t>Mediana</t>
  </si>
  <si>
    <t xml:space="preserve">Mínimo </t>
  </si>
  <si>
    <t>Máximo</t>
  </si>
  <si>
    <t>Rótulos de Coluna</t>
  </si>
  <si>
    <t>Valores</t>
  </si>
  <si>
    <t>Dias</t>
  </si>
  <si>
    <t>Número de Denúncia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</si>
</sst>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A727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DE1D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medium">
        <color rgb="FF1A7274"/>
      </right>
      <top/>
      <bottom/>
      <diagonal/>
    </border>
    <border>
      <left/>
      <right/>
      <top/>
      <bottom style="medium">
        <color rgb="FF1A7274"/>
      </bottom>
      <diagonal/>
    </border>
    <border>
      <left/>
      <right style="medium">
        <color rgb="FF1A7274"/>
      </right>
      <top/>
      <bottom style="medium">
        <color rgb="FF1A7274"/>
      </bottom>
      <diagonal/>
    </border>
    <border>
      <left style="medium">
        <color rgb="FF1A7274"/>
      </left>
      <right style="medium">
        <color rgb="FF1A7274"/>
      </right>
      <top/>
      <bottom/>
      <diagonal/>
    </border>
    <border>
      <left style="medium">
        <color rgb="FF1A7274"/>
      </left>
      <right style="medium">
        <color rgb="FF1A7274"/>
      </right>
      <top/>
      <bottom style="medium">
        <color rgb="FF1A7274"/>
      </bottom>
      <diagonal/>
    </border>
    <border>
      <left style="medium">
        <color rgb="FF1A7274"/>
      </left>
      <right/>
      <top style="medium">
        <color rgb="FF1A7274"/>
      </top>
      <bottom style="medium">
        <color rgb="FF1A7274"/>
      </bottom>
      <diagonal/>
    </border>
    <border>
      <left/>
      <right style="medium">
        <color rgb="FF1A7274"/>
      </right>
      <top style="medium">
        <color rgb="FF1A7274"/>
      </top>
      <bottom style="medium">
        <color rgb="FF1A7274"/>
      </bottom>
      <diagonal/>
    </border>
    <border>
      <left style="thin">
        <color theme="1"/>
      </left>
      <right style="thin">
        <color theme="1"/>
      </right>
      <top style="medium">
        <color rgb="FF1A7274"/>
      </top>
      <bottom style="medium">
        <color rgb="FF1A7274"/>
      </bottom>
      <diagonal/>
    </border>
    <border>
      <left style="thin">
        <color theme="1"/>
      </left>
      <right style="medium">
        <color rgb="FF1A7274"/>
      </right>
      <top style="medium">
        <color rgb="FF1A7274"/>
      </top>
      <bottom style="medium">
        <color rgb="FF1A727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/>
    <xf numFmtId="0" fontId="0" fillId="0" borderId="0" xfId="0" pivotButton="1"/>
    <xf numFmtId="0" fontId="0" fillId="0" borderId="0" xfId="0" applyNumberFormat="1"/>
    <xf numFmtId="9" fontId="0" fillId="0" borderId="0" xfId="1" applyFont="1"/>
    <xf numFmtId="10" fontId="0" fillId="0" borderId="0" xfId="0" applyNumberFormat="1"/>
    <xf numFmtId="0" fontId="1" fillId="2" borderId="2" xfId="0" applyNumberFormat="1" applyFont="1" applyFill="1" applyBorder="1"/>
    <xf numFmtId="0" fontId="0" fillId="0" borderId="0" xfId="0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5" borderId="6" xfId="0" applyFont="1" applyFill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4" fillId="3" borderId="9" xfId="0" applyFont="1" applyFill="1" applyBorder="1" applyAlignment="1">
      <alignment horizontal="center"/>
    </xf>
    <xf numFmtId="0" fontId="0" fillId="0" borderId="8" xfId="0" applyBorder="1" applyAlignment="1">
      <alignment vertical="center"/>
    </xf>
    <xf numFmtId="0" fontId="4" fillId="3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23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colors>
    <mruColors>
      <color rgb="FF1A7274"/>
      <color rgb="FFBDE1D1"/>
      <color rgb="FFAB1D6B"/>
      <color rgb="FF8E0000"/>
      <color rgb="FF52482C"/>
      <color rgb="FFA482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SET.xlsx]Vitimas x orientação religiosa!Tabela dinâmica5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DISTRIBUIÇÃO</a:t>
            </a:r>
            <a:r>
              <a:rPr lang="en-US" sz="1400" baseline="0"/>
              <a:t> DAS VÍTIMAS POR ORIENTAÇÃO RELIGIOSA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1A7274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689009104535249"/>
          <c:y val="0.12168635170603675"/>
          <c:w val="0.87025039108266078"/>
          <c:h val="0.51973851447702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'Vitimas x orientação religiosa'!$B$3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A7274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'Vitimas x orientação religiosa'!$A$4:$A$13</c:f>
              <c:strCache>
                <c:ptCount val="9"/>
                <c:pt idx="0">
                  <c:v>UMBANDA E CANDOMBLÉ</c:v>
                </c:pt>
                <c:pt idx="1">
                  <c:v>RELIGIOSIDADES AFROBRASILEIRA</c:v>
                </c:pt>
                <c:pt idx="2">
                  <c:v>CATÓLICA</c:v>
                </c:pt>
                <c:pt idx="3">
                  <c:v>EVANGÉLICA</c:v>
                </c:pt>
                <c:pt idx="4">
                  <c:v>ESPÍRITA</c:v>
                </c:pt>
                <c:pt idx="5">
                  <c:v>NÃO DETERMINADA E MULTIPLO PERTENCIMENTO</c:v>
                </c:pt>
                <c:pt idx="6">
                  <c:v>ISLAMISMO</c:v>
                </c:pt>
                <c:pt idx="7">
                  <c:v>JUDAÍSMO</c:v>
                </c:pt>
                <c:pt idx="8">
                  <c:v>OUTRAS RELIGIOSIDADES CRISTÃS</c:v>
                </c:pt>
              </c:strCache>
            </c:strRef>
          </c:cat>
          <c:val>
            <c:numRef>
              <c:f>'Vitimas x orientação religiosa'!$B$4:$B$13</c:f>
              <c:numCache>
                <c:formatCode>0.00%</c:formatCode>
                <c:ptCount val="9"/>
                <c:pt idx="0">
                  <c:v>0.65359477124183007</c:v>
                </c:pt>
                <c:pt idx="1">
                  <c:v>0.1111111111111111</c:v>
                </c:pt>
                <c:pt idx="2">
                  <c:v>7.1895424836601302E-2</c:v>
                </c:pt>
                <c:pt idx="3">
                  <c:v>7.1895424836601302E-2</c:v>
                </c:pt>
                <c:pt idx="4">
                  <c:v>4.5751633986928102E-2</c:v>
                </c:pt>
                <c:pt idx="5">
                  <c:v>1.3071895424836602E-2</c:v>
                </c:pt>
                <c:pt idx="6">
                  <c:v>1.3071895424836602E-2</c:v>
                </c:pt>
                <c:pt idx="7">
                  <c:v>1.3071895424836602E-2</c:v>
                </c:pt>
                <c:pt idx="8">
                  <c:v>6.5359477124183009E-3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99-47B3-A789-9B361BD6A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29142080"/>
        <c:axId val="1929143040"/>
      </c:barChart>
      <c:valAx>
        <c:axId val="192914304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929142080"/>
        <c:crossBetween val="between"/>
      </c:valAx>
      <c:catAx>
        <c:axId val="192914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914304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1A7274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SET.xlsx]Evolução das denuncias!Tabela dinâmica6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EVOLUÇÃO</a:t>
            </a:r>
            <a:r>
              <a:rPr lang="en-US" sz="1400"/>
              <a:t> DAS DENÚNCIAS</a:t>
            </a:r>
            <a:r>
              <a:rPr lang="en-US" sz="1400" baseline="0"/>
              <a:t> AO LONGO DO TEMPO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0338164251207819E-2"/>
              <c:y val="3.28006565550986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516908212560391E-2"/>
              <c:y val="-4.25844630778085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'Evolução das denuncias'!$B$3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2"/>
              <c:layout>
                <c:manualLayout>
                  <c:x val="-5.516908212560391E-2"/>
                  <c:y val="-4.25844630778085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B89-4492-A41E-3DDE2D77E900}"/>
                </c:ext>
              </c:extLst>
            </c:dLbl>
            <c:dLbl>
              <c:idx val="4"/>
              <c:layout>
                <c:manualLayout>
                  <c:x val="-3.0338164251207819E-2"/>
                  <c:y val="3.28006565550986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B89-4492-A41E-3DDE2D77E9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'Evolução das denuncias'!$A$4:$A$10</c:f>
              <c:strCache>
                <c:ptCount val="6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</c:strCache>
            </c:strRef>
          </c:cat>
          <c:val>
            <c:numRef>
              <c:f>'Evolução das denuncias'!$B$4:$B$10</c:f>
              <c:numCache>
                <c:formatCode>General</c:formatCode>
                <c:ptCount val="6"/>
                <c:pt idx="0">
                  <c:v>156</c:v>
                </c:pt>
                <c:pt idx="1">
                  <c:v>194</c:v>
                </c:pt>
                <c:pt idx="2">
                  <c:v>204</c:v>
                </c:pt>
                <c:pt idx="3">
                  <c:v>272</c:v>
                </c:pt>
                <c:pt idx="4">
                  <c:v>178</c:v>
                </c:pt>
                <c:pt idx="5">
                  <c:v>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89-4492-A41E-3DDE2D77E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7253040"/>
        <c:axId val="1927251600"/>
      </c:lineChart>
      <c:catAx>
        <c:axId val="192725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7251600"/>
        <c:crosses val="autoZero"/>
        <c:auto val="1"/>
        <c:lblAlgn val="ctr"/>
        <c:lblOffset val="100"/>
        <c:noMultiLvlLbl val="0"/>
      </c:catAx>
      <c:valAx>
        <c:axId val="1927251600"/>
        <c:scaling>
          <c:orientation val="minMax"/>
          <c:min val="6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2725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1A7274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SET.xlsx]Vitimas e Suspeitos!Tabela dinâmica8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400" b="1" i="0" u="none" strike="noStrike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RAÇA/COR DA VÍTIMA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3078556263270122E-3"/>
              <c:y val="-8.988764044943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3694267515923469E-2"/>
              <c:y val="-5.61797752808989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7579617834394899E-2"/>
              <c:y val="-2.99625468164794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A727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9002123142250529E-2"/>
              <c:y val="7.86516853932582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A4825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35031847133758"/>
              <c:y val="1.49812734082397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52482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1231422505307903E-2"/>
              <c:y val="-0.1048689138576779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'Vitimas e Suspeitos'!$B$3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C0A-4141-947C-23E7A67B1F08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C0A-4141-947C-23E7A67B1F08}"/>
              </c:ext>
            </c:extLst>
          </c:dPt>
          <c:dPt>
            <c:idx val="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C0A-4141-947C-23E7A67B1F08}"/>
              </c:ext>
            </c:extLst>
          </c:dPt>
          <c:dPt>
            <c:idx val="3"/>
            <c:bubble3D val="0"/>
            <c:spPr>
              <a:solidFill>
                <a:srgbClr val="1A727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C0A-4141-947C-23E7A67B1F08}"/>
              </c:ext>
            </c:extLst>
          </c:dPt>
          <c:dPt>
            <c:idx val="4"/>
            <c:bubble3D val="0"/>
            <c:spPr>
              <a:solidFill>
                <a:srgbClr val="A4825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C0A-4141-947C-23E7A67B1F08}"/>
              </c:ext>
            </c:extLst>
          </c:dPt>
          <c:dPt>
            <c:idx val="5"/>
            <c:bubble3D val="0"/>
            <c:spPr>
              <a:solidFill>
                <a:srgbClr val="52482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C0A-4141-947C-23E7A67B1F08}"/>
              </c:ext>
            </c:extLst>
          </c:dPt>
          <c:dLbls>
            <c:dLbl>
              <c:idx val="0"/>
              <c:layout>
                <c:manualLayout>
                  <c:x val="5.3078556263270122E-3"/>
                  <c:y val="-8.9887640449438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C0A-4141-947C-23E7A67B1F08}"/>
                </c:ext>
              </c:extLst>
            </c:dLbl>
            <c:dLbl>
              <c:idx val="1"/>
              <c:layout>
                <c:manualLayout>
                  <c:x val="6.3694267515923469E-2"/>
                  <c:y val="-5.61797752808989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C0A-4141-947C-23E7A67B1F08}"/>
                </c:ext>
              </c:extLst>
            </c:dLbl>
            <c:dLbl>
              <c:idx val="2"/>
              <c:layout>
                <c:manualLayout>
                  <c:x val="8.7579617834394899E-2"/>
                  <c:y val="-2.996254681647940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C0A-4141-947C-23E7A67B1F08}"/>
                </c:ext>
              </c:extLst>
            </c:dLbl>
            <c:dLbl>
              <c:idx val="3"/>
              <c:layout>
                <c:manualLayout>
                  <c:x val="6.9002123142250529E-2"/>
                  <c:y val="7.865168539325828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3C0A-4141-947C-23E7A67B1F08}"/>
                </c:ext>
              </c:extLst>
            </c:dLbl>
            <c:dLbl>
              <c:idx val="4"/>
              <c:layout>
                <c:manualLayout>
                  <c:x val="-0.1035031847133758"/>
                  <c:y val="1.498127340823970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C0A-4141-947C-23E7A67B1F08}"/>
                </c:ext>
              </c:extLst>
            </c:dLbl>
            <c:dLbl>
              <c:idx val="5"/>
              <c:layout>
                <c:manualLayout>
                  <c:x val="-2.1231422505307903E-2"/>
                  <c:y val="-0.10486891385767791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C0A-4141-947C-23E7A67B1F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'Vitimas e Suspeitos'!$A$4:$A$10</c:f>
              <c:strCache>
                <c:ptCount val="6"/>
                <c:pt idx="0">
                  <c:v>AMARELA</c:v>
                </c:pt>
                <c:pt idx="1">
                  <c:v>BRANCA</c:v>
                </c:pt>
                <c:pt idx="2">
                  <c:v>INDÍGENA</c:v>
                </c:pt>
                <c:pt idx="3">
                  <c:v>NÃO INFORMADO</c:v>
                </c:pt>
                <c:pt idx="4">
                  <c:v>PARDA</c:v>
                </c:pt>
                <c:pt idx="5">
                  <c:v>PRETA</c:v>
                </c:pt>
              </c:strCache>
            </c:strRef>
          </c:cat>
          <c:val>
            <c:numRef>
              <c:f>'Vitimas e Suspeitos'!$B$4:$B$10</c:f>
              <c:numCache>
                <c:formatCode>General</c:formatCode>
                <c:ptCount val="6"/>
                <c:pt idx="0">
                  <c:v>28</c:v>
                </c:pt>
                <c:pt idx="1">
                  <c:v>214</c:v>
                </c:pt>
                <c:pt idx="2">
                  <c:v>2</c:v>
                </c:pt>
                <c:pt idx="3">
                  <c:v>588</c:v>
                </c:pt>
                <c:pt idx="4">
                  <c:v>340</c:v>
                </c:pt>
                <c:pt idx="5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0A-4141-947C-23E7A67B1F0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1A7274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SET.xlsx]Vitimas e Suspeitos!Tabela dinâmica15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RAÇA/COR DO SUSPEITO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A727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4488188976377951E-2"/>
              <c:y val="9.67866821525358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0555555555555561E-2"/>
              <c:y val="-6.9444444444444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A4825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2992125984251995E-2"/>
              <c:y val="-4.258614014711575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2482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5748031496062992E-2"/>
              <c:y val="-8.13008130081300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1863517060367453E-2"/>
              <c:y val="-1.54858691444058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'Vitimas e Suspeitos'!$E$3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4E-4FEA-98C8-5ADA010873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DA4E-4FEA-98C8-5ADA010873EE}"/>
              </c:ext>
            </c:extLst>
          </c:dPt>
          <c:dPt>
            <c:idx val="2"/>
            <c:bubble3D val="0"/>
            <c:spPr>
              <a:solidFill>
                <a:srgbClr val="1A727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A4E-4FEA-98C8-5ADA010873EE}"/>
              </c:ext>
            </c:extLst>
          </c:dPt>
          <c:dPt>
            <c:idx val="3"/>
            <c:bubble3D val="0"/>
            <c:spPr>
              <a:solidFill>
                <a:srgbClr val="A4825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A4E-4FEA-98C8-5ADA010873EE}"/>
              </c:ext>
            </c:extLst>
          </c:dPt>
          <c:dPt>
            <c:idx val="4"/>
            <c:bubble3D val="0"/>
            <c:spPr>
              <a:solidFill>
                <a:srgbClr val="52482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4E-4FEA-98C8-5ADA010873EE}"/>
              </c:ext>
            </c:extLst>
          </c:dPt>
          <c:dLbls>
            <c:dLbl>
              <c:idx val="0"/>
              <c:layout>
                <c:manualLayout>
                  <c:x val="8.0555555555555561E-2"/>
                  <c:y val="-6.944444444444448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A4E-4FEA-98C8-5ADA010873EE}"/>
                </c:ext>
              </c:extLst>
            </c:dLbl>
            <c:dLbl>
              <c:idx val="1"/>
              <c:layout>
                <c:manualLayout>
                  <c:x val="9.1863517060367453E-2"/>
                  <c:y val="-1.548586914440580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A4E-4FEA-98C8-5ADA010873EE}"/>
                </c:ext>
              </c:extLst>
            </c:dLbl>
            <c:dLbl>
              <c:idx val="2"/>
              <c:layout>
                <c:manualLayout>
                  <c:x val="9.4488188976377951E-2"/>
                  <c:y val="9.678668215253581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A4E-4FEA-98C8-5ADA010873EE}"/>
                </c:ext>
              </c:extLst>
            </c:dLbl>
            <c:dLbl>
              <c:idx val="3"/>
              <c:layout>
                <c:manualLayout>
                  <c:x val="-6.2992125984251995E-2"/>
                  <c:y val="-4.258614014711575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A4E-4FEA-98C8-5ADA010873EE}"/>
                </c:ext>
              </c:extLst>
            </c:dLbl>
            <c:dLbl>
              <c:idx val="4"/>
              <c:layout>
                <c:manualLayout>
                  <c:x val="-1.5748031496062992E-2"/>
                  <c:y val="-8.130081300813007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A4E-4FEA-98C8-5ADA010873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'Vitimas e Suspeitos'!$D$4:$D$9</c:f>
              <c:strCache>
                <c:ptCount val="5"/>
                <c:pt idx="0">
                  <c:v>BRANCA</c:v>
                </c:pt>
                <c:pt idx="1">
                  <c:v>INDÍGENA</c:v>
                </c:pt>
                <c:pt idx="2">
                  <c:v>NÃO INFORMADO</c:v>
                </c:pt>
                <c:pt idx="3">
                  <c:v>PARDA</c:v>
                </c:pt>
                <c:pt idx="4">
                  <c:v>PRETA</c:v>
                </c:pt>
              </c:strCache>
            </c:strRef>
          </c:cat>
          <c:val>
            <c:numRef>
              <c:f>'Vitimas e Suspeitos'!$E$4:$E$9</c:f>
              <c:numCache>
                <c:formatCode>General</c:formatCode>
                <c:ptCount val="5"/>
                <c:pt idx="0">
                  <c:v>268</c:v>
                </c:pt>
                <c:pt idx="1">
                  <c:v>2</c:v>
                </c:pt>
                <c:pt idx="2">
                  <c:v>744</c:v>
                </c:pt>
                <c:pt idx="3">
                  <c:v>206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4E-4FEA-98C8-5ADA010873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1A7274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SET.xlsx]Vitimas e Suspeitos!Tabela dinâmica13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GÊNERO DA VÍTIMA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A7274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bg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'Vitimas e Suspeitos'!$B$12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274-444C-86C3-77CEFDDABA27}"/>
              </c:ext>
            </c:extLst>
          </c:dPt>
          <c:dPt>
            <c:idx val="1"/>
            <c:bubble3D val="0"/>
            <c:spPr>
              <a:solidFill>
                <a:srgbClr val="1A727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274-444C-86C3-77CEFDDABA27}"/>
              </c:ext>
            </c:extLst>
          </c:dPt>
          <c:dPt>
            <c:idx val="2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74-444C-86C3-77CEFDDABA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'Vitimas e Suspeitos'!$A$13:$A$16</c:f>
              <c:strCache>
                <c:ptCount val="3"/>
                <c:pt idx="0">
                  <c:v>INTERSEXO</c:v>
                </c:pt>
                <c:pt idx="1">
                  <c:v>MASCULINO</c:v>
                </c:pt>
                <c:pt idx="2">
                  <c:v>NÃO INFORMADO</c:v>
                </c:pt>
              </c:strCache>
            </c:strRef>
          </c:cat>
          <c:val>
            <c:numRef>
              <c:f>'Vitimas e Suspeitos'!$B$13:$B$16</c:f>
              <c:numCache>
                <c:formatCode>General</c:formatCode>
                <c:ptCount val="3"/>
                <c:pt idx="0">
                  <c:v>12</c:v>
                </c:pt>
                <c:pt idx="1">
                  <c:v>834</c:v>
                </c:pt>
                <c:pt idx="2">
                  <c:v>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74-444C-86C3-77CEFDDABA2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1A7274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SET.xlsx]Vitimas e Suspeitos!Tabela dinâmica16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GENÊRO DO SUSPEITO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A7274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AB1D6B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bg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'Vitimas e Suspeitos'!$E$12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AB1D6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30-4DE6-B253-F6B22986D0D8}"/>
              </c:ext>
            </c:extLst>
          </c:dPt>
          <c:dPt>
            <c:idx val="1"/>
            <c:bubble3D val="0"/>
            <c:spPr>
              <a:solidFill>
                <a:srgbClr val="1A727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630-4DE6-B253-F6B22986D0D8}"/>
              </c:ext>
            </c:extLst>
          </c:dPt>
          <c:dPt>
            <c:idx val="2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630-4DE6-B253-F6B22986D0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'Vitimas e Suspeitos'!$D$13:$D$16</c:f>
              <c:strCache>
                <c:ptCount val="3"/>
                <c:pt idx="0">
                  <c:v>FEMININO</c:v>
                </c:pt>
                <c:pt idx="1">
                  <c:v>MASCULINO</c:v>
                </c:pt>
                <c:pt idx="2">
                  <c:v>NÃO INFORMADO</c:v>
                </c:pt>
              </c:strCache>
            </c:strRef>
          </c:cat>
          <c:val>
            <c:numRef>
              <c:f>'Vitimas e Suspeitos'!$E$13:$E$16</c:f>
              <c:numCache>
                <c:formatCode>General</c:formatCode>
                <c:ptCount val="3"/>
                <c:pt idx="0">
                  <c:v>380</c:v>
                </c:pt>
                <c:pt idx="1">
                  <c:v>526</c:v>
                </c:pt>
                <c:pt idx="2">
                  <c:v>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30-4DE6-B253-F6B22986D0D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1A7274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SET.xlsx]Vitimas e Suspeitos!Tabela dinâmica14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FAIXA ETÁRIA DA VÍTIMA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1A727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'Vitimas e Suspeitos'!$B$18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A727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'Vitimas e Suspeitos'!$A$19:$A$29</c:f>
              <c:strCache>
                <c:ptCount val="10"/>
                <c:pt idx="0">
                  <c:v>18 A 19 ANOS</c:v>
                </c:pt>
                <c:pt idx="1">
                  <c:v>20 A 24 ANOS</c:v>
                </c:pt>
                <c:pt idx="2">
                  <c:v>25 A 29 ANOS</c:v>
                </c:pt>
                <c:pt idx="3">
                  <c:v>30 A 34 ANOS</c:v>
                </c:pt>
                <c:pt idx="4">
                  <c:v>35 A 39 ANOS</c:v>
                </c:pt>
                <c:pt idx="5">
                  <c:v>40 A 44 ANOS</c:v>
                </c:pt>
                <c:pt idx="6">
                  <c:v>45 A 49 ANOS</c:v>
                </c:pt>
                <c:pt idx="7">
                  <c:v>50 A 54 ANOS</c:v>
                </c:pt>
                <c:pt idx="8">
                  <c:v>55 A 59 ANOS</c:v>
                </c:pt>
                <c:pt idx="9">
                  <c:v>NÃO INFORMADO</c:v>
                </c:pt>
              </c:strCache>
            </c:strRef>
          </c:cat>
          <c:val>
            <c:numRef>
              <c:f>'Vitimas e Suspeitos'!$B$19:$B$29</c:f>
              <c:numCache>
                <c:formatCode>General</c:formatCode>
                <c:ptCount val="10"/>
                <c:pt idx="0">
                  <c:v>88</c:v>
                </c:pt>
                <c:pt idx="1">
                  <c:v>174</c:v>
                </c:pt>
                <c:pt idx="2">
                  <c:v>130</c:v>
                </c:pt>
                <c:pt idx="3">
                  <c:v>284</c:v>
                </c:pt>
                <c:pt idx="4">
                  <c:v>206</c:v>
                </c:pt>
                <c:pt idx="5">
                  <c:v>138</c:v>
                </c:pt>
                <c:pt idx="6">
                  <c:v>134</c:v>
                </c:pt>
                <c:pt idx="7">
                  <c:v>52</c:v>
                </c:pt>
                <c:pt idx="8">
                  <c:v>42</c:v>
                </c:pt>
                <c:pt idx="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43-45C9-A706-7EA65174F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3985584"/>
        <c:axId val="1923989424"/>
      </c:barChart>
      <c:catAx>
        <c:axId val="1923985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3989424"/>
        <c:crosses val="autoZero"/>
        <c:auto val="1"/>
        <c:lblAlgn val="ctr"/>
        <c:lblOffset val="100"/>
        <c:noMultiLvlLbl val="0"/>
      </c:catAx>
      <c:valAx>
        <c:axId val="1923989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398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1A7274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SET.xlsx]Vitimas e Suspeitos!Tabela dinâmica17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FAIXA ETÁRIA DO SUSPEITO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1A727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A7274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'Vitimas e Suspeitos'!$E$18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A727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'Vitimas e Suspeitos'!$D$19:$D$32</c:f>
              <c:strCache>
                <c:ptCount val="13"/>
                <c:pt idx="0">
                  <c:v>16 ANOS</c:v>
                </c:pt>
                <c:pt idx="1">
                  <c:v>17 ANOS</c:v>
                </c:pt>
                <c:pt idx="2">
                  <c:v>18 A 19 ANOS</c:v>
                </c:pt>
                <c:pt idx="3">
                  <c:v>20 A 24 ANOS</c:v>
                </c:pt>
                <c:pt idx="4">
                  <c:v>25 A 29 ANOS</c:v>
                </c:pt>
                <c:pt idx="5">
                  <c:v>30 A 34 ANOS</c:v>
                </c:pt>
                <c:pt idx="6">
                  <c:v>35 A 39 ANOS</c:v>
                </c:pt>
                <c:pt idx="7">
                  <c:v>40 A 44 ANOS</c:v>
                </c:pt>
                <c:pt idx="8">
                  <c:v>45 A 49 ANOS</c:v>
                </c:pt>
                <c:pt idx="9">
                  <c:v>50 A 54 ANOS</c:v>
                </c:pt>
                <c:pt idx="10">
                  <c:v>55 A 59 ANOS</c:v>
                </c:pt>
                <c:pt idx="11">
                  <c:v>ACIMA DE 59 ANOS</c:v>
                </c:pt>
                <c:pt idx="12">
                  <c:v>NÃO INFORMADO</c:v>
                </c:pt>
              </c:strCache>
            </c:strRef>
          </c:cat>
          <c:val>
            <c:numRef>
              <c:f>'Vitimas e Suspeitos'!$E$19:$E$32</c:f>
              <c:numCache>
                <c:formatCode>General</c:formatCode>
                <c:ptCount val="13"/>
                <c:pt idx="0">
                  <c:v>8</c:v>
                </c:pt>
                <c:pt idx="1">
                  <c:v>4</c:v>
                </c:pt>
                <c:pt idx="2">
                  <c:v>16</c:v>
                </c:pt>
                <c:pt idx="3">
                  <c:v>32</c:v>
                </c:pt>
                <c:pt idx="4">
                  <c:v>26</c:v>
                </c:pt>
                <c:pt idx="5">
                  <c:v>98</c:v>
                </c:pt>
                <c:pt idx="6">
                  <c:v>38</c:v>
                </c:pt>
                <c:pt idx="7">
                  <c:v>78</c:v>
                </c:pt>
                <c:pt idx="8">
                  <c:v>50</c:v>
                </c:pt>
                <c:pt idx="9">
                  <c:v>84</c:v>
                </c:pt>
                <c:pt idx="10">
                  <c:v>44</c:v>
                </c:pt>
                <c:pt idx="11">
                  <c:v>92</c:v>
                </c:pt>
                <c:pt idx="12">
                  <c:v>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F8-4AD1-8F69-CDB5E6C88C6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5212944"/>
        <c:axId val="1872130016"/>
      </c:barChart>
      <c:catAx>
        <c:axId val="16552129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2130016"/>
        <c:crosses val="autoZero"/>
        <c:auto val="1"/>
        <c:lblAlgn val="ctr"/>
        <c:lblOffset val="100"/>
        <c:noMultiLvlLbl val="0"/>
      </c:catAx>
      <c:valAx>
        <c:axId val="1872130016"/>
        <c:scaling>
          <c:orientation val="minMax"/>
          <c:max val="15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521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1A7274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BOXSPLOT - NÚMERO DE DENÚNCIAS POR DIA</cx:v>
        </cx:txData>
      </cx:tx>
      <cx:txPr>
        <a:bodyPr vertOverflow="overflow" horzOverflow="overflow" wrap="square" lIns="0" tIns="0" rIns="0" bIns="0"/>
        <a:lstStyle/>
        <a:p>
          <a:pPr algn="ctr" rtl="0">
            <a:defRPr lang="pt-BR" sz="14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r>
            <a:rPr lang="pt-BR" sz="14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rPr>
            <a:t>BOXSPLOT - NÚMERO DE DENÚNCIAS POR DIA</a:t>
          </a:r>
        </a:p>
      </cx:txPr>
    </cx:title>
    <cx:plotArea>
      <cx:plotAreaRegion>
        <cx:series layoutId="boxWhisker" uniqueId="{FF731A76-2E7C-433D-A464-1997BD2DE9CF}">
          <cx:spPr>
            <a:solidFill>
              <a:srgbClr val="1A7274"/>
            </a:solidFill>
          </cx:spPr>
          <cx:dataLabels pos="r">
            <cx:txPr>
              <a:bodyPr vertOverflow="overflow" horzOverflow="overflow" wrap="square" lIns="0" tIns="0" rIns="0" bIns="0"/>
              <a:lstStyle/>
              <a:p>
                <a:pPr algn="ctr" rtl="0">
                  <a:defRPr lang="pt-BR" sz="11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 sz="11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endParaRPr>
              </a:p>
            </cx:txPr>
            <cx:visibility seriesName="0" categoryName="0" value="1"/>
            <cx:separator>, </cx:separator>
            <cx:dataLabel idx="8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defRPr>
                  </a:pPr>
                  <a:r>
                    <a:rPr lang="pt-BR"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rPr>
                    <a:t>16,8</a:t>
                  </a:r>
                </a:p>
              </cx:txPr>
            </cx:dataLabel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lang="pt-BR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endParaRPr>
          </a:p>
        </cx:txPr>
      </cx:axis>
      <cx:axis id="1">
        <cx:valScaling max="65"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lang="pt-BR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endParaRPr>
          </a:p>
        </cx:txPr>
      </cx:axis>
    </cx:plotArea>
  </cx:chart>
  <cx:spPr>
    <a:ln>
      <a:solidFill>
        <a:srgbClr val="1A7274"/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_xlchart.v5.7</cx:f>
        <cx:nf>_xlchart.v5.6</cx:nf>
      </cx:strDim>
      <cx:numDim type="colorVal">
        <cx:f>_xlchart.v5.10</cx:f>
        <cx:nf>_xlchart.v5.9</cx:nf>
      </cx:numDim>
    </cx:data>
  </cx:chartData>
  <cx:chart>
    <cx:title pos="t" align="ctr" overlay="0">
      <cx:tx>
        <cx:rich>
          <a:bodyPr vertOverflow="overflow" horzOverflow="overflow" wrap="square" lIns="0" tIns="0" rIns="0" bIns="0"/>
          <a:lstStyle/>
          <a:p>
            <a:pPr algn="ctr" rtl="0">
              <a:defRPr lang="pt-B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pt-BR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DENSIDADE DE DENÚNCIAS POR ESTADO</a:t>
            </a:r>
            <a:endPara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endParaRPr>
          </a:p>
        </cx:rich>
      </cx:tx>
    </cx:title>
    <cx:plotArea>
      <cx:plotAreaRegion>
        <cx:series layoutId="regionMap" uniqueId="{F37FEEB3-624D-4764-8BB9-7229FB9392E8}">
          <cx:tx>
            <cx:txData>
              <cx:f>_xlchart.v5.9</cx:f>
              <cx:v>Nº de Denúncias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900" b="1"/>
                </a:pPr>
                <a:endParaRPr lang="pt-BR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  <cx:layoutPr>
            <cx:geography cultureLanguage="pt-BR" cultureRegion="BR" attribution="Da plataforma Bing">
              <cx:geoCache provider="{E9337A44-BEBE-4D9F-B70C-5C5E7DAFC167}">
                <cx:binary>1H3HctxIuu6rKLS+YMNkAomJ0ydiEkA5sujVkrhBlCQK3ntsz5PMuevZ3TfoF7tf0khVYHXVUKFF
ix1qkgXz4/ce/K/P/T8+x/eb8k2fxGn1j8/972/9us7/8dtv1Wf/PtlUJ0nwucyq7Gt98jlLfsu+
fg0+3//2pdx0Qer9psoK+e2zvynr+/7tf/8X7ubdZ2fZ500dZOlVc18O1/dVE9fVgWN7D73ZfEmC
1A6qugw+18rvb/959vbNfVoH9XA75Pe/v905/vbNb9O7vID4JsZD1c0XXKupJ4auE1VVjbdv4iz1
nj6XmH7CiKxpqqyaj1/PQM83CS78Z7z5tEk2zx/ue5KH59h8+VLeVxWQePi+deHOYz9i9Tlr0loQ
ygPNfn/rVPXmS1a9eZcG+Pb2TVBl1uMZViYe/t3NA7a/7dJ6iv4WtpJ5ouuqrJmGLj9+sV2sNXpi
aFTRZfaENY4/kvob1l62waP8Nf3/EuvHC49jzctNFcQvseXX+7GdoA9uTz7ZEr4pbY4deil760O4
v072JO1EgeBBupQnbqi73NDlEyiVriqG9ngCju9wI9mMWfpD7Ph25ZQfwG8ihX9rfqz/+UySfRr4
On4Q9UQxVM0gz+RWdtlhKCe6TGETGGzFNh/Wm6rafPab6r6uf0A3JpdPOCIwnHDk59sF9YQqhEAS
nwRRnqBOyAlEUDeYKk7C1wsKlJvU//P/Zs+E2ceN/ZZhvfl26XHM/9ayaDmHsH+dLMI2GEzTFNOk
TyyZcERjJ5QxU1boxChYcOF//uvQk+znw/N1EyYIpCbi97dmAoe6/LVzeiUTFPXENFQohWbumgJB
fVlR4UiNR33A8W2LwDd+sHn+6D/XhafLJiwQKP1KLLBnhzB/LQsQkZiqosiE7LKAGCcM5Kcye9IQ
5RnqY6jyGDDW2ZvZ/Zf7coOA4q/FYr9GvLzDhDEC0V+JMQ7ixb8mwisZo8pwCbphyMJIia9JKEke
jqsq08G4bd1wqvzPf5cBOHOzSesf8BgvbjBhi0DzV2LL/OKZQPssxSvZougnuilrhkyfQvxJTEnM
E5UyjclwHs9s2+bOPAv+/NcPBDHP1014IXD7lXhx/TNVREP8rplUnaoGVU5URTc1HNwb118H2Zs5
oqIv92++QEuaH7Bde24x4YzA9FfizHr+M7XEPDEVWCakV48cgPPYzv6JdmJqVMc5T5mX9gz80bms
A6Rdb+bwK8EP6Mru1RO+CDx/Kb78TI2BUyHIREz5iS3TPISSE13RFcWEAXv4mjj99QZuZY4iVZX9
sOrsu8eUR7+Y7lwigvxZjh9+nZm6bj4xQJ6yyEBcpsG5IDLY62Au71OUd9o//zf9kQh59+oJWwSa
E9X5+amyckI0U4NzVR8lcIo/YScE9TXG1CcHO0kNLn8sPXu67DjGf+vs7JL/PEGUjBNFkwkzn230
lBMaOWE6ajkmNR5ZNTHiIOnmz39/2hx6pP2Zwfcrp/wAfhMJ/Hvz42eWLNgJcjHENcZzFQnGedup
gh8mypkaTnq0DJMi0uV9mW6ST83nH8gJtq+d8uQXq2BcLg8J5CvTAXqiyFQxvvNkmg6oJ0xWTMLo
U2Fvaq2CTfPnvw890F9oyNN1U14At19KP64Pof5KXqgUrkMmUI/vtN7WD5GaMYQ/CgLPx69n4I9B
p7A66Y+U9r5dOOUGsPuVuHG9eibIT0iUVdT2kAQjfvne4NvhBrozJtyH+eznJ95DZFhI0Fab9D4o
f8BiTa+f8Ebg+kvx5vwn8obCKFEQHoH+N0+xzRu0KVXYNSIjyNyXBuxmv+cZetKHnm6/Cdt7kymX
gPUvxaWfWWpiaJ0rIsj9ixaFjiRaxhlIF/ZzKUu//Pn/figNuP5+6ZQjv1jB6cY6JJmv8zCaILhm
ElEuf/iCydpWGyZSNyIz5Vmv9GfYjw7G2pRZjMrGD6fOL24wYY5AdqIuPz9BU40Timo0ajv49vC1
SwUkaJQoTJXp/tqOqEpv3libelOCFs8U2udx9tuN6fXHafC3ThFufmaKoMhIAWDaTWOaGxgn+Fjk
cpOJk5v70gvyHzDf3y6c0v8XSwduLg+J4OsMhKRqJ1TTTFRvvtfPti0EQfdAZUxnT7UbUbne7g7c
oMX/5nLTxD8Q8GxfO+UJcJzYhb+1Ttz+TDcKnVCZjEBzq5e8wxOGRhvVHrr9+4Kd2+wzLFaQVs+s
+s9N1dalE44IDH8ljpz/+T8Xb5bns4vr9T/to9z5iQNif0Gk7WrrzimvnE+UIB3aw5c8ydypdvKY
mTzP8uH4tqo+K9BfP8l+9/V83c5T//72+ePpDOLPmcr7a4Z8G9604ZCdh6nPraG9w0cfEMQU6uTS
JzLtU5OnQ8svv79FCAXj922YVNxjh74YAN0ehfx+yf2mqn9/KyFHwWyOYTBdpURUg+HxuvvHQ+wE
Y2Yid0Gag+lTGXFYiiTFx2XshCm6YKmuKYaioYD59k2VNQ/HIAuoHOhoKSKCk5kG6/yM4mUWD16W
fqPH0+9v0ia5zIK0roCQeIL88TzxtDpBGdvUUWzQNdmgVDYgQfnnzTWmecXp/6f0JC1yPS/jodKR
uZtJRndTK1kz8qRm6oeejDR26pb16jlhY6TwksRqzrWhUd352I96wNshrZg1kjJoAm6kLJQ5y9T6
foiq+EZP/TC+8VsW3Pl5KkszKWj0mz4l/bXHvDHmdRZmLU/yPDqVTJ8kXIszP+NFGBDDKassDudy
wdwzv9W97FZLanLdDI0ROp3c9uFCLtoqeG8mSm7MUl+Wu5kiDQW1VCLJmk1ybwwcPTIaK9JUAIsM
84+hDevc8fS8jG7NoE6ujdCVe95JoXdatyaNuaTE7RXKZXVsZUNvqMs4asr0nEa5RzjKm8bXwi96
yUaRMznTNb1SeOSr3cecBFW0kPPBTawgyvqBq2WldDxVFLZux767l5TS96wBj5g6ahlm5SzUIvPG
JwEtuF9rSci1LKhly+3KYrTyRieBneZt9L7PKxYvxoZ06qxzu8iW8iSKuSH7WQPoZrVum1YdLGJ2
8cd6GGplFqhDIzmKp8gD15pUS20/L+LODpkZnbc98+6CZtRaO+p6IvEsyvyzRgrMgFdR2+tWkY/j
Da1JEjgprXufZ3Xbplar5sXXhvVRZxlgY291SeZ7M+rXXvVuVEisO50uh+uyJGHIW9ltGjtFlWWw
WVHEnyo3iz9mqpffeFQmmyT3OsbbMC8vCqrpmZNk4gl8Jcu1hWvm5nkxqL5k97gDcYwi6M11UypE
4QNy0q9aHulffbOXJc6KMrxK26qhs6KVqtJSUxZF606RKzqjcYm7NnEVNXYn+23GhzYfIl7LgbFK
jNBPnCylRmjlKZNuUrMLequkXfeBmd04LOtsLEY7YV7Xcy8a1IizNvF6K9GluuWGz9Jx1XdjWyzi
yndHq/eI9D42lKa0KrnICyuQxzLlRVcGV6NRds7ohQbjqV4oX4yw1V2emkamnqql0svcNPLc57Ap
9LY20jziWVCaCTfaiHzWtCIbOdWNsHFkaEPJC59q8UKmRt1z05XiiOdSVjRW3EiRYnVVEhS8p01l
LgKlTOhcLzwW8rSg0ftaD5TUcgOWa9ynUqGgL/3NGu4xL/SFcYFNIaqwfxo1ZQM2btu49LFUq94I
Jc+qVv+i9MRfxhUox6XS0PlhWIq8F5iOaWrkvkxVYLm3gXUZG8nQkph3RZLaBkyrZFFqVGellBTn
gztks1pvmgUzQ9Xqg1BderkULx6e4sk37VjYz1k+lIHnP20zfPv1vy/y+/SmLu/v6/UmfxhE/35M
7ER8/+2ivS/rprx/gxOrN7Mm/fKwKTG9RkD/dtH32Xbhjr4Nuk/82+OexbNneM3BHc+4EwA8xxbC
cWjwE98kQdx+xy8+BwqPccfz+U9OUYV7I4ZOIBQyZqmJjnbDk1M0ULxAJ08lFMmhbiBH+eYUUe3T
0cRD0oIoWVa0bZ+Imofx4A4hYSisq5hMfsZ8h2MIA44KLdXFYIFITgnmwBVGTOExtzyiJnlpqHrl
wAtax5o1YkGmnDdNSrKVN9KwxkDgN8r8R+AI0ZgCUKpGFEXsoGyDyyXDbaKa9FyJqoF+6eNIgcKk
biCRG4+Y5fj5MDxM3uXfHb5Aj8CuGmjOKxSdBkHHbXhykEblEBc9LyQ5va4NTb8tAj08ovlEnsAx
VLAXeyREU8BmUSPchYOPFEnxlavT5cXsYmHPZpzPTtezmW3P1hZ+X9v4v21bfIGf7PXpbMmXOGe9
xq8r28axhb3CMWeFH3H2bLm8sBc4usbFS5xqWUvcbTbnuCVuL06ZZbh+eTu7WC5xN47bcUccni1n
1h1OwSNwS3yCn/GLw7m1sBaAi3Nxx8v5BW5/atu41R0+WTrccXDHD/aaL5e3fOlYuMZxHMuxLEuc
5uB63E/czDrDD2tggie6FuDnC2v1h7MSpzqrJXesc8vGz8B6Mc+AvIWnmzmLM8uaLdcz8aB4tjmu
vLY2uOsCp67ObxaLG0EmEEpcba/XCRdgbyx8fFgw1CMcM4WB3RL8JCwrIofK1Xp2cbec3QIpx9pY
i5V1cwSSIuz+lgxOZWOqYnVVxmoN2ZjZVx8+XXj8gjsfzy2ZH4Gj7boE+gLOJLitiir3DQEHLPqw
vL4Gny3QGyxZnK7tU8s6PUxCZTeafgkQxddtErpKXYQjAK7tu1tIC/h0BIB2jHSCiVtMqtTccNsA
EK5OZ6dCoGfrh//w/eJuBt24gKyu79azu/VFwaE467s78JKfzSFYy+v5cj6fO/P5GT+HhK2s0wXE
+ePZ2YM4nnHrfAF+Q/OgFrZ1dWpx6KezurJOTyF9q8Wjt3zcRdtj+44KggggtrAhctu6Iehlf7Bv
oTeg2DGpprsxyEuWTGKQEZY8pQBxOru78ByoJdT9Qig8yHaNryWf4yeh1R4Hhquvi9zq+Fd7sVh8
7fjVzTERocLAHhL+iQFGWqWFiRDKi+Xtxcz6ulgGfDafCaKvZ7Bx9s1amEkwBoxwOGygJX61L2a3
9u3yem1/yGDb5vzD6acZbgBULuZ8fnvZgnw2rMj1cg65c1aQ85w755uQr27AattWuX0Fgbgz+Tvn
HJZkZvOF7VzBDq3WwsAcFlUqZP0QnpN4LMqkXlMgqTDYa/4BNrfleO6P8xm/frTMQA9G9NSyT2d4
CAd29/ATYAj9yCNMfNBoDN3QCVJ/gHlfgwprYdfWN/aFbZ0ul7DWiztoC4w1LD68xNxxCpjX2Qw0
h+tZCC9gfwBzZnf28uICBhtyc3Htcf4eUjQDT+AlnBW08AOs9oo/2LLlfHmxvL5fevz+Wtz00+3F
XcBvR/7J40sYO9ihi2v8en8PaYTNX1jnN7Cx+H61uHFuFl8tmPzFDb+FF+k59/gcqvr+7Pz8/flq
4bxbrhZfbq7gKawruAPLcW5svjmDI1pcndo3UFHurFZnsNmrBUhvg6oPZAbmX0FuOFdAhG9ZrOGX
16fWwjmHqj+c+McNPhZG4cY+vfrwAYJofTnCkcPWC7WrXX1nnigwwMXAS57iH2R3vrbh8qD63LJX
j07OOiIHaBgflAP0lHfBRq1htBnAAibIsb6A/kPVBFThvQsOLeKfhK+HuYReLDlOhHWYXQuvDEaD
8fjpGhcs+TkCghl+Etcul/NzfF/cgGj2yrp6CGxA1pnwmtCoc2ju8iFcWKxWUEgh6jMhgxczYU59
voAIgfyw1jMb9vhUsNFefFgj0rEXFzauOcwA4R2+6yTGrhDPMuySYgNYrG0Y4viWvW3H0fTkJq04
U6XWHuq8tQyN1GiXHAppd7n8BAVb0wZabCbSsYnmZ26Vu0xLKu6moem4jUR5mfbxndePhR1EpoSO
+iF4L7HCIhbK4phiIowgQdjFKlZGg5o9K3lTmmQWsK6f+XGrHEkw90HRKEp2DFPjKnaOdqEoDQvC
UnZLHhJffS8HRbKs8360D+PyknbYLjWRlyIJQXg+DZvLIpb92jBL3kfENyyUNkR5p6S04Zk5ZBVX
is6/PQxz10UKflE05Cg6EAx5FLbddzEzU63Ik3YoeVak6kqWCmq3VRSu5YbpR9DbAwqZH/Ick2oi
PJsQUc0TOUuaCKDiNuetmY6zPGhyqwqTGNMwh6RiDyVR3iQoP4CMBjLDXaxorqOUkyYlb4MqXDZB
qC90pG9nJNPMi67MjMVheHvkYxueMbFtA2pEmd4CXpkqY75IFDeXHNR2giNw9pGQqoqJyjLQQxtv
Fy83YeMQZCgXmnHht1YYjuFg16jk3WkeClCHkdpHRIpJZoxJaZjsZOL4lsEwi1JnVTgU3EPRy27a
Uj33dd21UO4ebL1n5IiB2osc0wxdVM1RF5+ocksal9WBWnAlbginKNU4Qa0a3AtG74g+7wOly0QT
1SkFceLEKSgSpZHUywUfSjm2azXWz6twVLmZeOURBdsN+R4UTN8GNVGwdjRy1IGBFR2zC983vDmL
huIP1P7JWUei4o+SNR8OM26fNG6DfEHIQOq7SAEhfTmxSOnSGd6u4R1R571QUPBmOhJ90bzfFY/K
zP1ylPyS54HZXEZZHloSSzU05w5p8l4oYuucEJ1Qg000y6UuKXzTKFBGTAKu9Zk+C9pMP1Ky2Cfq
OtPQicEwLFZ6J1BK0wjKoNALFCfRNLGYGUerWE/cr0le+bcm7FV9RLn2SiAa7QQRi6YTMoEYSn5c
BrpW8Br1snncNh8pIZ/UQjWc1xPQwD4NiqIwuaohHmRLi3Uq+15HRYfBlQzU6ytmk1ipjyjUJPsV
Yi7WcgiaUrouHMnE4voSC5qYpihJa6XGq1TrLDr6oZPnuTdPu0zjuU7nrhtFc43WncSLNm34KBP/
iBV5KTA6VEeXVRWz6CLo2cXXDBIkli28jJLWsX6VVsSvlr7WJNURDipCjXYDKkDSxRtiMNKOIeuJ
mvWVx3ylz0ruB360kmO1nRVFrt1mbbn2dKlflVWeOWWUKVwDfKsfIt8CD2qlNpfNIBVHQqGXlsaE
c4VGmqiiYmJg8jzdgPhIavuC5zLrNN55ZqJzte48DW0PD427oGz166qpk/4I91/SHJDFpi9m/bSX
4dGgan3SKPAUvZYxq8zCyBrRdDrC2b34bUGZiBiaNuboFTDaSOtau/Fi1eoKV5onxEND6GMWdoX9
Wt0BXmAwCKcbimxObDczulRDRFmg5clKSzJ7YrWkTo9Q76XxART0YGWGni+q4hM/m2aqG1VGXfDI
M/XrjA2Fo0UVWp9NHH6qg3KcHcZqHx0hsmIoE0vCLyyCG2VjEFN4JD3sSG63BZNOVVf2LMaSaq22
g1nbvYco8Aiex+BO8NQbry+KjBQ8TtLyNOyybJn7zbgOG6k8bdByteQoVI6Yv33EFdGmjG1bahBt
Yv76nCVFXKYgbqDQD7XU9I2jmm0471JTzrmfSvX7w+QVd9w1Cw/9eQ0vkhGjbtNYsNG8LqWVV/DW
rVJbL4rSRmu35VLavz7sRCiNCEbXMIKrUzrRiIiMY9TpJOdD18SOHI3NrK/p64NpEwOTCEgQCGJq
kkz4lg5VlhF1yLlk5N1ci9Cnj0LjSi4iyuNSPiKde2zJDjQhRVv+qvNUvep1WCs5iF3F0gIj0i1X
LcfhiGSI+GTCJ7w+Au8vgHRg43TaM4QeB7HvjzmPW7la+UxK5lmayKssoczJDb297TtJiniCMlL3
elXAkhS6VYivkZBrEySNqMc8RQ3vP0q1eRMXVL1QZLWxcpUWy6zUx5DnvkuPYLxHMsU2AzyEamAy
QZ04COQkeq0pHUJRxW14rpkxz5XQ54HcSq+31eZDroxlFqQpD5XZLS6yvBoq4uUIqPysPdWbolkm
Wk1XATHVRe0atc/jomqOkHUPS1HiQN0BgQij6kOXYwtq6RfqiFfawV43uurxOAiY3QVZtaKZ1pz3
JEPvm5mVVQRtcAT0C7EVTlcnmqpg/Bo+cMJR6nZpXhSwKF7Icq7KqTZDLabF67YORcMvOAgoqD5g
UFZMcb+wLaXba2U3QmbHAIM6vGrC0UaKGy+03Ejx2rxDsPZhBOuC8JMZqOU89Ny3iBmRAIMpeZ3z
yEz7nBeNNN61khobR0RlL05E08AyVAb0qRELxjBnndzkkMposKt8IKdy3CTLom+qI7ZlHyhD7Pxr
2CLHVMTEXtadm2ZZkgBU4VUcZQ/Jzsfho5/Jw5HgcB/xEAtBBRQqm4ohJHWLeEXC/KBX85yXRA6c
UkKs63d+4byaRcLNwDWCeFiGmaSxlWf4ZhEEMGF07LmsVz4vsoS9nkEIqEU9DzDwYsAJlEHxcjXE
6A7vaIvgEobKyXoWXrmFN348jNAeBmmoUmIZEW5GTOjvks1Qk8KXvCjnpGjcWR3VFWa32tBCSeRI
L2YPg3YgieNbDEqzoXDHIcy5qbd/MCPVnFR18yPyJjzjjovBOgbKk8L+we6ixb8LRKn7IskUKeOK
nslnRdgXN4nWZUvTo2TkWdf388P0U9R9EPFWQVMjRAHUiYSPRRzGXQGIxDNBwELx7T5NI8s1W4zA
+dT1F2nfes4QUHOeyoX6VRqkVUXTfOZrXXR9+HH2ERmM1CkmHMTrsib4e2mcNMyF5BhmO2JoTQod
lAjuXw/EoLpKDLzXBnIzkRm96MagymnG+6BUA2voQr22K9nM9SN6sI+bBvZnYORN2A9TCO+WyLgk
SmVtgHCmYdpboa/pXO6kmULbRVpLwxFo+2jHMClhMgNDhVDzXWhNX+l90mY5N2rqnkbtUCxzWFH7
9cRjKHgQxECII6eFbSM2Sm3wYBHDKinPsgazcD3VgiPl2D24gGxIomARwagp5aI0kyIz8EWcavjn
cWcSSwmo/9pSkXhtCCoQMBvIbdhD+3yLP2xspVoSsh8FWrJOhl61czdlR2zuy0qHAIP5IGqgl4LM
TSC7BSbRx4zKiYGp2cYNzqSBaTOliFdZR02uy+056+h1LsmuU/iGe4p690o38/yIfxHcn1gW6Dfm
g1ETowqbJhljITdm7cUIBPRWVRxMaFbpJemp3J7Rpus0q+/MOFiWrakeK9PuUQNkA5jFUjUdSwnT
0E7KfCo3iYkpygTzq5Yv64Pd5cGZRjxiNZWL/79aRuF8VNSgsboCok9sWqMafTLKsCLE9wPeVVo5
M5LxmCa8dD0KWIoKGSTo4c0/u2xFzdnrSwNs1f3As2JmZMshHY0lcU3/iAi9pCBAMQ1hIvIPVZ4m
VLCVulxSUDCLaCDZQxYXjMuYHXlnVhr94ndJ5x7Rc0GjXXlBqUolotII84UXlOxi50cF7b1Cy3ie
JpJNzIL+UTTd+KlojNhWlFT9hDJIf5r7WrZISrW6O8zCl+KqaCigqMh0EEnCqu2CT9JC9tquybgc
l54d68aXuDTuaIoCVWGmCW/IsajypckREJG0opuGKqs20dKqC8JAVYqMp5KKpLXA8CdUJT3CyRcJ
B15oIcbooQh4GSQaH7t4qWGNKbiszngZSuVosTQIPhTjkBC7zF1yWUTtGPCI+agZGXFcHfMRe2SW
ytgfEDEgqkfT+cFyzI0oRXubS7FbzCimk2vLdBX/NqtKLTyihnsMH1olSJWx9Ys6CnKCXWQ1VYpI
V8tQfL26hF2MbhXXjOyWlLFik8qnN5GWIFXu3a6qZ6rrugaXqqp455ckzY/kW3soj34sZjSxqqaI
odHdh1FjvC58LDoY+wJD9aif1586HfF8Kvcmjwc3WlfsD6Xw/Fe7MhABbXRUzjCvScXLDbetv5yY
MS1ySDIdSJxZtedq49xslaA6Qu59vEXihRlUvIQc78QSx7fdTJqGmJ5PM+5VjfuuHULNcAbFdE/r
gDTG/LB+7gOGPW60CFDkwb8JNWu8IN2X6ijjIyrrqxw7IOddakh2q2fd7WFQe4yfLkDIaCgaaPZp
u3gpLqGDkQIvIzTcL2GtDO9YbbTzKI3jBRqa/vvD8Paghho9po4pKgIMowK78GIiBUkzZLDrmcFs
yUcDsyw9dNRxzetZxsTEOxWooVo8kY1Ax0JDVYcZNwdSepz0TeOi7ZdqS0VNUQs8jNgem8oQUxFh
5fCmhIf2xJaAhH2qx14jpVxJktByM78KuVSg8We5rFK/1EPZyvMCvuZI5rQPrtj4B8SHYZKJrDR1
p8RYbwLcLkUFp28Ccq4OaDSWaeC/6zKSnbHWl44Ed3vYiAEFhACGeOsDlSfq0BotSWoJu0oQ08F2
U2h5HhWZZRjVsW2CPRLKYOcoBrNRNcZQ+q7EjFrXGC0WW7hbjSNWKUZ1PugtWzSlG9pd6klHCi37
UENaLdonYjWaTVArOsMremamaHESfalKo2onHs2uRxbERyRUSOAkDGCIotBrwLIpaDnxw0Qv1Nob
3JTLXhCfkxLlo5BQf3ZYMvdCgd+lKhVvintwJFuSKSd5lOgU1qQI48IpXJmd+pLfvboWhldL6KhI
MBRxsWknUuEtKJWP1ps+5IAS096wMIkeDwsSoq9mD5TJxRETuU8qUKESeQyCCvKwTLcFTpZHvWwC
2C2prm/aerxKsqLjOuIpbhRhcYRR+6CJ19NghAplYuR1u8jlaRXqWg7lLofCW6VBqc2qyDOWct/n
p2M3Nkew28MyWGRUorGpA5h0YiUjQ827HksBvGvzHH1ZX1Zb28sU91gUsUfYAUIUxlCjJbIpHmSL
jH1OFL8OoMd92xqJnWB2wDaijAU8CNzy5rAg7qEiiIjWJIYU8FcWpsDcXunT2mMp102fpjYep/ic
loS63JVQyEXln/ivt47w2KiWIiZByD1122PGkt7v1ZSHbeBakeTZRHWxVddQySFu2fO+Vzr7MJr7
aIqgGltWKhF1JkGGLZr6dYh9QIkgxqzilYpuohMnmscjoh4rsB+DJHzDFiQ9x1gYpoJSnjd10C5h
quvYSYeozbHzmIOVhxHb42pM8ccYsJODkQIEC7vgsOHGYr9SUl73Yz0fBypdjrpr2gWtCkfqzWGF
pUD3/Q8AxZ86eBhBQrY0AVomZqcETEt51YGIAUZB3iWD/s7X03Im64U26yqfHIG5Jz0TryyBxZSR
1aPmvotoxcasCjVsCSJTUrjnpysz7+P3g+uH+FM8WnJHE7m0qSSXS7XrkyPG5mUsLbpCMKGIqLF3
NVV+mWRGr+HFMLwxeuWqUdOBx37pbSS3aNYjk1yncotqLeXVEc/30uoIcYWmII5GQWHqjtKaYAcX
9UnuqhgcQkvDc0ItVK8OM/SlFUDWaaAOibEy1NGm/rU10iYIVOwVI6D277zRb327xt85SmfE7bO7
uqHe5jDElwQVeS5KaoYOH0indsevE8mXS0QQSR0kHS+ClF6azRh5vERbZUa1lGJZ2pNb7uZueGxq
YR/0hyheoeJlc1Qc31LSVsrkQCEIQ2Wsksa2IUExUbvP/M7CfnCg8CB1x87OezmPFigWK/eHsX9p
JDT4EOzpoS2hqaiU7sLX0ZFAmAwjofaRtsS/TZSTbq76jM1eDQklUlSG0Mp5KLDvQkLuoJpjDC+Z
uqaR2unIuoGbEXr6M72lg3/EHL3UUvzpF6QRiAvBU5QVdsFVoRSFfV3Bnahx8QUOBNvTYWQrkYsK
XJ1mcy8Zio95Z+TzcNDIH4eRfaksgI5Suvh7B4bYct2FXje6HjUVoGNyLDxVcl3mNEzVV6ukgIL3
FSDwhXfWJ4EANIRhSrtDhNhJ5iocyDn2/6XlD6DCVKH1mPY0p3M1FWb9JEylgZDdmF9iKN0d0ISW
22OzYHs0H8VtFaVKvAETwfUkikL/lCZd2qTckwm1zQKrjqaSeEvM+/Urxmrp1SEpBs7wBxHQJ8Mm
6YuJsMpTh6wQLJKkUHPilsXnFHUvB+vi5PIwCffJIiYv5ceCJebSd6UhCQMZ+dYAn2901VIOC2Kh
mJDY6tDFy7wq5VWBfvsVLcP8I/bg8iOqsMfGIIwDSVF1wkD8dDaYxlGL0Q8E327vSSovUFG8JCzG
XrvcG+Wtqkq05ZQExS0JvKE8gvzLuAARFlZY0exBBRyvsNhFPpPGHC/diNFXGzP5I5gR6DxVoYxW
43txhVHHKLr2pJ7+gMEBYMwXgMkwO9Pafx0EVeG1SAIGpagsCU+4bNnof1CMJjoSu07UHZqHd3Ng
qhAJAGw4IrtdHN3WTxOTDIEtdxW1FRZXcyVrwyMWdFrUewLDYM9kDUo/zdXwwpVEDjQtsEP0KGoz
buzWGyUnk0PJKvRKPkc/MV1FmnTp9m4/K9DtvHKb+pXi/OIxJsaN5HJXI7gN7KAsE7yywCjnCAy7
eWYkmh2Zo5PpWs2hzSi8YZjROaxME4/1AB0DfphYUVBJRQVnl9ZlFmRBaDSBzTyvWdFCHxzZa9pZ
FrTH2gz72LoNSuj1lnPWR80YaNIGdmOagVNrMbPVvsqOsHVi+B4QMkVhmCGaQ+IzURCp9SPqB6H/
/zm7rt26ca39RATUy62kXdziEsexc0OkimJRIymRfPr/2+fqxBlMcP6LAQaYsWVJFLnW11ZHh7Xc
ryOoYGmr/SzWq9TzOvpYzob+j9Xc5aJQ0uNrhMcc+WGXKWn/fWupz5Y1n+q+2ynr73LIm7oLcvWX
YvUfbq0EnpfABgE/Doa1/X4VC7MIJQCYutr5St3YWKbijPCUMjnDrq/hASpn7Pj/vkDebTj/uTVQ
lxelFq6NZuT3i060pGzwiGNRLuII7OCzHUJbBr3HayNc6erWVGzbT71dwLb/+8X/WDKXKYEAAdAg
FLjv9xL4dTNlRuiYtfli+nO0Ut8WEL7+5SrvdvSsAIqOWZeAGwACgwt+d/BbOcDAMiVx2w++31qP
KJ57vrj6QApHDtrjtFbjPB7TJPR/2c7/+PxwaaQeXfRwCeiUy6Sn/144NZ8iKrhK2ziaWPyQ5PO2
vAzGJCRroHHR5i9s1D9dD98FznzUcpCrv/sGWUCMESVz0nqRbY3cQ9Uh9kG2uQ1r9+/v7h8uBey+
BoQPgRO+w3e3NsPRtQpIalqKruNAlzF0DucytrRl/csLfFcRXF4gVBCg2PFPiWzLd2uUi2KJnd1x
Vzqabhgd5xOhQbUJKfsns4Hjp7vlLVcuvd3TfP/LS/zju7xcHtQIijood7BSf3+JCalr1MAsabFI
qxMJJmmyYgUwHZEU9cEUPf77k/3zq8B4PHDQOIjBaUIn8fv15t4Jyim2tUSK7CzkuB2WgZm/PNQ/
7+q3qyTvvgpRpzVZREpbMPpl21fF1EoH5V3M6sdtS/O/7DP/dDmgsxdxNowUuL/fbyofgZ0OVdF3
2MSikR/nbPUDa1kuU2mbasx8Mh68kUN2/N+fJga/Agb4T1TZZd7df3+CDFAjNPwJadNqKt6YAI05
6f9RDoSXhLQTiKKB6IABwhf/+0Xk5CVD9GTWetzOWx1NYwcWY/4LAvfnwoABArnDF1sGkn7eH0Mc
sQL9zmveJQlYn7wapgMZhvjqf31guMoFIwIlCmDqPTSlp3Rnc0V4N2cJKjNYXo8Dwqb+sh7+3D4K
bIlocWHRBONaXP77f1ULgOqpT5eKd2TzU8NYhONtj/nZIbTsL4/tjyPuomhCTYXJOiXMQu+PuHW6
uGyHQXQLrGLfg7DqOc/75bjw3HW6msh1DxD1/3F/UEKk4G8hC4D19ff7WwMecL/gKfKBLaCMIWXX
yVg2jsT7X77kf3qU+KJwvlwC+dAP/n6pXLJtgPULDE5Izf3MJtVOWxW/ZRAY/s8f08W9Bw0SEPUL
rPdunUdhGfxsK9HNe5hOtZa/1rT4m/Tgz/eF9XAZXwWI6bJG3u23Oo2RHARnKxZg6T/ZKYQukIzd
wveq7yI2y7sxkPVv3NifH9fvV323T9DCT7Bs0aFL4y2ct3kwJ+R7Jed//7j+rEVAagJBw7EJCzr4
zXfvyvlBLARNCans8KAEEgl96cZWZXNyEzNOVTPsND1nzNCv/37pf7pBHGLobBElBgzk3Q26oGdC
nEM/VBSuK2wiboWJ/oYk/eNVAGqD3QfaCxvZuxvkFoonmg9dmWzbMZ0nAQ1Z/Ddc988lj54GGyGC
IgGBIFD/96tMZaTG2DDeRTZQe5r2WSfHwFehzotKjPnLlnhZ1v9FLuI2cDkYUhCghS4K3eTvl9v6
MVuWkPGOhiU79WIJj2M+yI6vF6yqtlv9l2XyD58AUD9IcC64Ocrjd++KmSwjW7nzripRbRgTg7Mq
yVSd0aiYI3IFq9ut1Fod/n2J/MNjxX4M0Q2uWuDMfPfyDLkUX8vGux6HzzEfebiigwWkO6GZ/5tp
/h8eKop/JNtdtn90Ve8eaj1Gvqz7hXfamH6C/QylXwv1QVW0Q1FrdhbZNKj/eVsG0IjcrssBh5iw
6t3ekpX7rrW1qhtBhrbAluhzsZv0HNJp+/7vD/MfvgQQV/jMARSDzn2voDK2BAvANtVBR1+2W7zl
rQz1j//PRYBEA+eAFex9OxzFcw89n1EdBND7gY1R1I17Hf5ygv6xLgCf4BgD7wfM5iJ0/X39OzRv
IBf51MFbvjxKwO5dpNf9xHxcfP73G/pjg8R6zy+EGKpE2Hneq9vGdVwv4uql41OePlMos+jVEDxM
rt1E16jucHLvFWuzfV7EF77bOv3LEgGF+serQ/8EqSQK5IsSBGb63+8X7ZyA6VMsB59HAj5wElKZ
yIdNBt2LtlCZVqEpBhVk3cA/qblsokpFhWhjUHd0OdRDFKv4Y1CpZ18HAS1GdrXLaiYvrByBUHym
XvCRn0uyafJjVJzQqiVDRAlvBrGNgh+ivY9o2jI/bkvUmQ10Lz+Zmq/p8+bmmkxtwRjSXZuBhSV9
W0qmzK/YRPP+OSShSD+sqlzVj0VkxraJ9UN84GQaFo5MXMPVtZ35cB2VvOAgx/jmXx0bDQjy0fYr
L49JNoy29bHY9roBw1atd5G8pCXwlMnqBfBOkt0U8FJGP2oN79MngYYw5c0EWxTSN/FkVNltknA7
4o+fHL2eV65MC+Z23D/GnhSwS06GU9opkOSi5d7U6yeXpSu/X6ecpGdZ1xQAIe5lyt8W6W0aunTZ
XZmfkSLbhxQJvtwR08pI1ll5Xpkm+8koSK0ajZrfsUPshwpmWlUvSBr1fqZRNzGa+idEAcfjDzmP
RTKcDJICPy8a7ezWyXWayQfoZSf6wQx1gNjZxnpAo7Jp/KkFlCWvse0jmFrTMI7h41zM0LTWPaIj
Dg6xqKa1ZS75o77k0KiOpMTWn3PqS/1ltqtktgXINNqPeuIAXZtt5HJlaGVpHZ9Zmhj3VAzOCHQR
fbAL+EoekYw3Mllt+Fy4UvafhrzaFnJEgsC+yStpN8seS2bn7RLaiqrtcd/LSe6Nkf3ueXthZVFj
D75w0+e1hGMffdc41+Yl+HSnrhm2PJDHSqe9/J7hxE76VhFS9boL+8qTCox/lNuPU8Gi/GcSQtYL
gNJ6YVHL+g0xs+1QbWusW28XhEF3fT3tPS6PD7l+5tQraNbtXFTh5Pt8HN+qXERcNNBLMI+zRdpy
/4K9ckuixthMhIfFVpBBnoiuvU6bhI9r3reiN6ldm6EKCf2p1zHJsZRpoWFbIN7H0WuV+aDhWc9c
WLe252TxbzOrQ3y9J3MWPmXjavuPaU3N+Ax3q5NdjmTZvYUtIpRNFRk6dts0+OgOkbgUhn+A8eFF
EqhHTDfZAhdf96W89Z4X2YvhlQ3Hik7YgVrI7jSLOliJ4p6cFy/BvCKMNvP+bcwUPtSjijxiGppS
RAESkZGTcY1u0jVRc91eKPA66pghTG+HiFWAAZuQCHABN5bAyVm38aZs+JEzAharo0xDBdTEk4+m
7AiJ0FjBMReT4OOGR2Hc36CwRO5zA1c5HW+TpCdQqSLnB7Lkxk9VL77my+rmoS37KERPBZsRngDX
jqc1b4KBRMY22GBz+11xzxlrSNLXq20vegitr8tYLpn5IKYIAcRXq5FstqfVwRqs2w1NQVl0c1rQ
/HZMeaEssosGNrIrg92aQyMd1wZR28iw+U+eNZlFO9i9mpOrkCpsX5+ozL21T6NIF1EfNDKE9/jT
Sif0PqjuqjzlF06SlHfOBOduKoiGdHJAJna2N3vtbXzQ2iMWqKvJztcHxRe/nBfkeQwcikIzCd5g
tPFe/6hUAs7jaLgvfpl52MubOBI6+lIOiZ6eVQlHPlR/ECtBeAgj6fQjSbEnN8mGaqHd3bBtN1GB
5MJnjwbZvkRmWuVJyr5IbnSFPKoW21f0rTQKAUeD9fPVSoM87TmNERKxL33cFP3e3xU0Yfc1nAfH
RNbiHrzaDL5HlbXOn6shV+IAuGl1SQPSe2L3xbztMO/O6ZKR1yQF9v0d9zSkr6bgGrCAJaQ+4c8C
5RAzYX0LHYJMT5BbR/JG+5HmXbGjTG8Fr5PlNbVJRaKGKLXMtyQXtXxKxCCX2xgnMH1YssH5W+x3
82vIYs9e+rFe6PcyDJV65IJU5aNZolC/Qgu0TEc9kaHsWDxv/oRa1ZtmcyNEo4eFKPpzqnW8PkC2
Oqij6xF6/Q1LdsKaozHkLo9rkYzjj5pmvICxcMVzOExhW9OfQ7YBnW7ItCZY1VgjkXvMUwV6ioze
FB9HjyDra0Z4Bmt/5qgUL7SvTDSes10XujxG+dq7+OzQKFDXhr3i66+t8nv0E+nTy7gjpDzOLGm1
IVnyLVmdsykc9KMrkI8dok3LFklIfY8s6poNObwaE7uoUleWLk63hR+X8WdpVRQhFbpaNNyyrE9M
/XXJeDS/lAPixlExTFjorIEyLBRJKyaf5lCmxFaZERtp5dZTVW0SHnTwHsvdQPI9bSCUQWRQNTns
55AeaPumoAtdG3ioBoutMUYatoAOBBrLeCIgktyE9OsmEkNWvbgexOkL3Yn60Y8zr4BWyk0ADZ7j
l5gAMWtTrMW0LZd+Vd+1DdUTBF44sWsVMfdYjLs79/i+6K1gKRtb7D7LaxWD+MUBu4k3DVHPk/QT
/1EMuVHneXLp47zvxSOMp735z7Hw1lfx6uBz1MX1uC/MfkSlUAGSZnmtTktAuMUJgSbUHKKSZq5N
p3rNz0EjAb6B3Fe9THGJl+UDuVpXH8UdsFEWNWxG4kELIR7iCPJFSn7kRU5v0d141cxKhq8Dwfl9
NZtkyQ4z0zsk2Maow7rE4lhUPs6OWTT2JzQfSA1BavocQdRGF9bNapyidoNovFvBXtjTjuPtLYUW
U7YLxRnT5mLDSxm8RDLQBlWraf26W3Glh630TbZV0I4hLa7ukSDk9q0bPNHuukfshW84H8uzUKu5
RMzvVdxFBMdQE18u1dopEdB8xJZm7RpPBelSl7gYIruePWG7Sz7rdBq3JvG1/pTxsv+U947+YmB2
HuMV8Sd4IoRERzZM4JGico3wPUy83pu60ihWERwzF7czVU48TlMY9SnJNJ+v3ASPztGmJnGfBJzm
S5ctJRkanusdNNCEpVnoWmUH6qtoajl+5v7yHoCEezFtraE0SVrUKFPZZQG1CHSJXuEQ4aXammK0
ydd6z9VNn07BdVA2D7iHyJn0NJCwwFUeBv5lwqsZ2mGX5JjC+Z3jrx0hKcrzeYTsT4mkRbOjjjyT
+FfAsKjBe1GNrEl53L+sgnN6znq6J02JSgUSDEwEmNo6lvO9kEXFjmWC0QRNrW1hjumkI1D6dRB1
MwU9+RajGHLRkDxmGT59FeWHYNX8tJda5R+V6Dli5wvCTaNcOWsMJ1icu8tLxK13c5/WfTv2exl3
E97n/GEJUXKeeq7yqymVjuKHSIbqsrRxaFI4g7bGlAabmQ5DJo+j2sh9AmnV9C2ehG9IhT2zWQpn
+471C35tihkP4rDVGyq+ohzyHkrxsbypJS+zE2rcithG1qP4KUKKiQwFgldelZxxnnA2DGk36rpe
jyb0Ee4l1mOLagmp8uMOucc1dWv+kuReV9cjhQ+gZenWP4WyHyPE7i/uxm0UxeW27yjytjDXSVdM
GSYFIHiqRuwic8ODX5Lki85qdjvISWWNidLeYDOs+dCOdMPGuGOMwqc1ifwXMglaN2TLhvgpsQaR
BTkkDupVrMsGbExoY8cP+Cx9QNiiw8lX0CEiDwx17XOwBNEu0ZQMN1Oc27qdkPyNgl9Mou/6nlXp
Ga8q347Bsl1jqY710wa7CT9QNxja9OCo2XnYyVIcBaQ6otlgYyqP1FDAwYFQxRo2ufg128lFEAU3
Jz8ChNSHOt2gBqWOYURIskXIIcr7Xp0I6un5M+Pp3sxVKYZW9xZ7F5iNUqhmh0VSnVf4XR+AvSWy
A3+0xVdLaWI4xAh6FnxfxUC2EwLOMfljzKp1vkGtgq5N4LVwxPvV+D0Rt7nuNCaXYKbHWLLPoPXV
zyQO/Q82T/sPxL+wr3sv5O2YQ5t3TNGlPwRuxfOI6Qmui7CgXm06RvoUiXR8XgWJsGeqOKTH0hUS
RUFEawz/QEGRnorYxeIqlUo/g2fP+9Ci30f3FsyYPq3w2PkDHEhzxygvcBYQnFotZLzIx6IyqwYU
gyMa1E2mxQNYeYRTBJiZ6iM0+tF6JOVauk98rCtxZTKBcthsUXkIcsM51OhhTM1hRl7d0BSEsDfe
wznfQLQWqWdu/a67TS00PWErnu4goqCw+KahgO3G1kWTBY6sAAgp6l/RmrhfkSH1L53l6Gw3Thff
2sjmIC0rjfMMAjs5oA9RyYHmaM+he7kERrpYLV/3fYfTpWepEo2uQ/odZAl6IFPHAiUyWT9VtJy+
qdGT9DqFO/0UR0U1tICz1wVZHECBj3CuiLnlOYX2hLElftkmuuFzmUL/pRjn/UMRMvq1Np482jSx
jzWpd3GaUfFAPmlyuIpLBdLpMHC+HPdM6eFQx66iDbODv9sX6aKjzHb3rUQkqWhy4s13jkkaCkkv
Y1p01CXlSUbrFgG46cNXHWUbrPJzNbrzJnT6bd8zW8LT46evMzaPcChtxe8SnkS/Eqv2DxsBDn5M
F1183XrJnzFNA157m0l9bYseJVIOMmVrPDQ+21lChOu7ZR/UL7dE5NuoHU+wv3n/cZgMYln0FCS7
58OSgTZV2/gzlnr17e5rIQ6eZFJCuSntDVFuXtEg+OVXX2T0i0/n/tHiCH8oJDNvzOSVajY8te/l
YtYbp5YYtf6Id94gg8XFrRQEdaCU7GLbzTRkC1HmJWYRMGY/1Cva8IY7YdBVeXZpE6p8eIgT5cbj
HA05EPkYiUbHTfvNNnwZ8vIE5jJ+K4zIC+STaHKfrTk+9wS2yxJAFXr4zsHWvjZZ6Up0pVASVGCb
iK8Pe+pg4RDOTdcBnG923BM09odkMaA9TWbMqeR41k1tlCnaySa2b6wuscjolmX3dKnYC5QX8nlP
LHAgNH5WN+lcL1FDkcBQNKqo3JOQff5zm2p5t+tB99eOkTQ71BWKmOPqVGVaYS+MSkTj/ipeSmmO
ztX1M870aei2fBhvOBze5gpjNIsv05aSO8dJyI9xxdjnHgWrvS77tX5iNfUO3kcBjwEwlpy2ni3L
oYpdKc5LnI287bM5+1EtqYMIaKTyJgtreMl2O5t2zXWBySyJJ3vj8WZOClTkftw2Fl5p77y7xW6R
q2OdiOSgssrs7QLJBMpZjCjaUQ5Gl6fja/+Kpjt9zkXafxQrjL7NYJY8aXqCGqBLhI9+yYGrG9j9
Lls40KviuG7DXLZw0ZiH0vgN4b3IdsADCHvRBtiy7pHrlrqWzaEYm60ixXLoUbbnLZFZdJVvO26z
hgkCWZBqL8sG33P2HQwf/RTNmf6cQU7/BTSBv+ml5a41TNafq32bfgAJlA+rndU3nof0CvOT3NqC
JUf768ASIS0Dmn/o4PaaXqWjlhWuaz1WFKFmP9Ao3ZImzuiCJ4s9AzhIkusniXAPNPsJVBHYPcvl
YUOXujcI8uXxzexJ/mXzOr8rC75+lYPIPqclKLRGZ9J8ExrJU42TwD9braZCYdvjMmlWq6uvYJhR
JFtW97chX9zaeDzEOwzziAZYq5y9nW2PIiWKbdx5WsoJtq6FFI1H3/FGIM16q4Yiw9+dzLCEQLgx
nbKZU4HJRKtDCwRbKZr/MEzLiSqy39HqMhikABVrMPMnKftWs6myB1RNfmwzHfgrZPr0IbHFjoFa
6I9Cq/pL1bZk23QeC2QSNttclFPbpzDsX1erX78mm8+ei1Bn2LtJGB+n0VSf8z6N/VUtevE8Gz59
N5BY3yE+YvLHoRhq10xIwXiNHIDUJsEJDPP/sMRPchtxBFCG6ExssUX56Mao/GzTGa0cVMTZC9s2
HB375OH6KVbh5LWJeHojNZpk1L7pZLt0jMnrgPlhiIjD00BDWmUIc9KoWm5VwJCzZs7ksjX4xItv
hOyyP7BlR/gRR0fcyl6I+zFFPwEcCJzySS6U364BQQknSur4qtKi/NmrbLyGfh1VjNxQYsSmcs9A
lsulgwyZ7q2rSMW6Kp8hoJcAxBCXCd/83QCy6fsuTV0cjZmSY15sqOhHw8PQJuuq36Jlrx8KiPug
tR8RSdKIXMm1rZH/eAMqc8obEG/Dx14JM7ezGROJUNYNtVeF4Ki0MWmvPtoaI9hatc9paE0Wu9us
6n2No9AMTxWSeEvMSjNDeUwrGx/xjueAyg1WZ5Vo8gZxEezuML0nustlrm8l3HH7WYAlei7JvrJr
JEficGQoq1mDvYicaxa57RT1c1l2a17BpZ732GQygGXXNJbhXhu51IfgmLjxo19zNGC5T5uaeH0/
7AVOtbHsQWNKjEg7DyWIokOA8vA1p3P4umA019LhHYpb60wSd/WusbiloOqzIWL+ViuZ9W2BCgWj
rWJ/x8vdsA498/jBOE/kQ4QoBtM/1TNA4M5NqcFkHmqH9S1OvULZMdjMfsho0hddNVaL/yYCiXQz
CoOvgFQGbyFCqY7OUKciPV0EALA4Y6DW9yIf1vGwrDrsbzu18ccKxOHZbxHDhxM2+zqpvf6u7CTZ
sYrH8QXh6dlnOxG+tntK1Fs04NRtInTcnwLhNYKXino6xmuBVVoXdpcHom1dHZyl83BegXXrJhmz
ONz2skbNEtAWfywyDXgxdgmSAVIA2LIbZlG5BnGlkztUFZ8EYI5UfRQOwQmITw8jadzK3JvJOMrQ
pIzH8qAk/phu2hZc2lVLqbsoeHeH4nlBL+ulX1oFRG84wJ2vFDC1eflK/FZU/XcZLpCCj5blseKk
qg4J4npQbOyL39sw5COQqdJiJB3xLkw4VOZ1bidw2r8SX0aI/sV7GJJzXu/zl4VaJJ3S0i5pC4wZ
bY0vUwukhxTTfK2zhEjEdKYp0CGE6wElXmem2jGE/MHyXdxuEdnHzpkdrVAfINtrmVsRJM9WM+/H
JEGNAQVMDxmwmtUqQNC48YmvNonwv2/ThzjlqNs8D5E6BqC+WVuMQ/GoJFQDjfN2BuImVPkBsXRp
2Zi5sD9giHe2ARgSzV2B1zx3aiUMgNVc9w+bRzBOA6BERKcNqt29yx0SOoFD19WKpZNkd5JS/QRS
RaG399OIuXTbKr8OLrPYppHhhh8fUE03hMbbcxKy+n5WzrgT5Pr8QY99nHQ5MiIeTY0AR2R6G6S+
j8WegK6KmUUlEOkkJkdbAzJ6UYz30HjwfovbaRqHcCcygVYtxzGomsrY3B3mQBDeSWTY5c2wVvF5
nWcMqZvB/z8zrCoDZY2sGLCKbOqxGQ/4oAZoZfrGQe6FRrTI+5Pt0yp0CCeeQWVSbvqmQvA4bQtL
3ddslCY6MXSpV8BU0/up3DGED0PJLfat3vhWYwGVTS5liI4i9CJ0K0225z0nijRxPHiNbIxMliBh
hlK1s5oh+PbIxnIVRBdp2AHzQg8rPuzIUMtb8LT7gmp/r+5AEq2fKCRyEQh/QCHIs90DUL/YgAgY
9iWQ1lMN/Wg84GySmEb4jbAhAJTMavFMwdDPB1WS2rcE/cFD7TgqJ7iLVtZEkQ7Amb0UVzRN4Os1
DrRMkyOZAePkULmurQXHh+F1NExoAFyWr23O5+xjvcboq2OYLp9A+cSAMJbYohCyFgMGRQVOypdm
frADSt4OmdziSgmGGmPrybZ02862bwn1kUS9t8+3XCgZXyWGkuc1ZOkjtL9BNbmhNRDWaFzXgwLb
dxemHAAY63Pz6T8kQ1Nv9fwzsau7JyM1L4ROizzU68J/5qnAcTpvLnzbPVnvUz+yn8uECA80Bym9
n/1YYAuiU/KyyQyZvRvQp3OZTMl3arHl4VaxxsCLBttZN65fypEAmA9hQ+KWrZiEJRlRLshr4/kB
51x2DwZNP6FVDXOb9rl/hUiafBnBTOAgq5nTjbQx4XdILAWf1Jtl+zj7inno/QNGH8xJuf5cI2S2
oFovfhIEOUYtmtHqQ5LsHEjv6vQn4hQqa2ZsdCf5ZadxjNHHEcenaXcTbzcgR+C+hZC5JA0ddFzc
uTxkBagZJR9d7FHv4pLjfeJIgWjDDeddVW7YrDCbMHpaqpEvN5qWiQPBpLa860sJmBIx2lVytkuG
qKwcCSt5Z+LR/8ITumxWKDVFOwNOfYl3BrBUWHRbTZ4B9ugRTZKfcQjGwLUVBRGeBDU9ikvSwLEe
E3+LbS8d0X6gvG+Kiky/KFFZ1o6OLWiFt3R64q7Wewu+fNDHOhsR+pK4IX5cUYJEbQGVz4NG+b9i
O6gYyCfYRyyc8S5aUWT3DgnwVM1bI7DXwZ60DaW/yuAI/FnlnGeNim2mWiwS/7pZTp77mK8DqOB1
/ToKCrR2wzA50Vi3zQ8F4km/rzh57oE0xw/I7J2ShwVaeArITgmM37gwxI6P8fqZAvmLThwTYx9U
FGt1QwsTQrPg8yqOMCOC/+PkEnp8yRs+KK1Ry6fVZQioMZoMLSS27NsogM3CRLmioSWrEKCJZsEe
Erhh7WE123roqQbF7yDlw/P1CYqKVUbFo4iFWPCoe9QKE9Sg3yIBYvowamzFrecOK7aaovKXSSP/
lHm76Zu5KnDkeHhu4rbccvcVOHiZtRoi5FOB6Ft2NWSQx1+OOWRizvOUovybeuB2iKFJaAtYN7xy
t8VvXsgqbrZEkBuY3qefRbkDeEbQMwJXOSjgz1aWW9nISIHDz/tyuVKa4DerdVtQ0malzNtFVPkv
8B452A6oCC5ksYLnasw02iwEx0ffgZ0AFh+xqW2tAH2Y3PpVRZ8kyZbkQDCzcGj3QVYXHJmCjC8Z
8N8OWXLTk9hT/81ByfWGG8KUFjQbcjyUcIcUbYbBuua0Iz/9GoBPtDcY8uo+oloaZdenlEQtBm6S
9ORjk75F+Ti8QKXKvlhgs2+I84zZCTy1esEc3/znGiaGwamyxiDaDNzct3lasjtXV8u+HvKtjr9D
OD6HJqEcIQCYRpGJq0jI/fOI8V35dcJGunYGahAsZBg7f+F7dAvQwwU88bBJjxIPypsFg34Jmw96
HbIbjbQJ0E0YNPyTpgpIQDxVtGPrXuzHcghQEw42jwg6hono/q7PucI9gxkgrcN69cfp/zg7r964
kWYN/yICbLKZbslJysGyLOmGkMMy58xffx763HiogQb6sIu9Mbw9JLurq+oN1XV66mV8u8tcFCpY
MoLMP0k5tA9lPpPUKn7jG95Eu1rfGrkxMjtWTXX1avbT2ncxJjJeFW0EEcoDW2t3MQXso5UoovQc
Q1Gmi6gOtSfosDgDqCIkN7AKPFyKVtCdCZY8wA18v7xLc71MCe5D/o2pqZHklmbihzsz8PhBbcw+
2A1Km71ZJdmRF+U0q91UCQzuMy0tn9pqNH6juaA/kyddYbl1myO+eJE4GYobfZq0+TqpZaS4jIGm
29QHhnUHV7dMNjb38AzUblcEJcXokNf1uEPsAga4pHs/raz4SiN80HkOq1ZsmVUZPcVJMNHuMQYl
2hbwkiTtPI22ctmas6dNHexhkczJM7ouM3Mz/CwC/no9b8xcm1uXKxKMo+Om+dNgois3ID7i0hwy
P8HD0jEvzcRWRhr6w/gt5FU+M6IYkfEYO1HhKQmxz+tDLcRyOC+qckdLKLhvmDudofAwxbOiht0P
9B4cv7zzIaBMWTk2m1DajfQChVHErvRt7aKJOX/v8AQIkNLKAbo0nWCbkGZxOHOtLl0R0WLA3ARy
JL6JDUVsZFYts4Eyoe/TFt83bgPL38qRIsKVyeTs8r5V4mtjGnzTtUd1jNygx5nIS3Maqgd7Mo0/
pVGFP3JCSshLsLqLQpASbWw4UPJxTtLuepJqEV2TnZnXQ6la+d7o8z5izm0GqYbMgW6NEL2oN1mv
KTRg5oDNExpG8dpPHQ9S6VHwkFF0/RipCZD4KAUGB7Nd+t8TOygn1JSzZXk0/oEBgHrrq7IkTdll
9NQTL2Uibod8Vq9vRTcUv5RUMaKrUTONA+rr7pfZp8ZW1cKuuqV1D+bVIoqcCEqV+Z/TZ9HvCWz1
T0r39VmWJtQJv8TRx9OTgOytrUjNN1FfyrsWugcMMTBYfJT6aQRy6GXiTRo25JhuDvW7FRcEwS6k
W85N0lq1FydRw6cYLLZ+a5e5dPOwkc8O1KP3MBXjs1pZdudmWj6+55hEi00c9soD+cQMQ6Xix1t2
9l3Krn5OxkJ1XGK1iNFAwTuBOSZrkpYpKCMsj8x8pnabm9aNMICh1YCDPG2u0qptV3SjfDdEK78z
cL17kAoFqsvM4+aXpgY5+QhFULnxgTUvMh6QlM7v9KuIlNT00qhvCjgr+FZj9qljTNuXkCw4+lm5
5y4Mf1pyMFrspadZx+episyNVAwr2vi8QOFBy7U4qz77wIs0PYK2jGcY+HkJYctdYjKiFT6wdGvG
Sl3nNu1OELmkfMZgKv2djH1dwMKf07s8JfPcTn1QAmsB72YbJ+7luBtjYO1qNLPKm6xE8mQ+KtHt
7HPBgI3b41uZqMk7BQE67ihT5idNTCqqFaUanmQwxY/a1AuaRmIAheP6KEoPvgbIdGq3xV3f+tVt
JjX9e51T6T/QdtKlV8G8eptQ1r0GxZR9a8yEFBsGeAwnLPL159CYChT4U6TfKsDc4aHIg+qdGd8L
A5EaJHEHbNzafafmieL2ncN9oUxdDJwEmPhkmpBa4hCbSyZH5+2fHsHFm0kJGpBv6JxPnSSBbAKM
y9kW5hC1XtXMwXfRCshEJYjOMlUjBK4wioH3HGXYT7tdp4mHUR/Gh4zhZCWtSxm/w6ijCJna/vcI
szhzw2bZxU0jo+Iwl0n+UgAIs6GddIw8hcaA6oIdhI5L04lW1Gwm4U3Ylrnl1VKruYcH/tKuCmUX
LlPNaY6nqjKlB5n5EIeaYGwfgsaHYhEvRHtXyiGc4KN1ygu1eXqnG7S6efOxclfWbXCPnAbzXF/k
8kITLT3geqEoceAMA4PIpOjsjUVT7ZmmYvmqBoNmbC01pS/b15G4hTOZmx66EhpX1GsmqHQsrMkj
zkLeIPXKHxhHT4GnVDofPGyBkjccAVQeAYy9FyXUy3Gjh5N6GBTgd2J4ML7bpeE/GWQxvCdT6X4K
fQblx8EzYsyMMCYKdWUIn4UfGf4llqzDXV7hGLPjKBDYoOZxVxYGs5BBYPsqIHPXa/pNWWlyVUxF
fa1IYotrtUGbbNpUVrOrmJN/h96if+w1u/3Zy1bWB4FnyFWeAsWTuRU+sKQ03unjDYQ/qw4OhY7C
nl5sVOzVoYLZM0qlvOJRG6gNlhaG3oTX2J+I/cMKeLjvGjUz/ytlmJpbpe7z9yU8UKWBeeDlTSZx
Yfljhq0heOlrZQ8CvUOoBzk3lGLTnqFHcZvWiAugx5j+7WylTPSbacTBRQjnot84fhGUpEQyupyN
nA526cNTp4EB+2NXKVNymzgFl2dWZYPG9qn1y8QAc8LzRi1SaigzeVTbMf41FLP1FsIHh5AZ6uqP
Zq4oiowU1x05hrBtAk1FYxh0qk9abvb6D3ZhfA0V/9foN2nl6XlJtmdF5OfWbGs4Quapeoi1Ej7T
OANyErDjKtzGNim72ytUom4MXAfZyBm0C0g5ob3F6Y7ZTGau6O+5JhWilc41HOe9egibiiNB49+5
b7RSvy/pQOcbf9CH10rj1mTzyeGnljNuyI2T2LzqG7hfbu4U0fMwAZfRkxqMGzTYAzsccmW47SD2
1XhDlZJq3kpAMcxaqJd8uBquRjIqT4kzBhDZFgJiYTBxaN9XfUTA9fPXGhHpy6A3xW2uRqN+iNNS
3eXK2Mo9wbVKPKst2lDCmqAlyDgg+glpf5nk4J9iQRLh1NmuhaK0P4yOkYE3ZJHZEIE0mr0MSkHo
gFc+8HavJ5wnPoJfw2NqDRPgo7dvkiFiolmj0x6/QVRG9yAfE9NitkwNP5e2BN0K7o2w3falleo7
JgXR0o47vX4pYm34M+TcQThygThv4naqvlmOUNJriL7RVUy0yDxrWKoqMGZ+BHSZKHAtcq8XfEiV
K1SLwNjWPMTvMpTDHzA+Vq2TJnE29K1S+66WGQ1hJhzO1AP434K65rZR/0AHVxpXoVFE3yEdtC0J
V192UGYiBc7IiJQl8eoSBtYhoKXWXCOnbW56iOadZ9Pumg9MSCyj8A6sddSeYFjMP0m8evjwoyX9
5rkNEqQg2xoLLutCAcp/x+V7eBkDfez2YPJ2sXGoiuFYdArukNTXNLcDa1ZeHSzRsO2yTec27BIn
hA0W2iTXRfGtAcaHWKVG6k8FekS+maPE8LeQQxyoUZSm2UY2cIRAupcDILsJs0Itt/vKs7lTTDJs
C6YZSJ/z1BaV/TB3+qACVs48Jgrlag/TdriZ+2am/TYTGTYAI91jAGm6Ax8SSUVP006eI+wR9E1X
FDWuP7AASTKTbKJX3BiEnFokFP02xBABZaxtW3gpSpgAMShsG/BbbByTcrb8Q0VvOcKkiATXK1QN
yBAILjd32I6VeDNhpWbv6Nwn3E26BjQnoZHjGVfPlMt53WuAVroSfCN5HPptiIPqJWYygg6LmisK
xXHD9h1GFVeFKs4m300mwjs4Ig2fC1zBKaYhnFhwu+ZYvBuJlqAfzrHRxG21T8ZNpvfydzjnxEAl
YhqNq+gZPVonhgPsdgTrxzqt0u8QE/VyS1U/PvdBmIUXCok32EZU6g9WoOGwNYqSHdmaeStADYW4
GUhu3qu4t79hF+xAPmJakb9NnRlJ56xr7W1tR9pbWGiWsYnjUb2YjaAo72qnqB+GKTdUuBs2DPZi
Se0zX09qT6odrDAycgXldW42P/Iwpc6NsQUlyEPi9Dd0xuUD4QAMCY0ZlFw9TxUF8pvS3ROm5t7T
4wSOYxnjaDRUf+8B2Tq9W6hFe0NoBCeGR+S/oMRIDxPOquMGwgPwIDSf6nVCH9dsKghv1SVzU9T/
gjG39b2q0OPzaBMIrhLVZIIkwUWxt2LQKT9xP29/Z4HWDCTUSfCMx27/MIV1zw1TmsF71U7Tf4EF
zW6X1E7y0+GSrrcmBwskoortCgua2IIXOpFyeux4wG4ZKpwbVAwkfpTeyS969Pl7UVrR4Aqs4Z9B
cenRDE073RTF4Lzj/QKbB8TYqEAB5hjKsq7Yv9M4m39G1FY8lUjhtHWZ1UsvjmKjXeA8o/fUyErf
IrxdGdwjZuT2kk4dqGe0aDqa3oEsmhdzBvlEVfn4AbDdZTNMWuuqljYYnAOphLCM4qDe2qUD7Zq7
hZFKdiDnwAOQrW6ZPKZOG0s11WsjyBk2EIkhLfbkj8mPqiAqk8RBPeq0ktAP4TH7Bd00vkfX2sIz
jLRM2cII9+9b4lPokeYLyrSo6L5pcMW/l2A3T4YJjiC5Ha+zItUf41SX+UMVDx1WO07UTwfN7sdv
Tdg02KDOtY4NUJm2/n4q9PixK/WGztMwIVqZ1JluI7kLpqmzZif2lipJMbeRLCgXx6Yy643Wcmq2
QRuNxEdnqPOLXI5ahxx3kLZDb9UgPhh6yx+HyHl+ldFcKh5eawWOBrGY4p92AXFij0VG79/01DgQ
uphU/zjCm/sjKQ341GIxc8kDeu2+DKGTTTBgoDe0avpzqEf/ySfT/40p1NJmncZBEgjIAbdIcfRX
9CAwPTLkQa9VNHKR161w9lU6JKCsKISywwi/85FapWSwcaw10OcNxEGDmCvhNSlKRDfRtDSFYUKT
ZOP7yGTIIy3rnt402aaBKuAqrqHfbSJGTNqABx3XE+Qa/VmbqujnaMPs9dLUIstF/VdXXqXa/n0e
S3hGZP4kucCuYbIr9Mz8pmQaRJ4O05D7RhHt7FW23w0u8jfYTKWlFk+JFU1vdmeKbyaAlroV/qwq
m9BxACeYDRVEXlJnpKapoucPwm7tR6Y3Fq+q0hgQlooi0DziIe1DpsPl10jSlBxdc62/4ycP4RM6
bnZRI7zqtwLf99bj96hPPprny3keCjgiNFB/N0kUvGp002DUVmMWgcSyxVxNz5QJpmC/8C4huEEO
gAL/w8+nUG5gJM3A8JZd7mHY8zd1uHUF9x7oG8kxlHy30/FJ2wZ1a922saGMhOpUGPT+4vilLpPo
yfET5x7YkI7L4PuzsjS4xsK1TQVpyxhJ0v2JyPZO0kCpocGydNsCsYOLsMr/aYa0KnaNU8VyM8GF
cOB5tdOlnM0Mrwt1uWFitUqjrexD2rIpjA59KzLbulvqToOg0s0XTdEEted3Pb09/Ju066af5fcg
IYq5GFxGTCCiLNnZdUk6g3lz/d+A4O86qrJW2/S1Cl4e2agKeNNsSM9oqyB1+3lSXhAg8o3HCUt0
O5rFkz5aWLVU8C41WmOkaO6QFBrCmyR3HtrEnw2XYj0kafCF4EComvJ9iPT5ux/1nYAQvvSZMYPr
3mXc6JU3D/RhvJkJFP7iKzgBuNEzus+mMlCgz1JWu5NuiRvkYvWt7QQQji2RkdkH0moZFuWUw0ik
B57Xmgmodx6Twd9BFJXBIRWN86DkIS4ajgNif6X3A2gGcHiz8Qn7DRIL7voLLZaO4jYts5TbvFao
RVtg9y3Fah4jQ4yL4kGbBLQAOGMNIhpfBe9CI9dtqzGcyk2tjkJ69owE2hvVrnvv9UEZtkNXi3jn
hE7CmQodk0wLAuoMfS4I4o2gJRj9HgMaM9tuVkTvZQUCeBKzKYFy4VRadIn/mJPdDH1k3xtRklYb
vZ9TZFoFHLs7JD+A2h06BV5GpWe/RZKLZjeFsz9uppGW1S4ISYw3grdYb2aCOLlFDErFi01LRdAV
0vzHqLLIJSpGXygQPXuSkImz+ifNRwaqR+g+Hot2wuFlGQNww0CE9gXOrASELBrzpjLAnT19nkqo
xXYZ48UofQHzlsjlKgApt8IXUF5GOqkw8QZo2ZsU/dDvwi+n70Uq4jsJK11dCIP0junGWhSiRfmf
7fcUf/R16RXSPSTjig0Am9ZK1TcyvqH1KFFyUtC+tu9EqVdi70t7fguUQb1BYtqrV4jJ9N+DIfSl
OZNCz2SWUHBBYzicwUfV/A5xgS7g8OtdCMzOgAMPEhAnyhpj9SFk6EHiFVLlg/Wqajx1TQ2sXHUm
8G6iNs7FpATtsB/43t9mbvDxIOlmXMR0Tx5avaeHhMdZdw0hgluygH1yS3bAdZGqTdG7c0MTY29H
VU0DS0NN8I2eZEoKUvQafKk8sR/MrIAMy3UT3FUpTGK35y3/gKHe3y2FHlQcNUUPpihFc49O0v+V
lHSQvV4fqTDkaKfQRBip8uqEE4c5KMPJgp+V0q7IYox1t7jhyV8pzTacYbUyfApl3lL5qk71is+Q
mdJky9NfgahqWBB+QksJNXdawknPyydRwAAgyMK/kAaex27UMJR8wyme3pzJnHvyeB0uyECr1oCF
Q9oIT1qmjzJCy+CBQpk/Dbu2HriDGn1X+AE4N1u33qptUJPi16Veekt0nnZaTHNnG48tbWzDniFG
hnZ2t3BQp004VuMNmUvemIcARHvahlLYFdZylXLT9Nyah6Qo9Aubnojm2hjMU8IXYynuGsSAv2tf
ne9M1KKtO0Cs6A7tTP/tHu2Zj7epYhW8m1AaxZYpXq11PbdmWj5TFyjPikNjFBioVOHnmzFZbjuU
4jXNZ6mSA1Ie/XKCuFdcyi84ir5ANLUvK1jjPyymhjpALk5uECR0WmPwbAOa8BCAouk77NKeeRsO
0qWdXqLlcYtuYhbt54rrxUvgX3MDhgdg/Yldg4rJGV3Ilbg7FZPhVBB/AISl9qZ0he92SdXtrWQY
7xUlxexV8QM+Xdtt0qQT+8+XXwu+l+WZ1Yoc38bGFhTsWGuNhrVuoa1kLtIryqEUKnN3UGEJ6qg7
yzswCsedDRlc1WMKLfjzxddTxRgwx+qaqoI66ubin3K8OnPCTAPoLncTnyt3Wwufg5QxFnCbUFVE
0JroogUos8HPIyoqNKLbJIdtQhJDw7sy25czv2itPV//opXFCoRnv6ozPkdQSOIwEOYmDhzNI1V6
rkiFCTxg4TVqtG3aDgb+Xva0z3M6ANoQQA2faDnAJ3HOvKm1BcDfn8UQw8X1VugfnMWqkQjdSUri
PAtot6KdCyB2pHQjk6Ywi83nb2HtDbGstjh8WIu7KZyYlU1KOcicMe8wQaAD2z9lZOnQ45BLkRaO
xviTQb/aGROdU9sQyz1hGsseFMbK+gKCZFMkDTg8ckDt3oRmQpor4OK26ngBe87Zlzna7UI3vzb+
YRlxaMI0NpcdyPpitQPtAgUi/BfgPozwkFzR/o3K75nkLrigEwS0/fmr/figx+ut9tdkKghTyhLh
Ya4OVLTDdDOx7hV8DB2ueNVuKruqHh0jDXafr/xxZ7My5jMGpsYW86iWX/aP5VMzGYWIJDubCUnq
ZQC3lYu3LL7o1fL3fTIkkG2DIoMmzvEqLB3pTsWJ1gfRXhoL9c3OxCWg/PDNgm99Zt98PBe4bxM+
QI8BBPmax8vZ0vGdTGGn1i23WUtr2KPj+ANxjTh8/vo+ngmJz4bFNHLgHvx9l9f7z+tDylXXY8Td
4FdadUEGgxYL+XDkQfBElVzTzj0zdv3kijpGTCjgkSas3QsFFXaVdZz5MlSGX/5Eo8tp46WTWIfJ
PW6N9hmfkVM7hNEJNkIIG/untbv4wEQICXJLNK476hVnLptyU1pNn/8PW5ERRHjCCyn5aqt3GUEm
J6PgXc6VVcF1bh04R2N1ZpVT7w+7cgF5iikocOKPv9hgwdNNQlZpYQiYSAud+RCHWr0d6bGC4NML
+3yLnNqMjurAHiAtI5qtTphZ1EYw2csWEb3zMOQYg3hjEFjKtktJas5EkrVJ0XLSHN1SeYsS14j1
mJLC6VJyYJTHtQiy9whAD35oAnVlLq/tJl9GEitt//z5I54IX1wMmJAJYiWD37Tjdzr79qwbkERd
PAVQdArL3zcT/VY9i3dV6tt0IXS5lzqExzOPe+JrYgIL2ownE8FFrhKVXouK0K446Y3f2a8awuuY
u1j0B4aVdbsAffT280c9cRqWhIzRLLrgSlqHlmZwWjh2KVgW9NCNgbPlrlP0c1PJT3xFS8PRzRS4
FGH9vHos7GqCOF/OnK8lYoT1njTxXm8aoe5ErsJGjmJ1uhPwf8MzAe3kylwESNgYFohf+vGn9OH9
j23GjITY7qijEcP4G7/hbNAkacRPYjtk1wEpp39m4RPHhPVUsgvMruG3LT/sn0haI3m3UJjyYpNy
vGxytd/iBKs8OHRQzkS0E8+I/Z/OABOOyjIu/HipKlW1eTAy1Plo/zZKDbVsNGqEtxEA0kMJTfkl
Ec45v+ITD+gs3vDMDzLooKirb4pgGg/mnkMSCQx01Bo6EtIWfx+oqBS+vEkdOB8OUzYYe4MJ5vED
xojO6SfxgD6GQBunhcc0VMY5v7ePR2GZuKAyZNXA8c1cWwKqvc0Uj4o5MAoGAnfJkMDnC+P+TCp2
YpXFG49/iJ5Y6K/CZ4deJcsNBzDagiNaityArROaXz7WZNEcOQ0PRU3F/ez4jY1q2I+k75AsII1k
dzXmOsWmqJX23Pk68TgEZoGbvcolx044XghESQY5/VN3HnAmjTKt9iAsnnEc/hgV/44UxS+LEfGk
P6un0UhYhjGnycnjJpcEz2jaRg38j3JE9b9FYV1Or1/dcpjxMqwRirqxjFZZxY0IWjf9AzJmXS8p
2UK73JXTOG4+X+XEg1k2cVGqXG4mdd7x2xvwbw3qpKIUdyogwzS0rhkm0+xsqwu9cgzODec5vR4l
AINMye/Wrvi9pnaWRV8HCoLSgP8xThR01Q9Q2sRqXDx0Y63/+vwRT2wQHpExZtwyeP5/KL3xx0e1
woucwjxCuVuALhTt/PX9jicPjTFDX6KuszIadhoTjTuiA7dLVf/eHhE8NXEynZle+TEvoBVlcJVY
3JVI4ldn1zdD7KYW+0yd0XYwtXFlQTUzfIOy7+ydwUaDmwQjEF7TZvvPX+OJL0e6hV+gwaxCQS/l
eKf0kRpVFQNL3MKUwQsSIOMFaZ5sdmmBbYdrJlCKdp8v+fFaYTAFr3JBcrg915d2OGi5MzBF2/X1
fN4bsLLeUgVE8lrRKM/vfRS8wi2qkH7u5wuf2DI2tp42B9Dm/K29Zpl7SQKL36Db41Z1Gxsyc5uy
HL6cx/J4Dr6XGoIrLL9X91dRjmj5bYhfTmrne3SNPiZvSm5xFNI0M85s0FNbh6uZbuDyRiHNHX+/
TmckFjxV6lJ7jPZ4e8GtSyMFV3rfim/wI5xuDJp2e53k+unrr9PiNTJtxGb7GMvW+icTsSJ614Fp
wP6HzHQv8HzaFngqnqlRT21QS6MmJoc0KFVXOTOeT6WO4zzMZDOx3AbCwps+4uoJ/7Y6oBNpDv/D
U1FKY3RL2UOoPn6qGTuVAokgu1MWZbRB5V6a0LwwyTqzG08+GFX+knzwX3tV6+NMBS0UhwYcXHw0
BEwGBjBpCmdMD0lmqM3jjPLnXCfsxKLLkBTqHl4mV/jqYpg1aMrljM5mYmIbGBUSrgkefIGvTZBl
m89f5cdMjs1BhWpQp3Ir6KvYkg0JKltsdZBEtYiLvGgeq/QF7ZdVjSjEp0E7V9X9nYty3A9eRqZQ
Wdm8V7KH1dcbMycMTKAJ1+HYZduob9WbYcRBzIna/ODbQEciqpp9CDOSGYAK8JQbTBaAYIZH3pmt
eyLeOBifENJ1k9i+Ti/DAWYm06EKuDV1sGWQLhS+AKf4z9/y6Wf+Z5nlM/xzDmOzTXvVZ/qNP8+j
6dbdYq7FqEhpeJnutHdGFioX6gC+Zqc41pYpUDTG5TZTeWL1zJyqU/uLL/7/gxWIDKvTWmAm51uS
Rw7gjnsStuofva4SKGFqcNk31GifP/ypV0zzm7uEm3MZ6nb87NKcmU2BLaNrGXqF7xoKImvKhjNP
dWojWwwSF5jj63zL5an/ecMwg2U6dtQJWOhVr34cgCNWWvDO4O1zqcDJB6LmWhzK4faqqxeIOzIE
AUHCUTNEfOPXMAIBasIzCcfJVRCVEHjofRC/jx8IXZNfaoxNZUxwENk7bIpkt6HSQgH9+fc59eYY
38PVSuOd5sMqja9J7m1ErSyktOpOgZm+sYreeihRDH/7X5bC+NlZEmtmgB8/U9aMTesofKRybMs7
229DEE4bGi9soiH+/j8sxrQrWnCk2GJdhWNnE+IOTcLbA8Dsuq5l8CUM8U3fptnu86VOfStSNC5A
7Ji54VfPBYdJmk1G60bXjewBKwv71rR7+0ysWv4v68CJSbK1tIe4IdZezHnam1M0s+/yBt6k28EV
vSA4Ds8hHapd2aH2+fyxTu0Mmn1QFGErgWGtrj+9RTSemUBn+GnlXjwjj6tjhoSR14dnPtbHZ6Nb
ItkUXHx0MtbPNkjhpA2c6kVNXe9Dv3oo7PoSqpx5UOuoP/NgJ1az8V1mfAIzXxa62fE+HDpdYdo4
8LoxKOZlkDnKE6OdkO6Ibr7Hos8/k29+3B901gWDc8gjNJSuq7McqSaEfaVA1A7G/lqKeaLnpg2P
n3+uk6sw5ZBjTCsDzPP4qRSlN8cZdyYYbTiwyj6ob6FwnpupdOLdLbkQQAvFAU3n5c//CbS061FH
2fDq837q74XwF8oEqt9LmQ3mD63y0/++/FhsQZpMGm71IDyrx9LNtI6CkJIAhzGS9Uz7HeXWF2dU
01igHpCEJQI6l8c6pdQUzCbyuae8K3RcdBu8Y+guy9yDioFATeWbnTnNH78Wcd1g/CY1JSnmGhCs
+hIFTu/A50ur7tqaY/9G7QZ9+HJ0R1KhWkwut4jumr2K7nYG3wcCSIIzRltssyT7My9Us9qMz43B
+vBApi6owC2VElljevnqUOH0WyudihBRVFP0mhVKuU3a8Mv9eVahNCWdWIYl8EDH2w8iKGxvC7vh
Ghlu5Sa5jRXOMA2JftN3JbS9uHEg0aGT5/DjdFmdxclOPecSNqjIiSAgjse/IKXSWQS/sJfqFK5M
VOvhtYyM7Kv3P9fJMmOLi5mbmdB4vIyKPXwnlzYesjB74+jDnxyS8eHzs7Xk2kdXCh3PZVzIgoU7
y7/Hi9RR3tRtY751aITLQnkwo0OmWrtCaC4Tb0hwEH0xr+HMnvzQXVhWRWxEW1cuhkGrbwiXELfe
0Xwbu0sntK+zfqsVvpea8WaeXz5/wPVS9I5V0AeG5NBxRQG9Ch4RvhIz1FBUweYY3OJ24nvdkPVX
Cn7rW9VEp0ZnL9x+vuh6h/xdFIwfTFMjxVi39mJch4yhGEMX/47kAX1Aup3tyd58vsr6dv7/VWxy
Xl1fBuutzhsgdIAdMI8WInMaIJUoSysWFyUPXfk5wsSJxZZhIejQQLwZkbGK+nVRMKbMWNiIoc9a
Q2k/cqFxY46t/8WNz3MdLbXa+Ibp+9ZcsRTaxAERQ+bvMVf5asq2rELnh9kY9NWIJKu42HUihHmP
OyNBxtgPoMaAbbO1+/wbfdwJoLOoIIhTdJvojxyfLxQHc2yYiBP9qCypYpsQh8X0q5EX5OdoldUp
piDBE2CkeMQQ1HfxzXpVE/H6+ZN83AC0I7BmZTjHgjZZq68ypkqrBTNWagwtMn+LET+HFIHu4ith
nRuV9Hfr/huWSDBYjBYBaAn40npC3YBHgpx6UCxQdFxkyBkVxNpWc10rWXUL+bbYtWbXHTB/1bwx
irULXHLTM7Hxw7ejRmbmiYC9ZS8aztUTZxUO61lovTgRCoAKm0VvNJNz2dTJRWB48E5BbEx1vQi2
L9gIB6/JVGXOVq904zJnVp2z/9LXWxgxkkIICIWFmH+yihVdmo5OaI6DyzC8EOZyaX/HNwUJqYzD
MzXe6on+fymyXEa1gmEzzvB4y+u+FSU5ya1rZoi/Gx5w06WK+FqQ+LsK0M/fh2EE5pqJMBcFNlJ5
iNIm1HBgQxF9ravzOcBuTd/7/2VAF5bhe5Srxuq94ZvTg58p0Oh7oz7EYzVd4yLX3RpdYOxDCmaU
XaOBEBP91pAwRAWhdBdcGPi2eHzScwd9dQj//hwTKGA5giTEH/qRdq5hoYdVRDGNqdvIJL0asTPY
RWjbzgzk/ssL++cM/l0LmpzGxgG8Jzc+/o5SZlg/T3zHMK6fOsQ9WGfp+9lPDlgWH4yifuui4a0T
jM+R/rfc6F5GEOiJrK9qkwt86c/1KZZYufpBXOQ2F7qzzMpds4WQWKDKtbHIV0Xt6H8y/F+Ty7wB
5bzHOzNPdkk0Z9ojnnDRrznCjfoMW+nEy1/G2KpQlSBMYL53/EL8etY67D97F2oYHr5mUWzgD5eb
KozTzefH9cQZOlpq+Sn/1FiVmLRwWrZd2JrKRcKGuCYZ7b5+UlnF4YzCZFvuwuNVamStfp5yhro5
CHeaMyq7UsNr6n94FsoqAQQICGGu9pHDlIUU6zX2URHHb6iim1ulV8zHz1c5tTmgenAk6I+A3a6i
DoSLoOwzVNVJJOI9I1tDC0WICLaBDNprtcTVQevK8lLv4/7715fmjoJVBtfj40FBWp2LIUNaqNOc
uxmFMbwzF0G5QOpt3Ge4ymGdZpr3xP5z3MCP2wTiPPUWdCWSaULC8QdUBqAdpY7x77BldRMneXEI
neYc2vLx1doggHw61VYp8Nb9+lCtelMts8lFlveomsZ7L+0nfzYvexxc8GxtD5asv0ZrIfjQkdRw
C6DNqkHRXV2L6I8Gyu58QnmKWcGLU2IMfiiFHpkeFrNliGdjEwDCYNEZP3/+OZedchxmbMG9BZ8B
+AVKzWppyDOIyRKWtk0I2frox9uiDKsts44QO7T1uc7D8v/7uJ4ECoGTDHl1tXMnMfsy0PDDaQbs
DrQxi3+kQeDv4FnHiBut8oAX8bn5fx9j2QIHQlGCVsrOWXfLQ2YNIozGXxFDI8VL1ELZJLJxdiX+
Wmdi2cmlqNkRgeJlyI19vEkxapuZ14jJDM6Bg8YFoibq1neiPNuJeBbm17I2pszY3NUQKtiyC1a/
urGVEe20baDAMEa8O5Qaf6syYXDaFzfJwlRnCaInLEUqy+OHcnwIZzMeVBjlZXaznYYwzjepGRq/
0YbZeKGV8bk5wx/e42rJ9XtMEQDaTDTwkHqWGyGTP7El2k1Wpf2Zh/sQVv7S8KE4kF2BW5ureyGc
p1DFEgkv0anqLvAqyTy0QfmZffFxFfoaoPAAnVypeLcfv0JcRfvYqlApO0ljbKuwn3FsMuf95x9q
fbrIXThVnCt2uWbjRHq8CsoswcwnmC6d76uPo9MzNCnoLibd6l0GEI2PfXEOHvqwJG+MwmWhbS+s
7XXNlwpLH/UGIUXU1GIz4l9ueE7RKvcCZ6U7x24Xv7qp3X7+oMvn/zeM0BTTSNMW2iGLQrY8ftB0
HLpeTRgE1e4it/OGbbHXb7TNudbGGskkaByvs7pzyBY7s0pZp9y8PecbZm+4vy/v3z9/mL/1yGdP
ox8/zWg2Ico/VtH2EApcZnlsxS02Lxvmn3jGFujNvardS+zz3enH52uvi88PT7hs3H+SL8rnVNbL
SC3lIL3BgwTv/h97Z7YbN5Yl2l9J5DvdnIdGVwFNMkYpNA+WXwhZlsnDmTyc/+Z+y/2xXnS6umxl
VqrzvZBAAoYUYgSDPNxnD2u9OCfn+Fefq2/P5HrD/3CcKS/hQZQcx7yOdg1j9Q80NB+jd66Lt0/v
t0d583hhHD/NlfXTLFvcIAHgwKAM6nfu5d/tk94eZb0nfvgshmg1M12/r1Oz+ZwFd6/W7vnh9j1z
5je5759dFm+WXRqZ81kTHKbZ0HYawB/wH4BtXi6Bcw+/8/DOlbBey392uDdLroexkuWDw43BZ6Cv
/kvpH78Gt+8EHNofLBg/3rpvN+eFLKUDCnT9VBCwApJFAc6gwA3t8Hn3JMN7WEHvfWHvLBdvB6A6
16i9ZD3mELKx4wYTm8fFf7m/SPwrGT6zJ/CBbb7zYHnv+3vbXG8A6dDz9fubg8/LVt1hxNrIbXIh
DpGf73r/ne9vfdb/yfenv1lFMpMZSsYL1w+ZBAX/mT7EzwA42zun8+2z+c3l/7Zlx1RQESVULv21
o90fIkYhqrY/Dpnz3md671p5s2i4Tirdcr3RXOtjH+0FrORaR3ZWZqBI3is4f8uz/dkJfLN4pK6i
WwDHfjuB+SWehtDZ4oAL7kUowq8M3bMQq/7X9z7lt/jzzw78Zj0Z4wKXQMOBjVv9KB+qi+ZofI6u
SDeC3a6f57vyKC6NK+vunSvmvdP7ZoGJu0nY1XrFGFwzkBe4Poc9UV4Q+U5Qb8pNHLqBG7zXsv27
ZMvbC+jNSjPrZZbL9cagALkVey28K4LFf438mtNbbXX/3ef4Hy0AFARp4l+n5ejj/nnFlplblOp6
ySIh3mjcH0boETmYgXdWBCj8ruUVROtduzPPvcM7Z/mP1tUfj/3mLMOTmXMKJMQq4bixH/Jtsh23
c5ht5UHfv5cz+6OvlHoCRQua6iiKv9kQpICq07mtpd9Cf1c1pm/BU5nza1+2Ybpc//lHe7sQEPaT
9yTZYRg0+dO08PNZtTuhR0luLoFidMYWPhJUZa0VONbm5Z01x3yzuHEoOjsp9DOD5DpwsX4+VO7q
9qQPmLMiptTPKq8s6Qc28nfW0Ldnbz2KSQWL3cA6Lfs2r2JiqcYHCe6oYyr3Euikc2yHXAbqrBeX
aV0U94wyaVd/+SySwWFbRdBOEdRer58fookKUEIra1yNCCfrDVxW1lSzK67B1efvXYvrEvbjSsMH
ZA9H4oZGfIvxqzf3ATaedvEcZQ6ccii9APaFvAf+BkOptSoju8u1oQP4Wjj16JPZlooPG7G4ytM5
erC6sqsACAzDcGgKW7+mm6TBMdSK2vVrFW/Sn5+X3wXf1FypjdkaqSb6wqhd/XxiTCQaZec4SCy1
YcA5ouTxzGoIszYJJ4nnFQy0NUzpFsPp8NxSeXyJpRe7oUZ1cNmmtWG/N+H+Nr5c35LB9UF5C9Qr
HqOf35ICpElgiZ8CFAsZoGFD95FRFE8k/oERjPXgHuda57Erhumd0Pb3N5vBl0Z7GvlgMvTGm6cT
JFdlnJkOCdrO/dTQvHHfAR+6hLj5XpfoHxxpnaSxKcOTVaCX5+cPGctVeefpCzi91KaVglmnsJpT
aKHUqV7//Ev+/X1NCpOcF9gAZjXUtyX52FGnogJlFTigcDZdOyF4auJ3yie/2+TwtTFVadCSSQGZ
R8D6iX+4xWKKE0a69EMQKUnkTxhF/bSIDZ8LqjiKfqk2Th7lG11NzRPV/PzVKmbtnRXs97ce74G+
m3VaiTazt5m2eRnGuGq4u1xYzvYmriLl1sxUegK9DhbOAXwxKJe/fHbXdYwBH1p9NDL1P3/uwkoK
o8ojBu1lBQFnNrNtUTjG/q8fhebmtVhAzwGTsj8fJR4HalNzOoB5wecJCQnKMDLtv3z+TNXgg2hk
1qhVfvuOf/gOs9nInI7GkECMdXnKTamFQoE+M0IPDYt+irZ/9VOtPRt0VFIB4cox31wz+qzKHBct
fPhFxMe0UpZDhJPlnU3C7xcUV7eY2eRDUXL7XdMhU7+U9GZXBvhhy1BV4d/kQNr3qmspG7ewRsiw
kxwOkSK/t2T9x8v0n/FrdfXbsi///l/8+6UC9rS2jb35599P4qXlu//a/df6sv/9tZ9f9PfL4bXt
+vb1l9NzLX/Z9uWX505U5dvX/PQnONL3dxI+d88//WNTdqKbr/vXdr55lX3efTsc73n9zf/rD395
/fZX7ub69W+/Pn8pODtCdq146X79/qPDl7/9SsxBpPAfPx7g+08vngte+N/F81JBCPv9a16fZfe3
X+FafiDmYGafJBeTf8Q5v/4yvn77kWN8IBW6FpoBI9CWsv6orNou+duv+gey+Wt9Zp0pIq1ushfj
Dlt/pHgfXPK0Jr1AFNUYt3N//ce7++kr++dX+EvZF1eVQFv2t1+tb822PzzRGeHk8NQrWOLWOSLj
zRPdHIXXzK7VAKkshoekl5mybMp6MfWnjGpDgU2EuTQycwLeAb7VJq2jFRAL3ugTrOuRkJQniw+F
CXRkhjqoCWH9j8VXZSa+e2Yxto6NVw/GKcGZRk9n3jX1pY0MVjujsaEBagNQLj5M7QryqhGM+1k+
1YpvmwAx0mGwbzoMABCfamycFeaOMG/BuIHFsdzZCQAKtcmn0lUV5QaPj+ebU6zoLI99rW+BoTjO
GTBuFcltX/FHkkTzFSRV+5g7J8wgc9VfAOWN22xWFnEn1KQcz2StC3FnpZTEbAC0RRWUeUEOE45z
PN0N9iJXsU7WDtEOqc90t0iv7CimUdeed0rdaeYF2JzymCI2ST4P9OgNvto33WFoLebdFHuF41ZR
S9dOGvGJgeN7S/sxXozk0WDQPPPhiSWP4Gwjb5OUjWIcy95FPtxBZd8bpejpSUTfa632tygCiv3J
qaSbFHcgD/uuv+kMtbiQ42pTlRPEXA05YdqZiz9ylweW6AhRNZDjT6LpLbTNjv6Zjg3zdRhz+0ax
eIz6dj4uRy7aHqeYrOFbDyAOjbquL2L6V8+txcsvE4LNc70o2x3gi3qDfcKEkxMjELOhGEJZch9B
nGdoImbIkXRW9vcFUWKzcdivhoY7NlsDV5gfsfPfR8hRQn2R4ralkT9gk5Kd2qGO9+DbrO3ipkXY
ezEe6rTW8M443dce/QIYPdk22443vU20rrrHLa3QjTf1N/hGxVkrB+VpljU2+RwA9HoJMEfj542V
5IFgsDiG3OcM500ckduRaQtIw6tDx5wgVduNvmUWHggLcKzyhoGw8gtjNuPnRLr9LWdNf1REVkNy
i6zuOOrZdAOfUH4eFg46WuixaXCQ+HHcWbR7nRlcrgMTolwdyV76wCrLj70+GPkDKEZauve5jarq
IIva6j5rY9xXNBUiPFyZxLphK6NtI4cEXPii20qdLl9mBtYgJFXCM4ftCNcdrqrIJlt/sAdQ4b5Z
KtC9ZdrL5DMwd9CrfdwEoxlrZxEkVhR54MEbjVlnetedMyd2pn1q1/Dvl0b3J+QELx53fc/VllvG
cFOAe+jOLUWaxW6eiLtRlWdRc0oUs432npz7qfG9DJvt9SiEYl+3nYyQAFr6vOBso/t5CdpJzulZ
lTZ0d6kD+0rNx9AyPcpJaY6Qs1XlqZFIeC49aGXWE0Urew7aFOvNuQV9eAr7TBFQ0Fo56vLQO5md
vDhJq+t9MKudPgqfxoM8YG2yjUvaP6hdBKqrZENNeXSwyvqpGqc5OiBXS8rTmESdGUCrx5kzpfXE
vEgCHm5jOpDXlFpBYVYKgeyDieBc3qaNZaU73Dt988h8GVSG2aDLq+0yJuvsQqPVyhMg9lALpJiU
Yx2S71GlbSAPZON5dF+V3KkBfoTJb2Pka0GHPsFMkTMuVhbWQKaaK4KG9DK1K+xiaMmcyHgeSlfB
QzapRjJeGN4UiV0eGQ68R+jBkO2XNpAaI2+pCfnToumstaZzCXeuDU0vZ2B6ZPurXo1YXm4qBvKK
TeRmEy25Lj5LGUu5w1mZmhfr2DrQYqC7F+mowlqG/c0AdKD1ymylIU0W6nlRNOi0ZKJuDVoqQbaY
WbiSG+qT9NRPQ2c/e3HTD5d6a6v44hHwDOHoRmJbxjVBgj+OqhGO+VQYWxzDqKxGJv3b8zRJBJAZ
zWi66SqW09ie1LLyaN5hnNZ7wGkMLRKcPRyTccR4dB4jXxj2Uhsc46Gy8SNiN6+AMMZVYsfnleYN
Ni2rBWBDt4lnatODokyfPJk005NkH+QLRJ5CA9oTpcOz7Cklb9tOdcur2QCEfBVT294asGqNy6LM
y3hrqylBqq/xplm4kTPNF3Ys26eF9TU+Nrk07MfYRSR6pg7ObOzZzCWb2C7m5NmoMqU9zUOvinN1
8cDM+xnjp32BQdjSxzBOpOLeUV3k2kMxYy9OHyjo+YazwsRxCoS9bPP+SC3fGK8QHhj9IYnbqrwx
ZqUsLsY5WvRPGpw+LN9iFKRtvlH4DqmgMnmpN0DVQ7RhBZR2k+dQIGvMP2s183Ueh/yJuUwnzBfl
OYva7Aw5gNw7yVSGiSydKxsypXjJHDTqjwk06u7gjRXtmTloVPgyf6TOFECQb5WoWZKPEi5xvuuG
lDa3lRJuTwgLGwUrtAUx8/jNkZnRJ5+iPBijZAprz1o9zXkaVeCNZkF6r52TNEjVnjZdASTyczHP
JKim3KvuR4tHwklmy+zC6R/ZIx10d9Kbp2lizRmwZdRlfa3O03yKcIk+tVqFaQUEtte+Evbcuolu
26HdONWNU9nTDnnk2azFd+yF2vHQzzzm2ldrSDDtDAvfOqkDjNuTyvRLpM39oeBu4nrE+KZm4xEx
+GdUORB27YzZo1tbNKrY1L+5K+2CeOW+UjJgsYbLHCNkQrPVBgBf9TwW4NqNdmMCs1tivytIFiG7
rqsOWK5XO4g5bRl9bN0JKYva1ujcEvLoKHyWatR4BMyTSnudV1Bbekg79lNB7C7W+mfteNEokKxN
KzBzvxkeGYVyINRVveKs3H5NTeVBNmblUblGkXmBpSmyvHApkm5bj2PWb0Qzue2ut9P+Y5oAFA3Y
kRfaRekioAcl06cX5gKHuHW2raqDCYSd1r8YsQfmEWOOyALPnGRyljv2DDpwbp3idmicbg7LPo67
e8WMBuchiVlo9/UsJaz9qKMxQJ1FfIiBN1uHVM+rfUYCoTo45hDJrYE2u8XFjMaz2rLfbodtgnbV
DnVMRxdeVnRfgEaoG1NvysfRnqY7IxvMU9oY5d7qlfRIyshtAk0tPwvP6naTWRvGfqrJBX1p5o4R
Lgb87P40NIZGpFi6XBroyWZqgl7RjF87B7f7bplitGS7eGi7bSlwEFdWVEpEXoSl9g6zTo/OWDEW
NMum12iOXzfaACQfZ7ANVTpeGpxGDNb3Du7juFXIL1tWOx3pQR1IDo3G4HKFKeMwWKGH++6Mx624
IXGEeGHD2xkGgjoEX/GlY0s6t2cfDYWtg3rm8WfEQgkjfQGZ/pRbnSeRkPdal37S4SVnxW9dSP/e
D/6wH6R3nO4LdmP/eksYvD63/////bgh/N8Xfd8TGs4HUtGQpHR86qSi1ya/73tCU/tA/hjOyUrU
8tiQkTX4vidU9A9kL9a5DFhbpH/W5ud/7AmdD+zf+GsOnYnMfJFv+Cubwt+GWH/YFCJ0oZ3lt6ZZ
kmpMI/+ckcEcMLBVxgZkd4Myhg68MgCMSyOJOCsL+YtaJDtXA+UO8F6fPtNgOxFg2tnz4LQZPEzu
ynXxLa2PRi/655kINAqXSjZL4PJw/BIT+Y1IRZB5hQ0iz2v09jNKOgBimY/g2PzakShHB+CtTbts
cajrjHOshxmI8/vIqBYCg0zBh2RAq73KIJ5Tgl3AqQY9VrCKTiMEMyvtfiUdi/wpEvqphWSU7VWz
hyHbj6PE2WSXkYtGbx7uB9tRrI1mztkVGoBhCtUhMo4wps1VV5WXIHtmpsYAfJbVsdVkPgdVPYpP
05gW8J/tIj8pqi3rjY7WCkGTFwFvp8mkO+t6xvWBpnZQg4WpQ2izJwmZGxp9d6MmjvKsNw2B+6Cl
Yxty6urnXkp5RUjVKz5yyCbfTdhHs3BkoPlkLC74zVp6UPLsZujPNAML6VZlwbsbY7dLdmMErROF
HIolYM1zv5Gs8ItP2by2j4U9q7ikNJF+XegqHIPaAs3AA2tRj0uOW2KHzSm9Q9fsXOAug29bC7d4
LiI6MAiwtaZBUhghs46x4lJXdWlxFnaRfoRdmbu+0YEh38Z0gUVBokXJC5N7qFM0JcnK65KdNnPF
Ru8kw86UZmNvLfr4jGfkNTkFWt1r2fdNeRyCNICNnHpGnseA4jvMQjQQZU99v+gXY2w51Dh0U1Cd
1hqles6cZXHOyNdH1nlkjb09BA5CvykoxNJm+0Zq0dj4ajXLQyHI7bMLAy8alOZYp1salDq51Wqt
qnYVM3nWznWEfMw6sKMbqlYqODLRxxtTqx0zzDUskhD7C6wkultUrOEAubPQaGxcJuAI8vkqdWsH
y5/QSPeByepcn7KP/mRkSHBDNnr12r5YKsbF4A7tGOAfSF1A+HSogoNu6swfvKKMIUmC0dhIPdH3
dTdO5lFL8y6Hhkrn7h03V/VgDZrKtaCoeXUxxF1uBAuyrwAmEo0RzqheK1Kxo9DTIzDc+JLxPwxW
P+80Nu7aQymcJd/WScZUVK3CZMYc34/XDZOln/BdqHDVmzj1kL25U/6Rwo+b7TJ36GdURnAQfIu9
Wrahtc/91JppA9Usjet0V6l09vqJkicnJuPL+iPuhv4Ux3itgtws5usZdIiCdknhXRZKX5x1U97L
YBx15mSNUiacDGVO2WBX7V1j696ZqCb9KdYNhmejYZBqYJhcQ3uNZriHuKiIdw3ZaE80uyj6tiSh
dc7CxaYN0L42bjwR5S9cf/kcCp6qn1LFmD+2OsfboDYo75XKAj1uKQyIK50zTzvY4IsMinIp7isd
8cOmGrz8ZFTCtjZMJyvnLX5FuYmNoX8YCqWUfoZSctnEemWRWdbsap+6o50dOmof6jV+qYVWlcVC
I6u0CZXcrFmRZqbLtwHdTEaP8RSb5gbPH0xyNi0MjZH9ar4yBtUa3OUWw35obPK1JJv16VZTtIU1
DrPz4zi5jQcB3GWaguvUOB+rluG5RRup0lHxsYiUV7lCaCq6ckm5prIDlHDGnVvaYIlJXI6HWeT4
o021Np4RHyFgsYpqYO9h0TUcZIWpPsg0RciOM1BVw2LsifCKGoLN2GpmtY/KOLteOxeHgLutxRcu
xxEXZOaGcWQRcxuxFqQwyTNfgfkvYfeWY8jwlcaVRN8CybdWYVDfyOsVltkudg61ddTZzwp9zPZK
0rGrN8xuGvcKOdZLszfZBk7cCNciblJw/6YuLwviyuekyqaJh0IVy2AZXOV2cqp1+ho99ZFm7fPU
QAl+Qhw87eekSzFJMbRRBe089bcRQWp/DizH+1qC1l75BKQB01lmZagkSirRm8q8PMZcVvEWfJWd
b8AhCrbyhed4O54HqGKWfARA7jmiv8kSwv0tk1nscktCe/wViyMgxRTSkUEy52ZEyr7DdcUjerUt
9jK/yVBEaAET1iQNUUrHL0uZqCCQ+lXYuWTqvGF/Y+mHmcn7l7pT5iIcdZXt79L3MOVcE3uF39cF
OhCX3NSIPGAhOfktpPl3rPdDrPdtrP1fx3n//dJSq/ytirCWCr79+vcIz7Y/2MRoxHCaZuqUz+gv
/WfWn7EL0hUE4wwrfwv+/hHhOR80zVinbxkvgZ9GpfCfIZ6mfQBmQQs1w1Uwy1Y2+l/I+/82sflD
iEdYpFMwoqOFN0hJ+C0wJZ6YDffGWIX+tnpo1ZlEydg2pRXW+j89tFmPTb6uTRL/qRAnsifZkcWw
u8q8rPkYNYVzWS/u5NdAUW9JNdFMW+Vj7k8w9kW4TD1r9QK5fosidrV+kRorDaW7trzJ3tSml5k7
zRlCHCQHmXSw7ypFaR6p59YfvcqJ6RI3GtUOtLxAVpeb+ZdvBtspMbuLblRiskn4NI4OM1S7BVT7
Ve7MSxqMNQoME6E2qOR1jqSyCBcpV2dbktpuwJMsJUzjOVh3C2w/YGPHyiTkPVezQT8f074lfTkn
ZP3T7Ihm1/5qfTPgNmbkXaaZle1krqGM0Bs9P09nxTzkSsMcmzbe84xS6VE1iuhRr93ovO3t+Oik
joehub0TXSpIejbklqvM1/DS7pVlEVcL6KxjjcjqpsnyK7JBGVmDNr6oB8JWE2PrI8mUcj+5wkFv
sdp0SQXGD9IqaaqnemOEjt0puw5jx13doYbzM899IAavw2Wc641JuLNHTNRspkqhbi177HG0cMQu
jf/MqrA0xXTwTp0eiD6ZTzX2WZL0VRo087Ac+jL2NgXOhkOTaDfDnB/h6z12Ho5MIyXaQfAZY2YI
9IwoXMN1Bih/1VXNlhuw3Ul3K0QJZ0kONodoadryVer+ohr5Me7K5AxUyiqqY/H3dNFs9WZRQ5Ps
O94dW267buXtunQIgYWlfcGp9EOCOe4zmsd+g+vQIh5ICHDteU2wk7nPA7sxokuMkDdaKQzfNSt/
KqygjVEww+NobuZWjbcsptONskTOfiQVESBkSoPMzlOEIO6wYY7EvuYI1Y3S8yjKpBZvDS8ZNkVX
F/sUTjyZrKEKBy6u7rqYrNHdgoBF0ydkRtnISfLB2iKOA64Yfdt1F79twYdx9IR1EUudBn4/brGu
78mpJnLGX+ZlhrnNGhhGDGvqKLuV0FyapNJOtYb9AT/gmieyO59m22zsbmYkXYs4s7ERZtpVaovy
MNpNHBoyq8K6bSB/MvL36oJ5CM04M7dtIcVZzDbui50szX1U2Gx1snk+tChrPxZpnPJYt1TvarCi
IpAtJyuBilf4TZLITe+61U0u03oLW9rAizZHBgm60T4nYZGlvkE4/oTpuT8j3CN3NRk0/0x6fsFU
TfaURzwlYfvXn0u99naYXZwTm8pFDSw9ynYJftMbEioNW0e8UbAUGhnfDaNZnNlL6+nbgfRoOI7r
7Lbb9bYecPRqgyLYvkAundzS1d/spd16fPwa7GSMHMnJvVIJczJVmyU1rWM6zPZeV6LuaowcWHWx
d2e4bXOuJzS/Mh/LkDQhSI9rRc2zG0DQXcDcBSJJt9O/oEGeH+aM9DORjGzOaTO4Xkoj2RQ9N4zt
pPotRIHixpGLc+70arURkIWvVKM3Hp1qAfKXq4WxhxdpjUcNzSe+BqPmPBL0ml8TpgLvoGTFlyOb
SIO6TSkeISHLq2T0+sk3O825VU2RhGiuWxauuLYeyoRdS9tgtXX0pNiRSEVhpBigJolYvB0GrQU0
XmFUPngVZI6xntpkjjB8XVAhSlgx8+x66ujyUxdkSH4Vz+xFgcuztS/NBGIX7qhL9pl6FZoN2jCh
MyjoJw57X9zxDdShEkZbXAkcqfG0gODLbf5NufFOj6T3XNDLFG1JiHQnNZqtWzDT5HQXVb2iMpHf
LolnHMUgzOex9bTrghzIaZK5jvB6xvoLAssIJ6d0vqJ2pOqqIDC6Ql2jb2xSyqdMk8pHQd9tsxOT
4lxA5Z63pjENB9Yi2vtkP/dbB+ro9aQ1zMK6k3UmuFZeqsZud9PsqU3IW0U7n/SiSKkA1sZBHeo+
NHO2eaTQBl/qzmfV7twd5Y6JaFokHb8yiD6kxGyEGOLB1dtVEkKurfepYo0hQ//diz328bnG09Kf
GsO9KFGpYCGEnHSBJWw5ojEfrx3yGx0oMfKZSZR2QRUZms8MZnGjeJrcTEKNe78Voj90eqZcdZpL
m0yrG/Ur8MxqT051forUtjg1lGbNoCYBcMpKqzx1czlu16pUGniFS9Y9j7rufiCVTzUOmuhhTGT+
GAG5RSqmZTU6HMfazW4pbijVqVekQ+od1Ids4yp2e8HSU5+pdT6FCiGwryLgkkoIFmdxXry50+xD
m9juc+L0POCTSL0YbYezWmSrwZCZ2jLsKBo+U9Dsd0xK14iDnfgC07dyIt3fBmpNRSJsaMv8UvT5
9GByU++ShIcanXJO9DRSCgdmtJz62sbCV5SBMWpBQS7Ur/RCFmSVzGOj6pdeRuK6HinxJJE8Zppp
PDjeAL6vl672iBQgCZBrpx/VqVY/l5Opb5Cb9veses1FJiL3UGNzvtIbdpoJCrFAc4p7zU4vGq2O
Q4kp96y21OxUtHW3lcLYM5ZyK1ww292aJNjmSXlc52ojYWunfta7cNL7bmvGJlr0laIRpnYkz9TE
Lnax0zQ7xypzymeTepIjiTXZFBUJMdc+cA+r8GT1ZJ+qrX0UJmqvjLTIIw0dWtAipMBWrM3ngH2q
46DSAWSgw9lNUiHlrirRNoJUe4v7ydvwmPKC2TaWK/JC82WdeskjTBKS5FjfbxkrLHcWPLGdRvvG
tii1ORztKNv2aWQf57QaLkk8igvLpfal2f2W+6ztEXbj4dOMO2Fom4bwYHap87dlcqq68ugWyUZk
y9aKmnAY3X1JripRB39oP9XGq0Zq5ZLqGPrTXse6inm8Gimq2vhKRWFE15qaxY+A4HezM8tw1PTX
njLZE6X78SKyJ8IdbRkSOtKcSlFH5dxkLlM7FVx4U9jCeFuCIn/1nMZ7NWj3JaXUNUtYqh0viFv1
osPJTJVNtyjuOt25Xkvuy75p73LaaKlVxglisCWxUehFUfI8DPVyKKyKRomGOzHsZ2ozmIkeseBG
oVmJxW/0ftzGagqlMp0SknY5JIB60bQNPQHKZ3VNNsHEaDaoqkckgULdsgRg8pOTfhU7YlvpWNai
iWcv7dfZR+qc3UahPOnjhhZHAtTx09irw7alGhow1WltYkGbVafi0qVMvFyU8WDTVoCeSKOmv1FG
aYQJmIFQoVhGGCekd2qzJd52lFCvXdUleh3SjDKyJ46mEks6AHTvxhvmeddyuR6AoxEWAlEUsICO
aELJwMWZHU5Gb+/s2VCOKtRvfgWd2ZCaY9hPmh6KgoYKNt+4GAZPO2sq7SOctTtMsY/K2tSNeZw4
s850TJHKmdGPtq/Z83VkjKvpEtb71FKRipJ2CSkSzjeyAZaP5SQJUa0om3Go6EBU6ocFfXSYA2H1
y5Kk3JiSJsnF8GrQj7ORTcPAhTmeFHoa6kGmG5Lx0DuEG7MYyks6S2y6k6PUtxb7gnvlQnXkwRBU
zt1ExkFnLUhCSE7T1Cw+p5RMfHOUOg3B/HadN77m1upTBxysFsW9XXuXs9ZUezKWdNVQHvdT0ORh
reYM0JRr8rMgo5KLYKFsc4zimb1KWvVPqoyq1x7vYup76Dv3UqGMSHGZXlYQ4xt4r3JbtOanrvaq
M5nHxdYAukzdq3F3aZfmN2UcT8EsVSpSaXfXm7G4MFDwbpvK3DmKW/nFXPT8DKe6NJ1zsUSWP3Ta
R92ALwDYP2VRLu+Xdji0GGT81NYBUszSz3PYiM2KO5WRwHfdZ0FEdwr5SM6bpkdnXW65NznU9S2e
wXKjKGl7mHCTHucu8Q7CY7dFB4u26wx99js6/I9LkqvbtCuHzQidPhg6LIcRjSC+7mTdrY0q5aCQ
PYbfOu7q1iUOT/ort3AeaAZlvKJfEH3a0aoBJ3/6lTQuLFGem04+3PXLzlVLLazjfDirnbTbUBvD
6WtfpbIeNubSTvuYZEjXi4Ntno/QSPlb7rhV6VFzYxqzLjIwvkeeusO+RGt2C4UoOZimraKKXuIB
26UmecwT2OHodfXfeur/nUr5ITeiwy+jkvWvkyk3ovpl1z6XX15/+VL9ctvnP2ZWvr/6e27F9D4w
Bg20AkqGAz57LZF9z61Yzgd6zr21PZphbApi9FD/I7eiOx8AcfE6phZobICx/8/cikEnJk9Npp9p
xFwrcs5fya1wKMpjP+RWGKfnj8AIoWOc4RYc0j+Xz/hh1jMK0qAGt6/YjdWXrHRE13DFDUb6rgjD
EMoHdmFKyMWojpfcIxPaypTQyi1UBvA7Tcztre6V9JDZg8FatFRW3FIZapX2aomkmkm6lplNTzZE
9/SYiMxAXHygCFMrD65URykCa7BGcVIdYVo5MTcmY5P+lXZIkWlSPFO+lEWqRC7bL0QePJ6JRqJP
Y1kudPj0U9eeqWNEMpPKOCXtplTXO6CNM/5fsu6eLNr4LkwgJW3olLFCoY7n3nZKG3rpZOvxF4XX
tedu2osuoHdpvsoLY/y6FOxGA6NzxSMOSMf1KUQV7KiiynMDWvzVY6saXcSWm60QITp9C1nq2S8q
uIJmW6RJBiw9F96tKCv7Iara9kFEXXU7F3E18yFy9UAgyatizNS3qa01lw57uBNnndGKVB20Q6+1
WYTFsS0/pVlb3UeztJWgsET72ViYn/Crsk2+dl3XZgFFkoENwiCJ1KGmty577wiZM4nm6WwBivZM
V4qJVtVRoy90F7TXZDZqe5O7s9JvOkyyID8nUV+5catnQTON+kA4bkbnmTt6Os+tan5Irel/2Duz
5MiRLMtupTeAEMzDL2ADSeM8OvkDoZN0jIpBoYAC2E2tpTfWxzwyKtyZKdUd1RHZWS3163TSzGCA
6tP37j2X+qmOWFQTA5lFAPzUrvKDUQAW5uPbziXNp+lRTgHtNvJkbXuT8tHuStWqcOfNpv3UWVX0
0M6IZWdZMwJb2HrPkVB4S5zP83hY/EWRZZwRDJoEUsk7n8FkgyLSKK8K5Wbn5sBIr3HTcTuavXxa
orE4Tyu6TVnu12TOu+qiKKGIxM4yIeXNa89VsaHIKY87tgSRMKCqzyFNUpoJu+JMqXzBCKHIHeMt
kyJEfJZSR8kxN6+bYllvmogR07bXM2uvEWTmO3xj60GYY4seiA1LM7Xk3kuw5skUlJHwLghN9c88
u7XSBPmjfqzrfHg2+sojZH32rC9Ah8QxCqqdNU3zmSYg+JLudERmiZqyXdw7XwfLVcAk6nyAiCbR
A1firlCRTVtNiSKI3TYoGRcKi26OwGfYxwXz0Q/iWiCDZpVpvIyBmp7INSUUIRjG6r4hJueuZXzQ
QpXz0wu3q1o/pja1GVHmjSBhm73LokAWjBpl0EsyRakNYkuK+tanu/jV5qS7bMrBCq7AZa8c67Ia
lfE4N/e16Ts3Gmq2tal0bV96ZcAMd02bmRH2YiPHKWw7+xqu5fAGHcWlD2TOy7GXSpK26s2Wg3Cv
yam0Oz+l+WEvD4JD8D3iOUGRAwj8S18SjQoARFZPZcoINmnSeXkdRMq8VmMsekO8Cxy6qfjnOEx7
7wzHiOZMg4yYYoIXfBYAxL9EYarXrQpW65KBF7FqPfAxJlUh+GAHFaAXp2FPlcqYyT4z3Flyj8DM
wHg12IQF5GOYMxj3ETvmZKVrisJCf/V1zkEvHfo5iFuShZuNQIiMECrQ3TnXMXwxsiL6Iiymz3Fm
VGreqqybH/1M2/c0nlK2b8Sdl6JuGkHge1Nw245lP28lMJc6qRX6WXwSZXeLFkJQu0HDvhalrMdN
VEufk66QR1agu5QV78MIvs21bJGLIeIoGAl3ekroSRd1fEzG/e/ccpru/2K55U4DYa3sFA3qX8PL
HQ7YJ4053H8PMAdBh8S3MSZWxn+cYt6XtMOSZqKm/fNTzNdq8bqExrpPXf4pyrxreqQGbOfEuob/
OMqczT4jEXhmO/spyrwrxmOEaReWL+tAjvLVPy/V3B0XN0c4NLj6/l8p2lx6bHadFyIoGv7rRZsb
ljk89HZFaNP3fHPCT2aYMs6iL63R4Tj+f5hyvvSAujaVb+RPv0ad98MYZDd6Uv07BbW+s5th6pJ/
6dDz2dcrZhDCWgiwb62fU8+z2ZHjxuY0++0PpZ53zdBcF0sTXqfmUKaYdDLrGl31/y7/PKh7c92u
XSOMnQFwNdo0axsehCBsp9ihXJufIkSgYjfbDofrHA7S37LQ0Ya4SEkGM60ZamTqH4ShV2vQVgmG
RePi1zB0afsDDVxLExPWaufLWlWMrn4KRw9Kd7+sXm4nQoTZsPPauZSJ21f6ellcV+/KaV3HhF34
T4hM94sq0yHfgmrKO/1jcDotj+xhDHjFn4LTC3ulRVRH3q+xJv99lv7xLI0u4D86SseveQFA6ndh
AoFW/MLv2lO0JEAQcfvBKPietfub9tT/xYMjAGP/iIbkoPy7H9EIfyEuDqArVENEjq5p/2BItMJf
4EWA0sK/i9KYWKA/dHr++ewMyzD4ib2LcuJHq/Vfyd6lkfDjS/1F7F3Evj++yl/F3v103f5fs3e5
l3781MVfyN79DFX469m7f8cL4Cb+Cb7L0/Ljp//H8N0y78dhG5b5wEzjM4JXZqPRbpuJzJztD0//
3yy/P1p8PzWjjg/UT3TcT9/Ef5KOe3xWfmh5/d2rfPrEfz7ulzbQ30C8n8Tp8q8B8X7q4f1FIN5P
7ut/Joj30wdEfvzPAvF+Wqr+IhDvp0v7p4B4j2v5z0/BzyDeT9f0dxBvlM7gcENrVMPF3+N4rbCg
wTdhuXTiPwPK++lt/OVQ3k8b6T8HyvvpRf9voLyf0StHvjJW99+gvJ/tMM6/Q3lx31XjJszd5vbP
JvN+fkj+c2Te40Pw4w1LJfgT8PXTsv1nAF/JyPsHLwqsCuIXxaIDkpuf/0BisaZFLK7DyMPWNIzP
ENvhp+EoArn7Q6Az0pcKAMiMsiPsZoRnCrPcKXnCdXRfposQF0M5lNYtAVeVuckQN3yX2+fqrs4V
0+N5EajmFnx5zXPoVSYtuwipuHEyo7jQh9aeU6K3cdzpl0a5+LpjNbrVeo3YwD9KcGSx9h/GEC2D
w2B/6KILeLQ0vSXRRdZZlSkHF7M/wWK5cjNzaHaDbGwP1RiDD/swuVHTX9gBo+2LvG1Ftx2FWzLD
XEl/TwpnrbqTdjxKSuswb5jzKC/a4tg0bObrPRelKSdNUxR/grrOSqNfnrs8WnnhqHBxeHp1upy7
DdKxOweqd4F3cGFubo9QIrCu5wR+e5mRd8nAmezVi1JDJ6brMNEBNrU+i4JJQNzo3F22YTD2zbav
19ncMncI/A1HxbShIb526+No01WKEfQwGo6KwJDx0hW9c7Ki8H/0ZL3qva2H1Y1HNyq+RobfIRtT
S3/Vjj4XSOo+OFdrMZM9RchUlqyGMYaHaF3zl7XwAnMbonF0ExE1XnVr66xSXymC8JVvynHO9a3V
VlXUb/ulHj2sJb27LM+NK/w8x2JfpR2CsDE/BR48j5daY2uJl2bpnyfZmVbctqF40eh136scNxnz
DyGsDaYMVIXIFcc3vUKDoBW8NnT0rTVzDyv6ORootetdzl5Iz99z8vDGII0TZ3mGBPoiT1PB9Y4W
Y9eUThZi4MDFg8DSQsqBPzbI8IwY/rduQOwf56MV9InC4PJqzjK6Aw5n1Qh3EHRscg+0UjLQkges
wZGH2Cpdr6hNTVHugyYnmihKy/QN9znSVVLigpGWt0xfyl4561k9pOqBC+mgupBFZW3SiZmfBrh2
Vyu34PsSrvPUcRNidFsK5HoFqsLHPmVKlszmWD1mCFny3bo2jZeQVFPocySg+tIUcNQRQUzB3luU
NmMQB/UDoO6pTlRg5JepJyM3hrRnNwylAr7FofEZGlWVkbdbNRhrvXd0ttx5fm1lid1l6j4MDAxP
RdjOKfIeuT71RdB+gKSfxIaV12+3M25rxuwwch51VykTE5ApTlF2e1OMe4PLWEZrdNH10hGJ33FT
x7U1N2CqzSI4W6duqXCvTAxfgO2xQEOEi4rY8MxM7iNr5m48KtHlSWuFrCdd13r0SbFnLbFbV9F7
aDhoKsfcsWBW4oIBVHFMCcf3tOAXxjUXbY3CqYoEl0+7xq7wxmkDBK9/dow++hIaspZbQ8hCA5Ny
LLlN3S5okrExkSyUuL8fhmJFvgUYzQQHyvrAvNT3lnwT+Rl6mJF5cUsqSsF0tmxCrXeFr8nDMnMN
z6bAGVnT/XFEe2EZ4/yYG3lzJVC3LwgHFfiMDh4ASUOrUE4852mOIyxsENUt46rfs94aE+TeDtwE
3lZ+1pXd8Ci4eay9MSzH2ZY1rXo72qU4WVo9NrDMKu8b0j2GWyoMcZaELlAGnlQyrOD8Ow2ayaLj
FvebJbUSC19mk7BG5eJmaQtPxRaDpXKjU7ub9wibfeSijT8pwO8jud55oBiw+o7U1hY1kffaemgq
T00mtnNSATJ87KfW5Mu1J/RzOey+izrSKNqysgWA3uFZf0R8YzzZCv5QnOKLyjbzOhYAxEwYJMlS
Is9LhilfkfmEXXdtp5ObbbzRrN4b0CEvhhLN+ZKiukx6YwJiwaLShtgE2vleD4v+0NMQXuhB4NhZ
uCYbAUjLZT/KHFQ7hQnWBT3PvG1Eg/J4pCufmKXDvB2LJWaeAfPsF64GPfmg8LkTam2G3aZl/FAh
Q3PSHvVZBnhHRKkZJY17lEHlTMXrbbgsE9APG9h1vCxlbcaGkXrZSZSGiHh4Aod9gysru4xKJS4x
UJYjxsgITkxnSO8WwaTVIPRtQAilY9bJfb8aS35ipqbqznsbyJDv9U69G0WxAOWrBVnWw9xn72M0
29BNs8aGRTKU4EkGdcxftwJpWXGDbraMsZEy2MerqO9RsBZ65xEVl8PRmLDaOx5w3XYGN1EZFiPr
lkWi3oxmbRQbuEhcokFP/NnWVPmTttoxSuxsDAQWAo+hjI/Kz08q5ZR3ll1WH9ZchnbSjnzZ8ajw
mW0INl1u3aITYMYdOoobUABjfSL9lY4tEXIP3PKtm7gw3SpmHkKlWx47+cQcukCGCWegShaUW5jq
/ZAfZqbOX/Jy8T7mwDK6zaQUHoLRlbm1EWvlLYepHSpvqzrJYFiltlufQZLCe8su2XwBb4J2o6wz
OzxZI19aSdsMar1fBiO6Zy0STsIYsxtBBq7Re6ZM542WgQGKmJCMKib31DzmSkbOJbVDESDqHcyv
sx1WN9z2gbfFxjr0J4RQsQobjVraE4lmG1TAVHJv2GLMb5HKLSIevB4voU2cz72MzOCDCKb1W+Ee
n6AVTIu1l/ZCHGiOFDTb8IaGG5etz0h8L7AXaCm+b5+o2rc/UA9G7s722SmTdM0ECgc3z95DMh39
JKvH9MoeRVrvJqcJymSgzWvFgTX7D0p0BC+OR4EjmfazxsJoDu5DJgmvSFpYBCfT3GXthq0vvMRY
k1mnGd9JifnXNvd+OjZ7N0cStrNtb35zip5pdwXBkme9DV1jAy46QHjmuSznrpGjfJ+gIbW8vWBm
P4AawmZUI0VB5QYwq/UWeMcNtE92Tq2xxCGN61HQCmdmx6BYi5dAB27c4VfFFm1q+8GXjtMhWrPE
V2w7JdbgPuNyMcYXjyvUeTKYp6ZAqWAiF2Q56Jtsm1ep6K7EjFAD7afK9MYxh6p/5W+JeRtJ1y82
njlPGD3NzBI7Ka2IPwlL5uts2ChCg8HxkFG2o7Z4UEhuD2MxDZZ6WuXCJUqbZthrPx9fewQL90RA
YBSQGtVlQvkXZRfwVRq9R9cQZIfem1MXdkST+WcmmU7vqoOYk0h3NZ8jxPrx6iCOSSYjdc2k9NCP
xCtftYfeCIfsMIsMX1QVdIexbfxvUYui9sTCpHykGpXIrYdqIGUFD9D6pYWTcT77XnfddgT0sp/O
eKzN0qu9DX6VqMWiUXVbUyD33zTwvbotuhL3BeNrZB9UropDZVbyUMyC5TuoQ5Tm7MkWNSPQjyvf
7HRiR4N9gpsyqhCcNvZDgeqI+a0Mii8lILib1mcBI7JoMt/WYcDgmRlT+LpaS05NMVTOY7gwx9oM
ap70Bsxxx6aEwPXGGdPmqCnRwcGfsvx+aKiY46Vf5YEMRSTNRrcOWzAyVRgXhScwXTSGtJOUXewU
vWx2V6CM/0iVoW5zqDk365pad5Jkv0SBgUHTVcwT3w/c2S8phNCzZrLUB6x/Yceg0FwKF+znlwbZ
q25sSy/H8eY2+X2fo+3BAdC8MBqx1C71c4VqJ5tSn2Uk8y/4DMXLuMzuUzAbuIZ7U6/23rcxSu+X
KET81Osi3JRd11+nbcsz6HNHcu9XUbMZ1i40UAxjy8Hg4L3oqog+kKm3r7bfh96VxftntUyNtt6g
4x9OC0zo+mwWs7qZWOiaJM27/MVDsdnFlbCL25UCA+mkKNjyPWO5d0Mz40clindqzVZoPq3CQFFQ
cmSX+FMhNcDOWZB19KaHGHNiFB+T8lOheNMcSjaGMPR95MoZmhGimFi4NkcZt4k4j1CNBTdDgeaL
wOvU7JKsGsF5YZF1QmSrmLe2TpX6QZymU8nWU0nBghf1KQyz1ui/FrUeoO3wP1/LZXUOQySLD9CC
S4QuJEfqM+g1Mjdek4dB0usWI5Mf2fIOZRXBcbQGhnfRLvXTaAycLXzS2vkTqnf3HH8MSE00u2+V
F6KOEyMUuKSpwHYl2G8iNi8s07dFMUG5doKyu8qGyXQ3IZSqmsDfqWy3GbTkDuBNS+VUDIOLFBvN
6l1QWNWt6+TzRz/Y4YUjRBlsA9VPj4K5fvpdVnQ7VpJrNdZRxsG1soP8KLUJMRxG3FmmQRITluHu
mHrasMoao7sIoBQFxY5FpflmGHben5NhWz+pXgQ2O+sgvlo1ppxYSBm8Iiw0873rZHyjrWyd59W0
hnKfU+YEG13VFsXh6Ilga5gexDhsSN6wUV3vkK/llY9D5rAIFunSBbi4C6123N3NJarEsT/Ftoh0
Gx7Dsp/DlPFnVxryruZpPqNSi5ytYfu8XUkNkG20t9R3C1BCwPLDON1mYaiK3VyRhpN0ReFfcG7N
36Qvh6dpOMbYV1Pa4FV3+65HWWhPbLNGzU1uFZPcRJlRvyxRtVK9FAHwhRXzzzukPR8emBfUJbW6
xPmayzoqtsKts/lMlk5ZbYusbd8QZLiovMmuyU6E7/Dxj/jAm6pfmnJbWcdK1JTl9FLxOBbbovGX
r/zl9dUpaxnFAZySItYmGMuk7Iyh3gdtWR1pV0aYXRWGxZGUXbNX8SRGCdZE+MV9F3IG3aDfkFiX
3IIzulqo3UqPAzC1giicnQeWGDR8lU1BspoqOCOGSE/n/tynnEYF0jNWcXDZWJQCFHuZG5WvhpqD
d1BABBpPtVnd+L3pc+qbG+c5HGwjPOndHn7esOZTRfy7n56RvOlHsVMJUGvNd+CaUWtRnWW54QVY
hcfQ32LTzB6yoZsP4MWgz4U5eli5U/1YIgBr1+UoVZiLhcdelcM003AoAT3OQxk+o8sPn3Cvyi+O
bOtbfBlrlZBQxzmpQkZaJLUQuU5ysKXv2tZUg4WEipHka+OHSbNQ+seOmSLUW8rGOZNTONN8gS6K
Hi4yfcrwWS4HOhd62FZrNN0upW3cglB2sfEPA8eufIi6L/4CqhqtSMgSYmj7ycHeRHiqG9TX41h4
cps1C1YBuI2TtwX50H40a+F+wxBHp0hNa4SY01+mq8qyNOwHTmXrxltX41J1mOrIs8ffZHPGmmEj
9itSVVo6zY7Hp2TX6gejgX3gijJpZ5ijez9aTfx4yPHtONU2DDI8b9kTTHgM3Cvxl/DH6F0tuDvN
iMYCe7aVcJA8VpBuanhJZsx1t2Ofwwk2aWmLveUP0fviASyJtQrs50UOdrntiqn86nUewLWGtafd
4Lkrhjj301fDqaoHnfKdyJmjUbxYLViHadIJHNIdpk1db9JUa1o2ZhbJUz+T0H4gQuYjDa98OlhN
C7aUg5R8w7eTvjoegQI80HZ9PAz6LysiQcLkJxk9w/eRC70ne0C+ZCzpN5PkzCcnO1a6qnBS/GgA
b+Na5OibyBSzNhFtLYp/pdndUqLoNtDtIO5JHrNjf4djf+iZzaOIav08YyKUkFEVRsdUNxC08kat
p13eitea+uS6cme6HDmhmug2U6S3CBcr9GHW7KS7qWtUt1OcvCAAVWVWbxb24nNXTWPWJHZOsGO5
08L3Pr7P8f6QtuGq+2julPz4UJCUP+OTfwIw/9dFLh+B2T9MOI9M57+JGX5FLv+KaVbt/9h9vH/I
15+cAr/+7m9GgeAXEMlkpxNFS5cZZsK/GwXc8Bes2HSfj/p8NBBH0MJvRgHL+8WjK25FDu3pyCZ2
7XejgAXNmVHn74QG949IHdyjouLH9rtLpDsABvDOLj9De/FpUOMucg0HQVOD9QkKcGX52n6bJ7vM
DxDfdP+OoCgK8IsG+77sz9PQ26+tvbOc4SAy9LKYHcs4WLpNXT/LAEuLa56aGbqjft41bXu7lupc
NsUWy+PTWvVvcm4JHAhh4VbdxxCWZyLFTGyIG91FPf3nJvEsSTSOv1OOlJt00LvOgS0V6WfMFvsl
zR9pju/1FF5X9XqusqlKRmfdcJq/HjvvhjbrVubRbtICnzcGxkgabEByn9nFThBZj9nB/PCq9C47
qi/DxcZAZu6VHT3r3tovpXVmA+x2RvcOVt6l8kqi7iizguLErZYTO60vcIeeWvawK5sU7gP98sEP
9o3TPTOUEXHhpWdcmTNaObvlQ3cXyr+3q2BrGdQN42OtAtDV9PCcVe4blj6lepKHgySM8OCX/Fvk
XsrsiD92qp23jA+NmR9SqdvNiKbdpZQ28OUTBODmLw4HeN89Y+/euCFFhjGQqWtue6NKTKygjaHi
TH9bloe1REaMk9UYvNOsRwnF4auNlrPAxZuosBqFdKDYPNv1FeNkTFUbj1N76vbeTVZ+GZpl4+BA
5HAD/xRMj3XW1CNJoredqROpn7Ji3hVeu5d8ncEl+1I8ZAG8TBq5S5rM00WAd8t3tpWkHuKzovTb
ohOEQ+HsO1ueOJPBcfdZ6jMW9i3+uBE+m2cjOb0d80fGKkv1zRjUrg3kLnBe8mGm0D8z6ls7T3oV
nazGsEfzfubjQyA9ZovFBpn2EiWQVu/sQGzpdDynVrZPq5pyKTifIQZPGQ2cMp2TwMt3QxpeUeSc
gMc+DQL/qcq762z1gBvok4LcbWBlmyLiG1TpY5p5m1o1l0OaX6SZ2luOt5/xZW+mzttZQ3jKE3WK
FXBXcGILa7kfFnnpu9N+jGBdVem+sBfojDgtB6H44ky6GvlFMed8qoqb1AwPOoLb6tkPna3gdOA/
W/2jmcTBbIdNsbHr7bI470VY7nIvs+MJcaAVzefCXU/6yNyDnuzjPu0BhUbOvp7Tq9pxzvDC710/
TcSUQfbS+ZcetAc12ElqoW2v2+4kZzvbk5yLYaHON2bmAOgav2R6fMIqY29UTfeVFeBW5sBQMprS
WdgfgLntvTLl6Suelt4OTudoPLVG763PB27vwd9iHgUwp8stXpY2KQcTp2RIGjPH9btQLW+tZxAp
Udyx6ASJaejHlZBMaJVBCaKE3uToJX3mpsFTRC23brVXhRYlXW+rF6Nww2kvVn0Sgn7eA4R9iyY1
bI1Kd7tQRvVp0wG6E4X/1qVA4jkGlpeiD9+btbrHBlMnoj9azwcT8/xYnnJWK3bkCTLOMko6MXIq
dqlW023ZrffkTMEvrfrDTKnC2RnXrc4fWXl2MrOxFTonmV9tvOiL4920j5WsNzXeDxVSSfkk3tkF
9uWFR98DPNyqdodNgEV02MJCoU1SX9t62g3CnzZNZH2rJlWe1pUDQG/ddgEGArDl5L+nJxlsgVSj
xLRhgX2nVimT1p+B0TC6k4Z1MBZNS790D552EvBjNWbw2d4QZ/kc2O1F5euLQnkn+Of3C8jmtlm/
RZj3OS5Odix7f+N4wU4163szAO/wotMo8nCvNNc+Tlyarc2dNosTXzunoZD3RpjugRg+YWHYkQM2
U+xwejBPLM4wyq8uhwD02iQloLUZaSltxHx09xM5ueuyhnFkhW/los6tTBxoPn6tC+smg6uAl/Jm
LqNTl3ivuFmfPUvV26h2/K2f5VcQaJg3dA5QGLwWsTfRM91GlRldNNJbnY2sjbsgEBfeip/6j1dB
/9+HTtgUJ/9RCbRvi//5b8OPGk/r11/5rfLxfmGNteBOgR07Oh5/B4x6zi82tRBVERrO6Iim+qHy
sX9xIvJlTNPzLc+mKPmh8ol+IbPIQS8A8gRKlf2HRJ4gkj5JZVwCq82ABItjQBPU0vCTLNJy8xBk
QAaMLmihu1UzI91TrWbgAaAb08u5GecILsFxr/OPo+BtyrT5W+FPUDSGwMrfzbSSLH5eOWaHOeKx
A9lZwvWtMKsrFijrSHg0/BVIXF0o5yabw2k9YaA7RWcpXnxa1z1ZCGa6H7uyB75vQEqyR0aMZp2z
RuN8ZMLRDUyV5vdy7BTm7LF7WIZwOXOxWn2syjXfSsMuEub8zTacHRbx3qTlYnlsJ/bsqz3cIgUP
3GzvItedNrOH7rkFzrHEEf1X40w5hv6qAjf3Yh2yQ28nOj4sTnMHDJ3RITDIyueqJHVhG1vfJ+2F
vnUUfPFHFUZvqZ9ypnJ1p+XWl0Yx7LDdc/Y0aFMMtwa4eHlRCk1nSfuALpKAhlp+lFQM8n1FaNAk
WeosT8L0ijrBKViuMB9L/9CPXZZMToTBvLL6/MZdLE7aQY0H+qkx2pDR13E4ZhYeI53VBgK6q4aj
9x+H6yK2sAb5KfxkoHbfp2qlr8vXanEB0gMStKEerhMfkGGbcciY4AEScMfjLEr0nn9dVT3/xaCh
1dxNnqP3cMCNI0CivaFzu7Nq79TvCv8JezuZmHA66WtX5kXuMQjoCV0bXvtSPcghhMC6mJIwAKfH
tZnmRtKSkrBp6tlKAuKUaP/RYFFG9wamnZvQXobzoi6/5Wt+inT/BklIWDH+NGJw4LEy1WXX867e
USEA1NFz9xCV8j0QpaoOOp2h3ziCTmTCkDTaR6AWoUukdU8BV7Zps+1ECpiV/mJ9m7eMirlOlb6f
zJxP2w3ZcNZX0ZvBlc12RJbYKWVFE93Vo8q+zkzVi0Q5fZmeatjabeUk7dLs5OSdNKv/njcLgo6m
ZNNEjJD5K91jUFqjlx+kCs5rOCVJyMz2FLzK/VBjH1RFDjDG/4br+LYmTeKgrfAb4hdgbB5oK7ve
9z2ME8x6SUoYkx7N+7W1DhgVXucw3NaGt4dRTdnbtxvSI+qtibMvHovoKCDouXuG/DwEvm64VbUr
rCZr9qvDhGfXBHN06JVtXoQYOMUmsMJLgMMHx3ceEeJc1Ya+4I4PyrizdTjtIJ8UZ7TDQppeTVRe
+/X6JSqdVzF0FVw6UZW3RuY/zf7cVHs3c/r7oAmdbzVbVnOoyf/mpnH8nb04zyKnaUE7sJvOOM+0
72Bfpup0Vn2R74SNlieO4FpdWrNNJAa7mJbnzlqM10soYFeI3jgFueBzCtDMLE9nYRXAGIcpolJW
IL4Po7XmX9vA8cwdU3HXg+xCIHNW7Z0+kutp1gYLbdkSkGwiQjqfRz+lmZ9pTgarOsetSTVEx2op
LxdXw8aj0eRGh7SXFV8cRzPaPB3FG1IjYfeMjDUUGhzadpd0a545SSRFxZwwIxUTdEF0pgLpXzr9
EJLYQ2usqQiv18cRWdPM95kJH/JVzylkFUGuzdKHhM6NRNZUfHE9WSO6g3k+1Dz8cdbQnh+Cjn91
K692OBMurCqZZheKMzWwtrRFytg58/SxwApD4hfabLay0yBSLt7TEoxduc2XqOj3XkprdOO6nXnC
iAPQZQg9bDxty5K1r4Jr3+OYXwZ4T46e0iv5PQjHBJ0jkrJlCvmkMwrL2Bmdzt478EHVHr85OQBR
EnSh2JkG2BAaNRd1t5gJlAt/T3xRtvX7cXye8vrKMsUT0ZPXnW7P60xiSa70VW4rIO4rGB4qLCJw
/fnNT1f/ph9XA8K72wM86hkUm9YHlM1pvwKOxViTrrvZr8oXs3f8eCnaDIZOCnBJ2tddqu/nnJZ4
UUdY+5C1nVaqXa9bwIx7o7CRRJh+SOzHfFnkctwTcgPAujUoHN2g27AHeFckAblJLpW8ilJ4el1K
Q8CrRJhMYw3nqS/SfV3k5BFULvQexFznVuGBGU6jGytnOjFDNtwUvInTIRVfmq50toPvFGeFCPXW
7rtxT7NSn8MJnPehI+z96C2vpe4f+wYFD820SyzJftwvZn+mM23eVWa3Yf6ab2q7e2ja2jyL8nY9
wXDiHICNsOamWbHzPZgFvqnY7gJ2kZxb/Hg8+2YhAjOdcol73gpTCMd5WTOijVjk4NyvhrXxu1w8
RAin4jnlo6e+pOy1ZbOvybe56ToDZPO6LtuVU+GaYyxnT6DI9mH/oQe5zF37ZQDHFnscKw/SpxKK
c8e7pM+sDwXW8rjuUiPWhV8CiUb0QhpqSehUUQx30NnK63Fy7bexaMrHLJhaIkkGcsO2JEy4t2yf
3kku7JljNs8DTChfbwESl89uZeDfDyxT7iwxcuBYw8k5kZwzvwBt9IfYnNEj8iivajd+H42lvm0/
4wlQB9IxGZvprMm7OOzr5c6iE/PozJX4IidpJmknxbPpTZiiw3kOISUZzg07B0AzcLr9B/dQrc+I
hVKnY2uOj3hd9TtWviXgAHec8jEnj7hlrewmt1br2l69ZmSu26YU7YwHj8CvIVnW9YPhrXkdwt/F
YN8bezkvxoVPxRUip+y6u2OkQLV1c/Ilz5rMgpdjVmgSadk7XjywWAnyje0UTE4FTuHRIY3Rh0Z7
nftzOj4YvWz/F3vnkZy5lW3rubw+FPCm8Tpwv6O3SXYQJDMT3hx4YE53FG9i7wNVFcWkVMlb3RtX
akiREgl/zN5rfUvVQOwVsRSMSWr6yDMmK1h64H+uSl6O+kYUyNYdy5L0NmLgJS9ngBzBvH4ggFF0
HkxC+QYFm/IKZ68ImexUf6CE1Hq0lEi0rHBk+5229Ldl4pQv/Wg2GqFibSz2YmBXm7b5MgD0s5Wn
Lkcj4oKlBqkJhSCworK96GtZJexobmDiaa14lRnrWsacpc84z3Hpw1HP5OsxzesTqyG59BdrNogZ
SifVn/QVmoBF6MNrbo1pcXCMJYoG1ApJy8pDchAN1CNrcljfVLa9vIzj75Mts2BC6NXTNy9wt4cF
rJJjKyGc8eKRYRmZJOB4YHjeQnUZ4VmhbSI0q0yvC3V9M7rk22rAcRv14ViMxZ5WA/dsBVZ30PJe
QBhmytarpvElwzmZ8nqlJSynZBu+pjW9dnIFTlKwEOa7WjIchXnABHYxGBTkXUimDO1xwaJtx65+
CqUxY3zX2XrwzSD7y8Na1jaNmNRPoV13LGUAULOgIwC1nQIdGERxZBdpU39ir6gzy5M4VAEGGGb2
o5Tapm7W/JoOOPU1KNB0sTS3Z1lvB4owBJ82bDjJrNwJIca4H8CKrJ5DkNLsSapebwz6EtFVDobv
LKFKmj20OULf62qlRXub2Vm6hGbttAgJKHeAhp74mYXWUZG5AFQiq9pFVU2STa8v97nRkLOstWX9
HZ9O4wk7CyqByLVEivQ40KqtXWGJvr+SbG3bJCAbyfeOWsMvYachHqnaDk0oStgqoBK4GUtVrtQX
o0SuQ5EQMwVHxZm+L8P4YNCQPjD26pfCWc2rguKv/aYDiUpOhJEMjzpqp1031v0LWFFThDlHixCT
WNFlwlzzpHaRcUHWS2t5Wh1dDBEOUz7mppaOjT7kSaDbeYTwlip5tKmT7eE8VVCZ0RpfMIPHTRo7
ft2WEpCPWPkO3xwQdir9mDLbcIcGQgSSL2ozrgZy4RVUSf0dpqL+nDtldOMIB7z3MpvnzTK3p6qK
BphdzrjdQvGWSs504czy6I9dWR+IG4BlZcxWiLgGlULpvA7AMnYkHEDk7GS+TtKofW1GB8LZERDm
Nv2CNoYAk0unLfQ9k/l0RAYNYzVXzgQKapov3B7CdWBjK6keSDMg7gHAmOXSUBvvKt2w38qp7G/Y
6hr+0kDXglVRu0xd5olQBXU/S4JAtdJhCqIlfsqysjzTjDhGlaLr/a2tE9AkiaZSPF3ja+wYuO+o
UTekUEw2sFD4EEGB2NFA89DRUWKvQqFXi85Xh+IvYVkoKvNaPpH4xKJ0sbo9BImNEWERWNuO0soV
oz5gUigv8xl+isPIjwSyRy/OZz4ddUSFweKADYwUXYO6U5Df1ZTzrcbl3JHhjTJtKGkMjxKAryUv
Ox/K5Exknijv1kwmWDmharfnWcp7o7MfaG6Q1TjD8uwSyjyqvfUOIsThatE5YaesBxIwiovKkawd
s47WebGp5NdSWjYHEY+KX7H8QMdJkxHSlnRmVbW1h81D2pXYBJGVIe9EXWwd7JLXslTU8o6cpvrB
ifXiII+ONbhG09avQ5avN5qR5rsUNnsos+jwO3nQLqUhHsgdNKQLe5R6SrxVEbRRw9tvdBXqicZ5
Sy3V9q1s1Q65MYqnoVtYnsQVMqatYzlMFmJiPckYmfqS3qWl1DursbYQNOZ9eC6V7hqkrhVo6fIf
bKZtkGf90O2g2TAKTKa2q7lhMHnTdTemzrRjj51Rbe1Js06KY+Z0zqkYSDFLQZIcW+T2h1yJxYk4
yjR0rIgIr6kAi1aK5ZCpkFjNRG6JyXb6QK6L59bKo4B8B0A/tZztYhYsQQ8rOZjhWWr+Sozinubl
8ErRYwFsGWkQULN5RkWlb2mykelXRsOmp0+AjtpKUu6VZLhJdNQlSxHNYSRvwFq5dOpXeJ5yoHfr
vCNQIUErs7Z7BbTyvneq8hYNhfag2KZ9ADs3vinQGHedcOIgdWSVi0CSh15SvsuMGJGfnp5N1F3O
ZcXI9ioJh5muJPddb3Z7tgISzz27w5nuS1Oy8ig6KxhUuycKnXHUqhh2mGVvG1I+ElfoZgVVSO7i
q2mKjH2nydOBbyr26POnrNwncytHPiJbpePlkKCYgJGjfl5FByXNmSmUZghjtQhhEmn7fkiKxzof
+M3QAJydLNiTGpPT0PoQ4jDVm/KxHC74cURWII+gOUJKUtJd2UraTpmNbzOE3I3YVN3oJDzedPL6
IDlUZTmxaG/mxHhtwG8ooyaz1/wCIe5RkiXrsAWPwbgem0Mhkm+GMlbHzpn7A8Fhb1M7nIqYbk5n
NGpgDDNEvil/B/VnftxZryyUfxgtGlHw39eq3iTIdfVdlcniWpSoZ4mTXvw2btCZJrZ0yeZDu+oW
Y7pq1Ko4n2U6be2o24FsUeqSi/Ge/fQNXxr9ZzOikLC85nLf7kwrif1iYjZGkA65c8zObEQo/jrR
YJKnH+rcmGeLPWl7IRdP3eKEa9KhqCBwele03byvdQMwpYgTP9fbK1PNQBQqUWiQ+cHOwhaXJpUr
0IoUc1A6n9XNPPm9Br+2swnLQEGGKmYDP8owli/7htFBqYZrSFXLZaeRZd1YHR11p9pjllgh7c1P
tqie84m2gGop2SNdBC1gQrPuSUMsACUu35KGUXpezASwaTycysE+H+UyNO1R5SOb+N+lRNr47gmF
tuq2VlstBE3ETmyyzKsOsE+yiWfBdV6tjRJuAWTI0UiVjfX8BEqtd/u4fG5IgHwg5Psy1ayYlMeG
UBt1eVO6GTZojnpSikc6QkvZHdTa/pYZhDFY6Uja6poTvSZZ5zIitQAYHPREyqEXCmYXpCrxCRwL
epOaTgpgmatV1E+pIe4KIoZ2VWMdbZlUSivL6AVZgqJW5VzkDhIFQzvUcJ39TOV+I+NB1ThPYTFX
ITxEsqwVwsJkOX00dRq9atrdVGNqepG8KZoYYrxBdCYJ2wQzTmV8nZMDxl43xvBgq9Txh2HXLNvs
lzYPZTXHQV9FZyNEZcS4LWYOIMvSegk9lX7K3D3RvcL9sohvaeKgF0u7a3PWFa9RovlhdqioxluW
DcpGPYyWKX+CT/c9VpuLXDj63sBO4JuZdWzL9Aa01Eu68sgX+aS34OTzgS5qXGV0xswsQwM2F09o
aJGIivoKpWZoWo3w7QpVT5f2IXWh2iuyqd5pTn1HVfySJRwoODLWvHxKoJ7SR8GT8UOiO4uUtxnx
xeht2HZE0zWolTyNtBqh4LsZ0+RYtfZRLsH6tz04yYz2rzvRCAuIKTDCIc3EJd4SdnvoaJnM0Y55
aDZ7KHqRE5KFx/8Tt/dRrDOPOWdz3XbBkMyDD/rzBqwmCYhrdCfLFd13wOisGg6SJLVskdeVG6x+
Y5R+LqIYcOjS34mIcadm3HVHIhVcAugxFVVz6/Ub9FLE9UEQ30QezWNi1/dZN6MqT+s5gJl1T0CS
5qEQBHytLNfkj2qkhtRHc6jVHavd7LLPRgi164GC3WkhyyCe61so7GGcaKeRArNX20zvZIQWxRpo
5XDI7PrgiDwk2e+ssFjOEX9HNxgLBQ4XInMoNRRQx40tGIhURPi1heUmzfqmiAiYfH/QF8RLPR15
nSJuVRtXiITtHe4vygmGfTnpCNMj1EkV+zZ10xWNdutFbfQzYrjzosI+RKmQWCMhUhfsUBAU0Wnl
BVpoScfpaa2tnxMbfG9NspIo9N4TFXhsUj/3DVJytccuQ4SgKsdHg1pO0mR+lbeHZjROaEiQmqrl
z7Vuj/0sX+lOcYEU9TlHp30eO1ESUnFlmOioZimsqrC1UbmKLdpp2gW1qy5QqvK5r5b9UP5Yism3
y3kvxvWJIOnnsjfYewAMnLWQn7MPbTPeapnNCrwr7isCIuRh8JxlPZ+i4SmpgKSSQNtCFEecS5IR
jGkClwbI6nZ60djmOZ7B5AJEHJ22cXTjKDsbsv5W0Wpqu0msVHex1ar7CoQbQsrlAYLaqykc00/U
xAw29eHtMGkOhV7R1QeofuzkFmPMVF8H622HbGsre59ra/x9sYwu91Ia39cZihYzlCAqJygwLAR8
5BxS9ZtkU32ynWRrNAC7eZ34Y7xCKPDim7arE83vosreWXPEjwtzC0gYbQX3hjNS9bLtUkEvTmzU
FV5PlOgVs3Vy0hmqk8e03/xrUrp3sMu4pEnnDwyZtno3WlZa+jAMSVVMkzK5VdCp5H7XlcqjSNhI
2KAG03Iqdmmmr36f6AjxUoIYi0jJ7su+WB2fKFM2dIzFfPidDUI8Q+uPfhv/BrQtYOP6C8bEGJHh
apMvACGbkKcFJUBTjn3Bo6v0N32MJXwZJl/lLeq7fj6X6CEcpslsDzmpKTtp7W3rUGalpR3+txva
pm/9L61NGXHU77qhQdf8v/9qUxRhty9VX//Nz/6jLaraf9j0PnWbFideGxSA/xKEKX/QVjQRTG7t
0l9iFxXrD1qeDj9FLo+hKBYn09VDn/zf/yOpyh8arVfFMRUie2TAOf+JHkz9rAczZNtmuW3aOoow
/NHyZkT/4IwucI6MkTNtVW5GXuTsi/mSSkPf7WRCCdswdQAfuiLVAWivmFfOckUTTOGsNhovyeqK
XiDLIQJXekeLPY7Fq6sT7HHnqHJyWdNoZC5YRv2SIl5BgpuMwCBoBJWog5ElZBWuzhy7nMHSk+xc
qDXi57padnohtVQys6p56RMyLVzV0bQpSMHaM6VQLQ8WS9KvO4WPwRviLn7F+EHcRdV0BM5r7HWr
QJXX7rHH7zGfrFVM9x27+5i6ESHKVCcsbQkHNP4vkpWgISUfCYBmWTgQpHUY6gXtQFKz96hWxuyS
o6BjXgaprNx1ajOcM3OJrvZ8gAQe70Suyuqtuq4knrhYDJTsDrspSdlJ31psbtfc2VlG5PTP86bT
pDqVlSwBa2kd/Ao7iVJ6KruA1p+kGXV6JstL69tTnjyBZNVvGVKUjIqcpBE1hJa5DHqyPEixyY3b
le0kZW2lliNEICA2MOYZpKfQgMYRUkhZ70bUI3a5LupbGQb8N5La5ZXfUzhPppoWr+tiVQuLTTkp
A2NpF5YqBPV4ur2JKbYnmLoGUnocEhnrG1yug36ld1100/fR+mMZcwK4zVx9aZOoWF1aWQlr67pb
qILPIxW9ntUXi3vTGp9lxY4130z1LmF52tn9XdoY8QEpXp1dxkDsvxeqFCH017G8B2lPaIsvenMy
PAfOeuETQGL3F8VoMM0qYtLRfyXd+JSoDfJrkPg5Qme1Sq9T2mKVS69XkJst9dJDvy4pZVVyE7HM
kllxYbVEiLoCuQyp5JVVndRitPB2iYgdfCX66SZDKZztSU9RnomiImhXJ9sM3w/eW1w7NS8HtP6m
Xr2mV2lVJ1HKqq2hknStkV3HY7BrG7GgnJFLZVPQb10HrjrFRSN3srBjnyyT3tAXmKfznj/RsHjt
IprSuE0o9kd+zE5EeIuFdQAL+eYVFCZWd3cWg+y4xYrJEeE89XB/UFqb1rKdGk+mXrHFpwiAfBgl
Iwt1rx7ZuxxILF+R0Yt+WL15nSbKPPU0/pwGuj9uubbKI5BXfgsCV+Nn05GuF2RERaBOH8bipTFo
uW8NLt4vhebBFT1HMAfNkKikkNpgUln0rtiei5GcQAt3i+lyJ+2LyIHiHMQFqQVsv239e7wM9WZT
q5RbS2j5rd3R3enbJXntO8ptZ3rtWA9CJKpJ0dqYFm51370OomlfiIcQLDxG23ykItIMQYvlgndt
yQ2V+jQmX98wq/RVdGw/XIF/odvaYxazLp8BVrY1yu4V0fTH1a4ZxT7MAVd/Miw+Yo8+QyZk0Neq
biA8gZjJuP5pKCVLMAcsoRP0kFAfo+bxI7OU3kfbNnq/P5LyScXLuP/roT6RZmjLkYFpkMSVIkXv
AsciwDwptDIQkYQTpcA//33LSg97iz5uOySpN8UW1dWks+yHzFbM4Pdn9Bfk03ZCJj1E0OSwzs3t
hD9MI8mKa6ccoTzHixgOllwA7GYb+acUCxl5/KP+mzv8F3YIOHWmMN2kJaNp+iYy+ngUll14Tzqg
2GmHPXdeEsG4UPfSFVI3/dKxe3Eou6X/4tr+5qjM3jq4OZpN+jva7uNRbSvr7KogQ9M2SIzdp7iO
G4SERpX7kmp/9Wi3a/iFj/K+VvjX0T7dyd7WGod5tXNHX/dqFzd+8Li6b/cXiXvV+S+TS2XKzb44
6udXl2n5l0vcHu+Hx0eue9wjAuqokiDiHSNyqep2OI45xdPfvyjKV3dzO5UPhyq7Csv6dn3IoVwy
Y93Ic9zas33Tf9k9df795MZfvDZ/gaN9vrxPXyYWJNJ+UXNyT2my8zcxGS6YbLf56kjaF0/v04dp
K1qxkAm7XZ3hy9507NwH/CKXlC/uW9f4czH+b78H5avDfVLza1oF3H873OK9rqG8Q5sUkOt0kR6w
fe6+fHafh53P9/HT9+fMRMAp232cvFdupvtWucef3u3D71+Rv3tD6C3QI5JpwcjvS9YPb0imIule
WobudtzSZ3F4l1TXlx8DyyP8O78/2HaH/v3nZsqfyEC6kWWFtF3SGrK68Ag28Srvy9fi9zfOlD+h
lbSU1FosuZ17LoLX3Lv7YexeHm61L76tr65lO4sPN464bClvsI67+nW0E8KtHjK3OkZfDIdffE2m
vL2UHw7jtOilaVdir90DRvBo2Lhv1rl17Pa/fzTqdu9/92w+jUqzSaKWvt01dUcDm6FQCpQLwUer
+LVnBJXbuqfWPQ5u5i6Pvz+28vsRkb3brxe5qFVedNuXBUQ+TPeKf0fJzf0RuXiI3TpU3eSr2/p3
r/2/phnz804s7ufUZF9AvjzDFHJFPuVxzwzvRS4+hKAKYt/2bO+rmVvZ3r3f3eVPQxZs1MEU211u
/OeHygfu7H4/Xr18cT+3IfZ3R/k0UiEUJ7lDbFd3qx67h/pCHLXX6GosXWx3zctyB0DhUrsy7r44
7u+nU1P+NGRltqQafcdxt6G/uKzPIx+tu2t497iE/Z/05XmLZPfnV2PlF8d9/4g+fCQFwZCjnHPc
PiSh1psCCsXnqv/lW/N3x1EQM+MrQ3Hxngj88WPscrus5G3mFsESKFwj/WCOqHvOCYWCZ1x3V5U3
7sBYnDmHL+7t341qH45tfBo7U5EtJApu1+hPgflQhHiBw8XPQ3oT++jPJcp/ZEb8ny7D32KHGOT+
u6FFF3Xb//hYfPrHz/+j+ETGEOsN07L5hPU/Kcn/jC3SoCuD9qK89I//wqDwTzciP2UYmo30frMj
aorFGf2z+mT+QcSQaSPZl9ngWChn/pPq06d3V7dJlraQ7VhUswig/jz3kr5Lfb4znwe84EhIrvFj
AQYIa0V1DYvklAaBtBizL2bJT+Psn0flPlM3JsqJ2KZfR3ZpMASaGPN5HlAR2mcl/Yg68mj6EJX+
7cPDufpzePu4I1TfOY0fhj1KezL7IYNtETlQwK8/Da7qKIMDhCtBWmm9SGSLbH49q1Iy9GgO8l0K
wcZORrMgAthyeAU7dLmph+MN1bDI48RBjIK0xjP7Lr3uc1W6nzIYB2QKQxt0ab5Ejw2ydeLbKyOB
kwabhSl57nMMeLDoM39uUQNi/B4QM1uUjvrAkBp1cAeyCKiNRRPyjzZ1DhmCBM1V4qlEm1uPw8EG
JvZNq1U8dxSmRLK3Y7X+WddxTPx72072A9lIEHPUxsJNqFtbM04jWxgDd4q9PNIr5Q4mkNLQDhWz
5BrKltWqy8DE/DF3CiITbWpXroBeQNxJYepP5M8h/EWDJZNDmpW+rRMk6ktoJC+ItaHGotoj1Skn
j8mtMTE5oaItlS1tWrItEuBiIeLTMo6W4iL41DOcl/piHKdcM05yNtO8tDv2V54zxupFaii8X3Wm
XchDg6VAKdcbvYm/dbAMhWt1aG3o2lcaRiwT8StVNckEAINs13a7to2wa0d9BSoJWT0+9HlFEyL1
ijEHihLFLWTDZVnCBhJft6MYkMqeMoya4dUKjFZwJqW0k0epliiMFtb3OQWjsKvkpR/CoXJkYpMz
u4hpEQ1TdNCEVaNko2rxrR7s7Ac91XmmrJcR+qQOmKF4/IgvqIdUVuJ2djmeO07X1n4xSM6hb0iZ
wq+eJlOoam2VX/b4YFYPrpcM4yuqSvaUCSIAbj05gbtSXWl1WsKoNtNlhnmTumZKLM88J2l1je8e
BpiijMnbVMG59LJebsjbJUQM8Q8gAG4hpIs9O0hBUA+v2JMYdX6jSqZRRcOpRyYZw20k+yizLoj/
ze6qopmcXapN6tFp7JV7PhL24yX4MH+WS0yDyVaXyjx2Q0wZzGrimcQoK9KwrNoZYYmkVCQ7atL9
XYKwzggtMQ4np9xSQLlrELTiRZXOehOXnz/qc1Ps+nhFXTM0SXcllKl5ydoSTIdamGvsroklvYxo
Om82iNdDTaXhzTHK4YzIKlIzJV40oub7rqm9OKlQVaC0AP2EhhaqWsUF+koxJT0vi2qA2I4IT/ZX
xyFgWVlW6o1ZUcKocPpexUnalXKN4redrtc+72+KOKX9SkYvwAB1pvM0Ggg/ULu8WTAMet8W0/w2
prP11jWleoXj0O7x5+gDtlA5W0iDEttzaItpOWbCSLZzGStS0HsKb26LGp4kTxq0rIESS9cOpVOO
UD0knW6h5Yzzt5rGwxViqawP0UarVwJ1ATLgdEBOHWlxWviqOfQ/hrYbr9ZJVdSwlwbnB0i4QaD3
1PNbnAU20AcsVPfo6FsadLUsPRE1mjehVoyDGVAI5fYkaAMLsh+T7j5Vqwn0hJLJ0IdwQRoeerPK
CpAeOIaHym35mRpp9G0F03pu9AibXWuFGIaG2dCuZNJcH1GhlY9rIdOgjfH7zp6wKL2hlFlszSdH
Tkl2fTNbrxRIE2SGiT6dRKSXpU+BsAHTomVpe0ChA+oIP2VM3VPChnOaQRGuXmpZ+c375PC/C5pf
giAQu3+YM/+CVrj60VYv5SvuoV/WMcb7j/2zieb8gTGQah9LDsTY9MM+NtE06q0KaxwWEb/EL8p/
4CTVmHRZAzHV86//WsbgLLRVk9BFmPkEU9CG+0+WMZ8XFI4my8z8IBrgHtrOX5bBuhLxcUM8is05
voixmXnDVI4nCZgo+idknAsD5xfbRc7+435Kfz+o8+6ZpB5KLOWvqxhUET1Lb9gxbaTm13mzFsGK
vdH/8DD+ZgGz7XJ/Wb5sl8a9g4PKitDQPx1Fcwggl4sN5mRPygQ9UkKvsiKERyFf1V8c7G8uibKP
gU2UmsLWl/z1kgwziujSoXJhXp48ZqVoV5tGGf7Hl/TLUT4VSdq6VhlSOMqYkPVHKLV9A2QUm9Dc
R8ffH+rvLogmrWLIumLwsn061ED4ttmS1uhaLEN3k63LLsYe66sL+vUhUemndovBS6cvLJsmzphf
79satwtrP+X6FD5fxoF72LmH8DI8uGF4Ht7w18Hd8W9uEASx6x33x597hKnuT3+/37P/vb49/f6q
lV+3+n89n09rXl0exyjjfPxv/l24cwMv2H/xphjbe/ev9/Kvh/hUTchradYUjOP++f7c/Rb64ei6
B/dpF7o3bui6HNPfe75/8vxTeO25wcn/4gy2bdlvz+DTLgJyR6djq7s+Dy+fD+FdyP31Xrz90bv9
4kjs2H5/KPvTNrtjgR2NXOw5T/jE1W3Pdfubf14+h+d7//LcPZw/n4fP55fC9cPz8+dnzsg92x3c
m8PN7rDb7YLd7sy9CPbe0TvteROezs68vee6Z653sees/T03bO971yfP9dx9cLz2Tiff43X5oqhn
yH8dLjWVDSkSCxNMFPvPT69r4cgKvZ0eVCZRnb6aWLRkG3WVHgsopw9SuiF3k1iPpZAYzfG8V0e1
94WIwFR0fbE82KqSz96UQ/c7LBvNl5bTrAQ9qCpoxO/AXxZiwH9hDwMCRsck5t28zhNID9bnPW4s
OSshx+hAhOl8AxRGigECwsapLfziHTosN/kwe907jHhQMABiGIRRvL7jigFjo7NXZnkKWnNTQQ6R
0JWdU6jdw8RuMDmqKq4dlJ2MlPMAE7l+xyNPGIIX4AYbNrmf8cW60ztOWWXjSGw1btBLeeMta+/o
ZdR5iDjXdyRzYm54Zs1Ilins7A3b3L8jnJFboGUwzQ3tvGHgQem0G/IZojwt93QjQaPNtiLgholN
J5g2F8Yytk5ILt8h0qoETxp/oniqWxJG/ewdOB29w6fTdxA1ml/9fM5BkrHQb4RCvLYGtjrP7STx
tY1mvcqDDOvsHXJdvQOvl3f4tSmXpYykBJnCOa1odvkgrNEzWqLNrouxViT0qLL50zQb5WfJYpVc
d4tW5rlCdQK06KCyMUQT7Vz0WMK1fVGnDvo+OrB1MGRNe1kgybURa5T6S6XGzW0H2evJEqJ4bSvD
XnwLTObgi1bPMnc05ex8UXTEv3qCQvx+LGtkmmalz7PHejUHjTcb4mfVj2PFlTo0/BVVB2XUNOt6
2+bjbOLr3M6gyuvkLJtmTNrJsGqj36oiec5tBx9vBYnSX+sccA8qV24LGoZRCrpl6ZVQc6biaRhG
KLgZnpNz9jgwfmIBlc3VGt3xIyLJfZNovHhDXzjAaxAsPAJKNlK/RHewem1tQ/+gmYXwJtVR8Lo8
Kue27ACMhYu9tlXQihQFzMQL/wPvk31eZrFKnROi8oJ/iuIHdOi+z/ddks9Poh8RKLL4Ks8WoOmS
b2CA+okrONbRGRCvdqEbsaMe8m4aCkLZoXQssuK8FcpEQ31YISyyN+jLGwmTRX43j7wjAesd6X4m
XpqE03rExLra0jVIlwqLAhvaI8HtZRVSEG7YHxo9pG/BV7S4poyXqk43n4/WLSrfoky8ryeN5Ntq
aokkvCjZLeJIVVFNLJJEHF+i6zi92tbmbimw/a4xhdqDC6O/upYpfYyuqVQj3urO6tqzQeuNMsjo
+Mhs2RUtCdueLENC6huHrXxtdbO3qk5zG9ml85jJqfqmRIq94hQxxC1CvaG6aDfYLLLgqcLmr86w
jKOoMgOc9AN6KV0qEFfnFAZkrcrFHqS1+izqyM59QIZzAmZirc5aqmuKq46DfFOtEgsDpxsyGjdm
adz3ZM86LLCKAcn3bFXIlhREMzl5BOme1NwFU6FdQZuph5SayMSYsrqw8gq8hHU7+Q38O+F3M1t2
D5+qWoK6EKnjFVUbP+HGxr8SUezwZfh/iAvjBVflVNXAqqXFTl4dkJqz2+gtVqQ6SaO7oYYc25Ul
T4KUBqsBF9Ws/IkNKdiPtbzNEbVbsKL4osj9M5sqPiY8+J9qE/WnSFpM6tHyOt81jWx+n7shejAU
pFAHwrIdC0VKGt85o5aC65XFQ2tNBo6peJG+CzMeX6RcLyAL0Cu81UXR0tVqnfQNz6rUuGg9pXuZ
T/IlyaskCYw2V8+LvFVGbGQRHBlSCuzGNcy0vrdmOzF8Yetd63VmjL8/zYanaOhaFWLqVD4krTbd
9eWAoH5e++YmsSrtGsueIA5dL3DMAEJILsZxkNBOMYMYCMBauw3NAqXvDBmZxmuEezbgBjhN2NBM
TbxRONE9MqSI4nyW2z/QIJe3gCQU9r146cB5yRFmfei3076VlnjY8/0waaWDHl2kTqP+IOGxG3D9
RZgi3uXvE/R3ZJ5xbtxLMoIMlOayGWYJqIUjXQIdVDzQuseKaA+EbLIYLqDYm+IQoXu+s0lR3+5m
rS8eyRbIu2OnyZDqYOqQA7WRdELLi+a05Jr41iUYKZgzZlStNbK62TOILtdcvehG1P22iE6Ujw1x
lKBlYl+AWkLYO6WEgwE4UfNhL6y2r5iGomOpGaFiEjSPgUiyjdgKzTkzHyxF3WxScwFhMR/K6tQw
ZiLtFkMb+eqQDhhqDf1bp0zZSJgurErolWb+MmH85S1JlOQR+RDO1lQGZbWONVb6cRXddyldC+Ga
7RxN/phVAwMNLrcJiXPZY+bUMQm7yJ+5Pvb6fD+il3jwAoPDGwOPoR7kXF6CcmhqUhGqRIZunznS
65/sAHkm8QOrbFfc6IYCcSQ3ed0Q4xQ6dsiSkQY37LtUWa+gkgDQxtGKzRdmSWSlw42UOMzRkyTB
XqvS1XR2CkguSEpmYxRBEudtHNZ5V1RH3IgMCxKG6MonSz65s9C3gAYHbP1TcjA0nvGrkrvMxvnp
Wb1UD+eZkyaXrQ7Ug/1aS5G4WtS639GAQz+3lkY7BziVkToyL8cSt2Vkh8JmWVZda2pXvMkjIQN8
8B2Y9s5Qu+4mxp5wqfQLpnLw88XZ7CiouVRJGW+XOeup/dWNch/xIinhNGVUUylLO3U2afAzwHG7
Le3UN6tBjuzP9ZrcL3Fa3tfjml8CaNGuyahpdryw485JFsn2izphfshX7UcDqr5lZSTUa5vaEiAx
RZNmL1aj9JbA2HzwRic1MawDLntpotSGjakkpJY03biG8Gmyo/UecNDXFTypkmoqGs8Gca1H/jIl
r/I9HIGoZoISsP8QmkBKPCslsN74DOzcar/hnmPOXN/jFqz36AX4IQZu5S2QYe1481xWH9oTzGFx
YRJ8cTlvCQ7YULdnL0NSHreEBxx+091iFxVEhfcIiCWn3u3FvPVnmd0Wz/qWFjHkshb7khnVV7LZ
UlJGkIggcHqPmZjeIyd+v137dSNDw5C75qjoqmS464gtPm2lSjEg2E+sbyTcLL7QWAyBlsj/bN79
W6HKr1vUfxwE2RYLfnarf+ltl1qqo/Bn9mEKdAJNaMZRg1yCxrRNmax/f0VfbUA/FxL6rsWFwQY0
9K+/vV7G7qUbPF2g9vlqZ+b82sD6yzbU/rTBz/8/e+e1HLeWpelX6Zh7VMCbiO6+AJCWJukkUrpB
UBIF7z1eZx5lXmw+8FR1KcGszGFdT1SdcyiRzA1sv9b6DbfVLicIvHJvXNe9ORB13xB4v8e89rq0
D4SFPwi8bWKym/k7/CAx+frB5q92fHMOVQlZidjtW5tv8dUcL+92m1v+u30kXHP3zv0NoRkh/c16
DjBd17l11uvdih/kz/u948xh7vqGMPSwnmO2wN4SFPI7hIRrl6Dvih8kwHu5Ocxx3sHld853+cUY
dZEowsQpFwx6giZ5R57O3ty4u/eusHkFnor/OxcGQHkH/J3JA5jz5P6jyj4ZYz/iSny/fqE7bx63
ztwJfOEeXOdqt7shrv1ObLzjH5cswW6zWpU2X663dOmNu11/t9fuy3qzXn93d4cDw0Ha5PDg2/Yz
SZQ1vcg4rfbE3C/2g7O332fTbrM77B7edr799jB/6I+nw/fQfprsH769Y7rtHh4OD/zx7Y1kzNom
zr59JC/Af++3j6vH7W8Gdrt9tJ8edrvBtn17Q2D+fH17+3y7366+7PbbX4/3zmrj3DvujbNaPbr2
6/U8gsyzRwJye7XfX5Nn2G/pbpfUxnuugzf/Tc7jxiWA324dXm/HjLlytqtbZsL7D3595K/nFMCj
e3X/8uK6j86vC/PgGLLzcUUsgnt0pIvAmAeELMULHcFEcK4dJqqzveJZHedSskk7Tid8bHGR/UoB
TEaILN2vDzumv/N7uwttBnSe6Ky4Ay/JuuKPLBf+Ze8Z+fmP7mH95D7tHm7cl5xB39gvVz/m9cMD
Hzb25umum5NILNMHJo3zuGKVrQp7dfsa2Xvm2d51Zdu9J9ny3bK/rG7nde3aW3dFtsnez7vBhRW2
gOl8fM9FVg1puDKaeM8b9/vTbl76j+eHThXnxXJuMS1OAlKLEj467GZMnAMbzpxqupr7jrecNyCm
FhOJ+cXKYaJd0VVMb7Yt/kh/8L0tc/LGXe35kp9e7+j+Ld8lRcXXrASHNeWSEuQj+fj5R9Y5v797
YvDYLFh77xvi3OJu7XznR3gE22EU5h/nDyt7Xk5b2uVn+cS7zYGPZwnwUSzl3W4177Y3Ny8uKbHd
k01H8Tvku+YZyM7Jw/H7fN78Yc41X7BF3PBELEUSp4zr19V+/tHVfsf4377vWrz1dpPz8gytvV5t
mc/zPj/v4Tzbht98cF75VBads7+dl/bcTXTU/NtMjJQdh+Fy+Ov3Ifv/FaQ/K0iifJ6LdfNavWbB
//nfxwWkv37rH+KU0t+oHJmiSJKcf6G5/88Ckvk3A2KPSsFB0mawDEf4P4AwEsrbaGRbELQk05TJ
Wv6zgiSJf8MvSVMBrtAU/hvyZypI88r658pDGpM0KBUd0nQ0w4VskUyWo4YnRyEW30KBHA8SCuFL
OY0pws2Fp96VcTdBUDYDbv5GkuA3dn7pL/aW9/a1GTtm6O+lkXfM9h/HqCITZPcNZWhu+HfkbuMn
4vOYQnmVIGtfB9pjzC0e9jt0dgw1PAo1tlDX5ZegQuXnwvXtRGeAZJNMAk6LBNvS+hRZkKaCrIXZ
UoncDeXi5kevk5gC5gbpZfTiG1RFJKQBPletmQcBbVJZ0oDnygYC7sd3CcQrEq0scPTTRkCniEgg
brOxOnRkLnT34jL83hAa7MwqRZGJfZcnVpZFXttmue2TCvnSjZGCvolkeVc4QrTG5vzYnmpsJhHO
+o/wF6zFpk6WWA6EBrO/iZ7eF7ig3faZIbidnvdP55s6rlO8zyJu9jSjIbSkMJ+OO1DyVA0iGe9l
RIb3K2qk8YvZGN0mRkNmG3F4PZ9v78Sr6ajCqgYLUZ5jl+P2EhWNmHaETavnhukKOEY4KO61OJmY
6ueHzFRB17FVwD2x5MXcCPXZDaSJoGPA4fdt4u7Ws7UpU3aSnNWfpLnMEwQ+Ji8mod4mIVt7/GLR
kOmJ31JplXDgcbx81tWmhtHHjodFyi9sWDo0b6CrXLhMHV+l3gcQSwqRJknb6LqyKDRheiclsmLQ
bk/OyR7aUL2VRxFDnCwMvvS5ml+bXSAcPj2MsF9hlRlA8vhisRw6o4O5hXos4CkiUC9jlRdxCYfM
QDjifFMnZiicW1SYgAQg/fAhXFD61sAogLxgPU1O0k7yZtQ7c0uyCfPIzBeuz7d3YoZycECHYi8D
HrBsr+wNvxxMvHLzWtV3soB0HFkFTBJMtG/PNzUvrsURYoLYpF5PMZm+XMwZVS9lAD7Y7kBxTW5x
eZ3cSEXo/t9oBeylJmPwAu5iMUNExIGhr7KblFGC64qHdD1wvv7mfCsnu00XDdMEDKB9wDbUMJEq
fYROXyYIeDlUvZNxq0aQOd0RE8PywhZ5alaANuBCrEqcs8soXhQnvUJ8cZ6AzWPXTPdpDm6NLG4K
lgoC5vmXO9WaBbrBksnFyursPPJnyEo2N9KVgsVdjaW/z0JUYvBNNnbiMBRXExmeC293YmKwI7Oa
0eemTW2BqogNuegHQUTMriuKFmibKOOomUveJzlk865FEwp0cpjrKgzF4xcbCrSZGsyq7AEAZuqi
Ndu6RpybKAmGXvX46V6kE1UcOmeSPM4px41RuhmyxjcRukIBInN5nPJnVqkaqnNQ6PHQ6dTg87sj
JzZzHo4nN8UllHfC3xnLBlyIoy70nFjAWJEspF23Gkr8HoonwyD17vnXPLESEGCDVznfZ7m6Lk7v
oImEAlUYrn11Qk3Zi1dJquDaogLgPd/SiVvXUUuLK6heiACEdTrUQlsYVVdUUr+yX5MzRRYZo8Sm
0dOHfhozaRVhfX1p8pw4eoCTk4Kc7yqcMfP3/7iB4gZmAgPESbah9rIBYSTcUaWG+63VJTp7s3UJ
srPP59/5ZKPg4815eSCAsGi0Sq1eCk0FnnhPp4ZWEn9JR/1LoGfVWtRLZd2DErzQ5nHK8P2MnQ8C
dtA54PjI1zAnTCXA4NppRikd9Ch41yF5xucm+pmnSvpdS8XK1QSx2sk9XqPn3/jjKDOLAI0Z3LAJ
XZabgajmxqAk+Fi1xiDdI7422klQ+a+CV7Y3FGmBQXplfSMU9YWT8OMuNE9fVo7GWQhYb3Fw4Hpv
hShsZ7YnZ8phFlhZYW4n359/vY97qwISEJkNWAUKX85P8ccs6oysDUM5AM7qtcF3Hwu5wEWIIM/W
qjfk35tW81/Pt/ixQ2mGnPZs9iSjp7fY9AI0g1Ha40aRNui+oJORaXdWO8WoKcRquNYUFCmMzBc7
2yu8qLywPZxq/f1WjxOtwS6/mMCgx8UQYmFui0VBcQfXc6u1KZ/iVgfSIJTsMPOmuSAMmmXbl4L0
dv7tP25PECiYyJyaHGQEj8f9rQM04NrMpgFQWdnxz2tcqP1GDkzzwsXjREuolMgK70iDBPLHLRFL
yNaUcGrOapBQDCYTYQArxvForSMXFlzo2I+rFGYKYQX3RAjtf1lJ/DGRagyPo6GpOV7kpPzFgUJt
CNMlKUZarWmynGoaXuxFj49sNCrq1/PdOnfb8V2O1nU4OFzGDQkU6+JlW12P25rWA5QmrqQCf0Qt
yuRPL8m5Fe6nXIRFC177cSusEBNdQ7QixV6w9tGo3nbmIOz+jVcx5XnVG9QQl+d0rao6agizIGU/
FXdim3kgYkSxCy5sbCdWvsnMgAYHcILL9uJWBblIS3sMR5GYQAPfwqV8Y0lIzFSWMewRnRQ+fUVV
zJmejIQel493jtSfO02NJFNezkMkCKibJ52Z3Gp+h5eVP6h357vw1Fw0dY06oaxysV9eT9MoxEA6
RMXfMPp6J0YlMn2Smrry2Ce7oq7EfQmo5V6rIhzJjOASd/nEHsO1ji5FIkAn57XYY7SE+nAlchn3
Bl/Ab1W1yjvVTAwTfXGjepJlQetsTQ3LJzX0x+rCy8+fvlgKmL/MmTYAyOTZFq2jj0MFmHSMLaEY
/o3BCHWKrSxGp8UAooaCE8cPWE1q/8aGQ8MWZW9gtSQHl2swDGvUZwkKRgkRcIEn3HXmFLxIRhs/
nh9g7PcWb0lyUpXIPRICk4NDom+xFKvAZ/211Jux90WUBpHxxg3x7m7R/JFLeRMYSoYZjIy30zo0
Ic+szRg0GLrjFiYx2hhL34zGzDMHSfp8Wodyab5lYzECZNP6AcQfPiC7xJ+jmS4Nqp3fiYXq6FLd
cDvXNKOyxzZMPMcQe3UTTkM3OrLXdmivVGhDrlKuNJFdd4H2u54i+DatRC0fC662vEFC2jBcqPoa
bsxYY/zC4AJRSxS0B3MVYQcrONh78LEIuQ2vpR4mPwFG4eoMAE4MUVcbcFtN6xoInNTKuCv7nSpA
IvXN/jpIh9C4kgzRL4EQqLE0O3NMm0rvEs1JBFA5GBiiSLyqmqp4kKIR9+NurPzHEV10THV4zR9N
Q/2b7SdJQ3tqDTlwR0sHsoI2ZYuzmkTd3Y8SC2NDwFe2FKLqB+IdJwHVarLrSc/0W4RuAE1EeoHc
iMARgBe2Psk3gRLjCJ5WKD2SLQTeF7RYR7hDKbRokft5mbi12jZ7sdGgCxmECBjyIXZ5j0So2GCT
h9GsPQAIkG0LAKthG3Kc/wCCMKW2KGFxv+aA9Rr0P4vGvELgCZiYjEjmfWJ0hrZSWitGsAMB/cLt
Q9CXDsxA8aEdLYMAz2qb+yDxBNGRUeu5CguCDO72CvtImUrtbZkocuHW6EcApdVwWgHz0eAGhn/w
Hca69UuVG82zigUKFjkIUA6u6c1uO0rgST+jDlCq23Vomq9MbUBpCAOApl+1Q1kN60jPMfzAcD2+
63QJZwkITWim4AOuQ2UfUP62QYTGtRsYYDvdQcqG0fWDEYfXSQMH6Gakn7CDK9E5diKAwd+CPIb2
hygStuvlBGAOYVRfV+wsxe/GKcNialfcWTFKzMMufDY9Jqnb+dAVXNNI2tYuhwL7JTUpzfu0VIPa
aVqh/O4VJN1RLqyn21iFnurIcCpbW+4NbbAjy7OeUqtGNUoBgoTFBqg+kD4oeCO7jOeQG0xWL2Jh
1JclNighXtx1NdZPtZV1CKnpQ/sTi5QSKGPG3XNKjeCJ2UA3IF6P4n4kDi+aFWFB4Zu1JTtWCR55
F6cAvXYKwCvJxfqiql97D0Hg3+jrwFvUdK0X7ATQbLryDKUvXA+eWLLpsloSX1LVG1/rokLnGOWj
oLjFHlaIHwoZcOsm06a6dHq1JtwJEjQNnUTy8mrTG71EOh0TJcHNE91L9oAUx2HbaUWIIqccQoQi
7KtUB+uXenxBvTe8g/NmQXdJDTyOOimNYZNWovkMSMWQVmqXQsGadDHB+opsG0DIqUIe1Rg1HflP
WKFlEWgG9DNgPltP6+XKrdpBrm5MTDaSFx+ltXglR3mQ38GvxCUdBmT5qxmaFB5XNCVEL4LZKm9o
mMcYVCaaN35vkJr3yFgGY4aDF95PdhQJsnUVqlL9Cho56A/Ac7L04BWJ1d5kSqY0GOBpHj71dqZB
WnxsdUiReFKA1tpF7ICGnbBPYYOaJeHN0EwDInIpN86bXtOTZhMOqgpkuC3FZ0DNnWdb5I0Te2SC
l3sfXfxmU/iT2ttJ1mA2IgC8PTRa01kr5K+60MFMHDBo2INTQ7ZNKBsctHVUk6tpxHMShTBA27We
S3dlUZT4WdRdv4mqENFXxRCCa7CWgFcVPHaEqyRAOPwb/o9RcGv1ujzxi5FZoB/dG8qWIxIVy76x
pP7QekNivZYtdB88MkMdWahURfgTDdcWemQ06vhJc/nEqqlG7lqMAQetqVgNxn0GiKe+0iEWY6Cm
M/br1pL73yoGU9U2Szvc2ePRa2oGxDOinS9K0U9x6ooQNysRixCJjc10EkTAMcIypF7ECkEoDJxZ
PK10mwLs8TZMB+tBVnyU7ORuUnKnrKjV2E0nDoGrFR2O1KrXlCJYfLlL4HdaqbGf9Q0t1K+T9JuB
ACB7Q1S23E6avEo2wyh3jdsgXPycCWT53NrklRyv1sQfRjOrbYTtWOwqb0o2veaBSI91K3oba2N8
1v3ev9ERDz9Y0AfXcmLFBykx43inpzBbnaxWGCMjGeVpXechinRpG3XNrZH2dbXLULuFx15ng0YC
YxzF9SD3RefobdpK9qhlqGMVso6WsiS2Eci8kd0Zif5IRV8XhdwRh16s4B1ZS7VxlShIBN6mYpci
vY4QPDmLIDSNla42074HCBdvjaHpBQxOEAWya0/wgf9PIc5NDfblHNBCrHirPBXQrquSIUyeEyNX
zE1r6kXC+Jtwg6VYkLjmlAkOkhlODj5ivMXUO6xXHNwQYC3KHakN9bEPwgY93VDvmY3qNCGSagHR
Q3WcxpzGAs2AMU2InIfINnBVj5mnufixzX7ZGqRPu6J6eIuLCveMQixxOol14NScvur05kWCdIPY
MjK+gDt0DPLwvLyTWBfVNVKnyaGufR/N2DwsYhcmLsdYN4hJseIchug7jhDiZp5V8ZxHonwPDZtr
Bq7d9UOvYG9hTyDOoVIoYUDOx/eV1mnVVvlN7cNAnQR7qdDleuNDrzaRaH5MqzrbRI0+iE6EjCFM
d6kc7lWwn/G6EwqAoV0ghwYgdcJ+Fns3XOM0J0KTGHr/d6AawWuEkHDNzNXx61HThLJG4psA9dm6
tGiNPrGCQQblzXbDGRzdT2IaYlDe6PrB0Ap0CYpu1uxLtcL6HrM8KZJgafXVDOoKwz5QqLmrNyUS
7RFJSbC9zXANE5ECalaE2I+kpqfd9fKkXYeFHL/0uBX8aGRMJ1wlbINvzF5Ml0LNzPYDriSclVpb
xoDFZfDe4QQq1jFxFlM2gl7mt71UWbfQHCFkE6bjLFCkPf3VVPXPOmYoV60pG6tJ7vTMGYyp5ZgR
eRh7iJPuNwYI1ZesaDOc0ip1D13Hq+1cTBoEBYShUx2/EPyfQT5im9OjkT2u5cqrJScqxQ5nT5R5
BQ0RTfS3PUjalY9xggt00RqvFUkJdy164J1bjEHf22hA4rdrdRlzq0j08qmGBd5tQRfD6rdq9nuo
3wTZt8NkBNy8kCOtnb4lR4lHTlx1Oy31s5JrWAD8W8wK5ASFKcIBVg5UeQDcD2o6Azwtdl6MZgOd
bofdwFxSui7dAIe1lJVXBC2XMkr4hUNll2hFQBQ6WuHxxtVzUqcAyUYMNh6masKnTBA7eUIVwmDP
plxUvdR4HFrYXyA67AqCjAOaiXnVhHRiJVpu0nFh4MzoolehCjpvo2Am3EACrTQ8hoKWj80t9JSN
PBIsxFOTEfEFaVJ/+z0ePqs+9XTpVlawTeQOHs5wZnSyESOVUG8A2hyAWBbGIRBdYcr49C5TEF1m
gxjCjcHR9wUDNmtawa3xRhwdkfDeSmMVqfjuNdxy8jLElEb3usFCQLWE+mPlFVYIKmQshysY6N+x
S7h6GsokXKVZoGsu9pzlg1fjE4A/ImJfmI9UxbyR9P60bmo5K9wBJdvrsczUAsffoOidQq8M0THV
IRHsUpqaWV3TLM29aYXmG/c7VlznydzHG9EqngSSOHCjMDy+6xWcAWxcs8NH/Pb0cjYPqn/HaWep
thAaA2n+pk58p6rhRNhiHEy/ozGy9hmkkXpl5oPyEAMxvpnapP86FloxsnsJ6dYEVI2ac4MXqKOn
VoQesyeba0R2dXnXSb51NeQBD6H7pvwbBdQicKYsDoDWl6WAt2AlUPLl1CRAQOPZR9gBWrTOvV9D
H9fnCvpLS+UOk5sBLxoo7t4YOI06RHCrmhTR68xIsCyCtw/DNTJr/iZHo+dJ9cLZdq2DFWTHWQlg
njQqU8zjyVd+PAY6Qq8D1nuFBskkn3SMKIBDj73T94LIVAD+/M2sihy5XzY9PlsIUtmWwfDO7kst
PlPV0FrXoL8B0xu+xoTucW2YuTazFnfWtsMPsUb93vEtlCpRt8Cwh/nEicNFUu2f+inN8zvF9LV0
m1uBqDAAI25KeoulEawF5qYxDMxtxQ90g+ig7t8qA6PQHkJh7JAJJFLpyLJi7Cm/G1yltXeIUJL8
Ig4ZkQv6KyD1ubkiXoFVIRwRIxl4H6gmzPgM1hiJhLJ/i2AS0GvaEDSr2hdRD+8DPVGdSK0IdLhX
BfdRqkwSt/2Cx8nCrn8TfZVPEsxEGncQwER/l0UWLShTAwac0866rjAGMq5xY+R1uOdaEMjmlVp7
PQ6lYaLpxoqr9bwOm17r1ko6mWuk84tg1RSS9Fuv0vrH+bzDIrGkgpogx0mWg2s55SVlkeLgWTWr
VASiLr77XWiJ2jG7bjfwMYc7QYBjhm8lw6s1LcbWrbQ53/wisfTePOp+pHZYWgY4quOkh+b1VVMo
Rspix+kAifQsarei7xWMvFccMOCwiAdV/6oaErQwzjf+npr+I7H0V+tzJllFxciCQH/cuq56Xlnh
4oUwDwYAkzr6LrGYzLXc/FoWSIyWLZr7VZP7q4QBcbPIHDcZUs0ruffRUR216llQmMIXnmtOVJ57
rrnX/sg8Z2KpayTzM3IpYxmsKgn6JjyObFihMP07xG0OkR9fCEW7MkjwSw0mr3HGjot8CeFgqTcv
559okXn/q6Pe1V0lfQbILR6oROyee1tE5j0lRsc/DcEg6HdzFbLO9UsaAItM2HtrZFSZEKRxkXqd
u+eP1y96NetjKc7sMdLMH2pocKPz+rRHb3/Qhh9enMsXMsenpqEB1IbcIsJWFFKOW8w8r4Zqg7eW
WmbyHbyLmc0rmSu/wc1u7ERrU2RB6+SKfgH38rFh8pkIXM4zkPaXoLtRF7TEKFDrbTOxn7O5480I
pOlqVlVaV0MJ59ksywdLS/z1+SH9uPCPW14MqZl3sTqT/+yqG6Fj5XLUWbfsQ8PBKtMQ0iF6Flyh
JS0svqRqJXe7LqhhOZ9/ikWVg6HmKQBYYgBmoI2wtOPGVQixFWhK5DMMkYg5kg+zk9zufCsfJxSt
WAqoDujmyH0shpemQ1QsWE9KLzV7DZcPPDKkPSo6/aOhyMaF2fRxtVB8ZFNBOw05ZHAQx7PJVMka
pQLzF1opGMIBgk+rsFMgFbD9/Itxl5YAs4EUA+Fx3FJhzS4rIaVcDz+NXRL5ElyiHsdm0xCIn6vY
MG7/jRZxCRARX5bnevlxixKGACURLuyzQOh/etBvkTCKDMTh8e+9q3BVuYC4ODVDQJJQ1JnBu/qy
eNQDkFFzxWcvrFqOdWsqahxqjbrLLiyIkw2BtrMoYaqM2qK6GLZ6X6YdfTmVBuZKDapR8jCUF1o5
NRWp1kqACAGFSUu5ux6hpilGQMvGPEybZfStaYu5erXCDTq/q3HOvVA8OTUZyTohsgDCgT1uUVbQ
cxKoozlPEamz7vtsKhVn8H1DWLVJisTz+emxKNW8r+dZn4deVDErXCrS5FabtACpmPqSn75i0MSW
jcdl2E3FtVln3I+4o3Vfzzd6YhPluJj1IthBFQrEx3Ny8sxJ0fIc7YYwCNYMsbeBau/ZShqty8Qz
bws2342qjPDFz7d8YjQNwMKKBZSDzUVdbKJkRnN8yFjptdea35CkQCSrbKVuW02zUZwSZKvzDZ6Y
pPM1DaQaZUeGdH6gP47GurcaDak4kCOKAEKkVzB9EhRxfb6VE6NoQNBjmoJ5B369uJVZo+fPFjoz
UCOWBq7LcR1tFBwq8BdHG5zxjMTxII1ozl3Y0E62zEGAVhv5ITAix+/nmdFIiheICKlcAoxBkT3X
Q8mwtEeQQT/Y2zHPxfy78y40fGKZ0J7InYNaH6+8GMmKEoXRtDSMPtmwrzOxW+mDINxb6C5e2NFO
vCMoK1iQ826GTv7ieCgTUZ56LQUQSo0MqQ6sAAetUhN6VZHvizysXmLJugS+OfGC76Vx4JQAwWVx
8YJakbWW1bFIQqlGlbzyfTsj7brxxWG6sCpOTFKUqcCiIHhEtXoJXYiqJq3aiRf0ElnFmVQY3L7U
LsGYPrYyA05EyqY4DoALWUwVsSMzF5bA4rD3aA9xH2crI4i6Cxe0E61wPZH4H7snCILF9tmaWUE+
2crQtqyQHcFID8sRnKzOL7gTrRB9UFrnCMcjRlsMDqnBbiDMwDlkpJRyqKJOzLHIxWrzwjQ/1RD3
TIr5AF2ZCYuVrXSq6pMen+1rRNyl0pnaHwzfz7/Nx11RAxZsaiYASS5dy7eBToOfCvUusoNavGfz
DMcVpQTebshaeRXjjDF+O9/kifcC6UVmDvzVLAM3z/4/9sUw0wEhJdxmFYVguQpMtBcQIHHPt3Li
xQyTfRGUMAq46Hkdt9IDyveJ/wGYoI/h5ElgXIOlq9emQY4TT7pL2MTT7REY6O9MgOXB1sliixQO
0YGWCBRDhaTyDcBPvkVRXYzy+3aolJ/nX/FkR86obk4ZIA8fAvIUJQ1lhiaOQRa6MHCw8Myb6fPz
3dRAeqIxPO+6y2s/uVfy1gMHTJuI3p05NNRkoni8QOaZV81xGA0iQ+MogUhkEQAsdghPR+IHmg3i
7SD910Ey1I4Sdf0jBCdrY/Wm4cSxPyBJWjfp5nw3nhg5rltgyXHuIqpb4qq6UAzLEryWjdiS/zLj
PV6m1lLrdZKTz7P1uJe19fkmPx4roHMYMOIBGCOQ3I4nZ9DLGHzrQ2rjNDtttFaWvidCO9bXgkzQ
fuflnSKRkg0osZxv+MSUgdyAWCNBCOtvyS6CBsQFFs9jaiCNcBtpiI/URdF/+h7L68HCg5wloQiz
ZIRh7mq0ltmSz0/MbEPBElAEWECDpZAkqXZhgp6aOvPRDLaLHgVhftyZLYdaZo5gQbANCzeRrs5l
nVBQHY265g0aOuONRqVsQwVlfPp8dxp0I2Ark+mjLTYZfFxLit8azreTRskrNaxVPkr6hRj11AQ1
cEvjDVmEnKPHL0g1roDxx1CleoykWiYI35UBnOoYqwjZCHr9+YPHnENpg4zOzGyaO/yPDXqa6jyv
W6A5npoXoduoTaHbYRCK9YXZuHSm4LzhBCDMn28f/HsJlQsxNUZ5UMG8ZvK63q4A7rR2nVtDskXs
GYPsNjYGW+yUyiTrkhc/qwGwro01fdxdeJYTnTxDxwiH6GNO9sVQTgiC6MUEQHAEx+5QQiy6cR3J
+eAaPpqz5+fNEkA2vziS0BrEhPfTYgkgw+O5IjNGAjxCejoYcEzxIqpInoZVdAA3CIuFAY0YlO+0
KrsSSSw9SyVxnB13KIPrZAu07CeqTtKwTQZBCwCKsFldGXIHwMUjtLqwxpaM0/cHVnHo5J4vArNb
EomG1Ap8Xawh1LGY01XYNeLNrAK0ASaebT0TZV8pLOtNgCkeRAuhnCXUR0N6Unjc9sKCOP00UNBw
jdc5MpbzJtKbpBMpfiKJM4H8Ao0SvjNlVM1JFas5aGkg7MS+o0qUlNRjkxTBrW40ASFG4udguX/1
zB/PsohocSIUIvC/+P8Olb+COplg3SVfCiZPTU/mCwRUMlXsNwtWUD6GomeotOI3ZYAKi1W/KVUZ
o1SDTW1XE/mdn6EnDgpuaDpLkvMYpPz8/T/2AFWfxByiDiBWTSlXlTABYh3T/kLfzYtqcerTysx2
JchiKBeLbgBfmQzo6VDTEctvXuQj+FXK/ivs5ksXjJMvRCQ3m72hmrM0wekiJCApnJPtKIzYxTG5
QXxd/iQn+X0yYFMAN3zOqHwE3/qGV6CClYFs8kNznQ2D2mLP7geXSNenes7kdGWM4DiR0jgen4qQ
AU0wQsRBaMQ1vILINfLOuC8CX3k8PxVON6VRdZqv6zBRjptK66EGj8MgFUNTHEyvAVsSmyjXU03v
oy//RmOQtkjscXGXlmePmsLg0WWu0ZDfgnXbImIvgH5xsdK9JCx8akZw8eNYhbHIvWEx+fokV/Ua
gBhxiJbex2Jo3uINf8kf7tTCRS3AmJNOHDDLi22WdDrlSuZdBnpWRICxj4ALhf3XgLzXumi92P18
D5JChH6mmtbM4TkeLqUJAj/VKdPhMgGceErFL1UEloFoIbgwWB/fjRwMRAFjph9brOPjpnpVspI6
BXCBn021CbzyPjerPdA7fStWYXfhxU60ZgLchyhkcTmB57ForVUEKN1VaoOp1PczWPQJFBNC0FI7
3Xll4F24xX6cHzq7H9LSXE4I8+VFeyGMMhWlaeAkRul/K6QJaI4i9w/nh+tkK1BHWMaEcAhpH7+V
gFbmMJW0gkdC/IprbXWLUfUlPa8TfTdfsCjfEHJwei9GiiLA5BcmQK4MP447/C5QhSyzqNyraa8/
y6WX/P70azEFoarAmJ3rRovXUvSkAolKoAEBnxAglX+FmfFJIjC7LVEGgmjzhq5TEFxcjGWh9Yps
6ggac0WBcumlAjlrNXMqeNyNLTJmzmdfi30dfL1FpMq9dXkslhiua2NHsW1MyvbamCLvRmx7pb9w
+s7DcXwuGlj5GNDDDXZ3ou7jSYHViNRhxhPbgdLgrxynb1PRgwPUo7+7NP1LobcP008HamWwnAi8
5TnwPm7JB+ortGJZ4CQyht/SXEAouAkuZf0/XvRphoiX+wS+QfB+Fs0YCFqUpoH0CG4sSgmixYyU
K6TAYuWma4ukW0W1JcQrsdSKYQMtyOruKWdyMc6k8mIl7tQ7z1sIMT+7CVW/43fGsFgN84SHGStE
jW0Y3cE1yrzphZTGiWa436PCxCZJds1chFHiCDZDnROFudGbrqX0b5ki+n/Fap+SFDoUb9ljU729
NTevxX/Ov/ozL8b39fXf/3n0p0P3VjVt9fYf/GD9H/jS/Hptwjxb/s7RR9T//f5tDF9nM4ijP6wy
3DvG+/atGh/e6jZp3pv7+0/+v37z79pBT2Px9l//6/VXGmJZh2LMwuKdUrDFSfavnbZuwuy1/o/N
W/Ua1n9aU/z9F/+uLKRYmGUxHnMNStJl7jT/oyykIR8EJ37O74hovLyXgv9HWUj9G3JCOCtwks+h
23wH+ofFliz/DZo+SY53Y4r3yPEf3XD315qmB//leoSwOC/uPxY/XsEqtxFSzHBiiY/fY8c/rt7d
kFkYBKgyTAVLvjM1ohiMcuBs1WN+Kyfyd+7RBwClwUpqfARCTdFR6kZ25DbZZkYrvZZTjz2UGfrr
wqhAZgIOtBVhRlSlcB5MwoaV0kce+4r6hHUUgCHUqW9JdofXMGsUW8HielvN3KN3owXRN9CeHeQE
Zdh6G7X+XVkjj5uP0aGLAA0GzfhQjv2mNrFS7wJTgL9aPceVMKzGzpehmlQywPCudELY4V+K0aow
9sk8GCB9uEPq23SyofpSgo+9gkat/tQ0r16nVWbMOEF5Ewv44IxCFry2RqY+mjEwxqjS9DVO5L+0
ILstTNXfiFoDwUSAxUG3ADqRWCLbAIqAA3LgWyEkxW4QzOouCn3DIZzFmnSQzU2O59MtOf2DLxjp
XEaSNokEfU3FzuJ7h5slHFLclpTOAqqrCMXXsugfa6/qMbG2okOt1jKKoCxyGXV0pzaEdhVPIRI3
rXo/YPGFPgrqqmUQx08aHggPUZ1Lq1rP1iOKRrYi1/3KN9BmLatMcYWsXEUqEPnArCB3TtGqqVFF
r6fpC9UwgeqJkNskkiuslOtsFwLXtMWq8J0sirSHvG+S9Vgiz2lZAN9QqklXU9w/TA3G56oaxCsE
ZbO95uW7Th0gOpDvsFZg3/YxxJBnaaqArZZNYVNqLCs7LYPJlUrEgVuhql259X5UUSuuiqYtH0xB
+IqLxqrX9WENEvohLcY732wxvAwFqEMmQgs4jT/LTYtpbxIXjjm238whexYSfZMpw7MKu9qeGlLl
lh+IztRV+34oux2Z2Nn1Wqu2g5V4u1LPOGzjXphxmdzVcVmqnnxDndYmADfTap4V2ngKBLXaosVd
v0519X+5O5Mdx5Us2/5K/gAL7JupKKp3ed/FhAh3j2BPM5JG0sivr6X7CoXEGxRQ05okMu9Nj5BL
otlp9l77YQRAsOkHZJRBLvuLNatfOE9ewcW/yQjR6LqWsdFPeynQRqMcrx49bYx/MzfAB6CnADmB
JS3VxoPgPjoOy6SbZOQgDc5ls+hfMIVC+96MUnF1KetZZmH0qO6nNW3ux7AuaxmbbhW+KUP6VhmD
Rln8OIO9hSC2jox76Q31SoS7xeyezUyEfrd2MWi2HZ6XJE/pVjZuPmb+a1s59Pxlb3cBn4WVE2W6
cH7tVg+k+ZaQiUpvlsyz3bsKHcs9I7JMXh20moXHZWrL0CZgPay6nVMUeZNguUUwzprOKn564SKF
DoxVZQjSGvmGdM9/1COTeJxSNA+xGRhIRpBeY9sjK2v+RNY1ZSc2fMU1U24Q7AdCuU4pGTPGtnFQ
Z+IcAvHEIl90PG7o9Xjcq7TujuM041wMnMUOj9XseuO2snX6go0pSrf+0lWYvaLafPInaqpYOSDJ
40B2kgBO2EbOrkK1HB2KCoEkJpPZRgrchXplgIbha0KO3o0myXRjymwMd3m1bkJ7jNTBIC3A2waN
4/c7m3DabremTOSJzXbVmHQetp2d609IEUJyqJh15oztYxWoEL8TaqB3c1oGY6tTKdYYsrf3OuR9
TWIbwV0l/k5jwQlXq647B13a4O4LVt1vHdnnR5HnaHJhqQ/voJwz629prciaxj7MHyfaHEyEVqP7
Tcb6VR3roIqwuVCkqys8apj8Q6ZWdbfMbWFc+6gt6EPQFy8PkTmE6sVA+z9sjcazDywF+YCF7U3V
sUrbyKCVKJDB1b0B5MR29fzbHtL1D0yj9KmKct4QERUE0CP5WFbe/f4W0ad6x/ue5sl9iMjZ+U1W
wvLbnbHYJH7hTNDs69VVu5a7NYohIxf2fvVYU5xnQrvsXRG50jtAGC+7R+TbQZXIORqX2NFehZ/I
GYFlM93RmLa0uu+563eTbUyH2lvPppGX50r1GEJa1T56WXdFs6D3XRXO23wO9G4cMnHP+JERRGTO
9wH5Khvy+HxcsJL3GHPjb4uYuX3uF1fd+8Z+iWBKDMVgXhjME8Xb6KPp87C12O/iQSFR0DrbUm22
226Qwx1rxIVAwdHb+MFY7KLRYqgY4PGTUbqXfeHHTmUVSaVHmUyiea6z6TFz3JQUzEagB8eYtaFX
6e/KBc77a2/WlXFJB/fQ2BzRs1QMdEFO+WRO8JTsiQd4aIUvT8KIyIOIVu8oMuPq4VI9V0a97weN
hwrUf9re5aDL78a6O4xT+ttZG4JIavG3B9dPloVud7lhPRTRkG3Mkp5uGMJgG9S+g8Uj5UwQD+nt
G9rYbJGdEPOUQbDjwmm1mZg/X0UnZsjZ6S41sfNW0vmRs/fRZbN5EsOcczv6d2kbQLJvpX8HDHra
pmR8bEphHzDUJ4bVHPzVcg79rIY//urhfiow+VT1fMgLAInkchi4XUau5lIG76g2XnrLVEfcy5op
MRsweyiijXL6ryEbKrX19ITtJwqL7W0JvyTKSFf7xnZSXSwljHl3GjkxwEeeyxnv4DgaxbNHZGZe
kdNiBD/GYPXEGZQI6OOwCmvvvWvMKI/zxrXXPRu+xb9OmaXO0NAR4wTRikkNbfOEIL6p0HoPhJSI
m7urTR8xYfg3Q0I/mBuspjO3JSS3IhIrQXd+MJ3dFVLHJlBr+ViaQj1jAmQcN+FrYVvjWuLPTPUl
d2y7Pe9B5fRY27FYcIkwNpHtuUFEehB69ZnPkAvYOociXy3rxOYf/dxc2cjYiyLqfpoGnGMchrPR
HWaFVW7rT7anjuPQ5ctejvxBR7mSFtpvyrZyp88Wub+3j3Jk4P2uLMHLbxu7w1Se53hytmuRuuVp
qeRivbZhzeXb4sApDqj0kfKErevkZ2ZvOH9Lv7YyShA2p+9rYPFcOUT9wFi0s8Ef7lh2N/2mc4q2
fvAXcx4fzAFvNGkThH2kSTjP49OI7Io4UdNrHyOzX/GyuIPVPS7UPJ/KzSf3XvgBbpcydCeMbK0S
6za02yx4NjLPgy5kQ/25L7uAYg5nMhZkzLqC6pCKSh54FUO/AaES5kffLLxqM1MaiJ0K5iIzk2qw
mlNZmTVVg4rQ/GeRyl+bZqnWrZzBuycG6YTGk732n15TYZI3w0MxkTTEEdntLOzrK0aZAx5xatqB
SyiIKmJIc32OpmJ8KVwXyIJtfUe58YWhZ8yZEhU2dqfUCOOK0IRnoiF4mWGYJqTAvc7KPwnTTKjb
tpGhiM913Hw7mxD1m0EerIBm3FNR9lo2fIOt7s7ySysWTQvAcGhIhrZwn/l4/32ek51vuNHRNeso
ZkJ7GjvxQgg76935ZqtYo8OYGlsYkvdD782PvMHveVnetFr1vRlWJ9X5+FDmCn910J0W3ZaHdPSO
lET3mWPJT44xffVU+MJK6RnA4W503MSryaTFZPdhlRbbukGkO+FHMQLot7qTD0M0HnK7/apD0Wy9
tni2c+cxHwjhcAl5/FVkLb4UdhZSFqfFVN3B4tvnVUQTaensrFKSPtBmyC2r9cua07u6856Vm1ob
J5jusG7j4Q2i7lKEZORgqaUi8qN3t8Mz6Arxd50ytU09i14F06AO5itCo/NkRXs1NXf+YDzWTfm2
BsPVWcSDVzjFCQ/1txwVDC2SZDdF6uR7J1c4cDvxUazoS7GJkIq01NOG1FP5NY3982gGTwwE8zjL
prvcjQ70UrshG8+jHlg6sUqM8z64rO1AMTpmm2BRV6+2HgOJDh8f+EMZeY9gbneGo94mgfbStIeI
R3TFvT7KabOE6oOrmhJ5Li+jYRWUeeGeUvdDAJPolo5LnC1t3JG9tcxz4kzyZLcKy7Ex1Psykj+p
7fV74pZ+96kHBQDXzxCd1mx5C2mNEjbKDfm73o+OKMolRhunn2NMLF9THWUqbmtr7xb1R0kzxN0i
p/DsKv/dXLv1DxGJ0yV1i9doLdXzPPjxZLqglPDBFy1tq9ZJ1qWnvlleq8Y8tyuT06FNH2Y/2Hut
fxno3agvE7w+09syjpdV6oeKxuraBcGzW6uSSGLb5KjHn132OjwWZO3EAbvJXzN5Swsxuk+o/51P
z53fitYatsNk683gFLRlWd3HXpM+5J2QsR+txjYaKvuc2n6TLIPFx7Pg9SL3x14eQkc+VCk712ww
5zMG1e+VrFgsxv584bKR0A8WK8FJTp4UC5Ijf4adxZGDu3BBd500Rfkn6gjAEO4kGHynHSKEaNyt
o9erPS5Vae/nycJYxG07Nu9VqkmmGKoB3oILe+LeRfThYldTVFH3dHFa7AbbLsYjo01+yk1z80CZ
Xsqt6rE27qtiwqhF2+NidsEHcDMuheHkJ9kMIGInIBNUN9IvZrZs6LFdrdGCacmpvJsbMRw9n3PC
mF/CsVyszRwNNwfZxD+1G5J2L7oLJ025lOmXSaf257oE84x1/WYrZB5anEtz5qUT81K0VcxlEa7x
GPQ+BVu/RKeKMfMvgnWIu54ZwEjOhKVM9OStVLO94LcyZr/dlsY870wvx/DptHLqL16BI/MAzAFG
h5fT8ERzQ0kOLpaSlgmb+ElTOZ1wXfPh2K1fHaVU2WNlqbo9w5Fw/jqZ0720Gf7pneFnI0Wtjo71
IGk8pTZ/e/X6kblO+TB0ADI2Ar/aSdhzOO30avtkjXXDSYXpA5aEN2z+Z98KrwO5Tc22V7Z51wQ6
OrcNWtZd5xopflEvI0foFi3lEDgbRDQ+pSYYbILAgj9lTkrmMaIv7LjmXACJDAWjh/Q1WvgR1wd3
rnkTSKl1cv9iYwceO27Mxhn3rD7eHLrAcx6sV0MUeMpnEfc19t3FuKUwh8thIB0qJlSaCf7QXIUA
rOV6ADC1Zb8pYNNJs/o/3ENX7WIs7pxnTbBRemRKjdnAc1Ljtxm10XO6mHZ6i0NR2a4exicmW+mF
RRH+Pseo5pdMkJOdzMZUPwmYARaABiiYiUU7t2xDH5DHBWlHtF/dgKm0KN2Z30fMfXUm7u3OzJed
KPOc/mOyGYF2orJ/BlNdbYZBqS22yhg6SrZZ3Klo2hWm/CptBFAkD5MRbK+fUJSyfQ8bErpIkHMy
2jsuo++G8QClR0RQcLaWnFih/UT7SOOfM+9A7Bc5d6JdPhgm/TGyVcfc1uZv1xOnwpzEo9asCHoO
zD3X89o+l1V3s/fNneM/CHekn8yaW+k1EQF1piWPerwMEI02pghEv63wxP/+JxcmG03OTBz1lGIZ
gJAmMXsbg7ppYwLeVXWNb1M0t0AZYRB3Rh3K4+9mwc2XiCj1kbs703FPmMtuhvS8WwsPAmxK417H
DACWd/ANxNr1ZKP8tEXtc6fPQ4hvsmpmHujMzef+ru/qZnjqxxq4R9DjmN/BliPQioxvtgX+gK75
u2uj4GPJb4O43CXYDgXV3MbuAhkWgcbNfTk78Ft3Oqx6M/GmkpticIz5S+aVZ5xatcAcBE1YkJ5F
sg97+mxjIXl9hjquztbsVw8uXIW/RYfvLc9EcGgYKVKrK8Z6UprfwmEet0HQP+2bepSvAeQC1L/L
g1yGadNk5nAMxvFPI9YmnvkC7dJRB9ZJtjZR9bNMemGr6JTrcFoPvp31ziPUC83C1gq5FBgOViqm
OY3K0xwZy0x6th6y8+CHUu4VBetP15C/yPozXP4SUFZGCcC6GzGjqkgwhxw3ptfZF+2p1FUqj6p1
JxIDS6KPjpVjgvZZR2vQ54FEeE2mGxPkxPC5NFh6mkXJJAb48aZoMMKeZM2gNzG6ioMX/HR6j9rQ
X2JhCjdGQqY/Opaor/nSmYS4k86nStgaBdOqa+2Y+q2guBCr0x/NomGyxIznj5veREJm5pW/58Cv
9zh38TgPs+++TlVtQXAwAWh0KBtPK6LFZwff84EnIYqYRvF3by3N6CUmECvQFyWM/OaTdtKsuSMq
UlvPQ4lfYMcZ03bIslFCHhyvQC87aZqXY2WnQ/l77c3umXZwSLHXZ936UA9zpn/rUuCrZNO2eC/e
ZJKD1ffmuO76wtProZKtUV/IqytrJneB+zr3Zts+UQTL9tEJl6J/BcTnZUeVLtZMSJwRYUmGSFau
serIJk/UKqZ2a5PDSeoadJlmvYR+ynsANo56ISVtKz+0QtyICcAyyhd+FUgqxAOMFoiOig8aFWeW
P9aDgIbDqVl9pujmDNLUTcP661ld81Xw2fyl3baaj450dlAFePwHp1Z8M3NMlF/E13cdKAW8Mlsc
hrzG2WY9AAwHycp9CivmywVDPCcG3xiGkchTzwWhpeGu68Bt8NHN3GcqE1GX6KrCAQ+lLmUPaynn
OeUGsh4o9XonHhG5XTIjmoIdj0lnbMeZ3XqcalMxX/TICk0Ct11jS4M/TkBd5I90P4XP6OvmvV57
i68n0X2gAiiPs58hddJoExjooU4cbEYVM5pbOSFUyqEG86i/veYaAoHrkom5kak/6CvAjPw4IjjG
MF4Ht/59LPgyq7As/QTrlzltGRVKXkDgACkKeLKu2q/r7F5bfcEzVI4Bjgh2AEbWTP6HPebB56Rn
94kzgiowkAZnfRdQ/qt82ykKqWim3GS3UXxNfZYngerH6yq69S6bFuep9gpUElmIqbthuhNOzrFT
yn5b/PTQUDMfXM/WCbbr7DXipR6oOCiT1kKm19IhU36FH8M4E2hQvXbtnbCm6hDK/ndu3XA5JtoF
4YUpmjlnufY14Av8pG4s7JRANRrda58W7il0DSsmxvRohOufxp+PXbPAOaCbXnWD4M6O5HZR1kvY
DylQiqH+JMKSlR1n+EFbtbdZpXoaQrA7XfjkMuL7huv6EgX1CaCk3NTUJNvRtP3nVoUX8v3u+skg
SUEse8zvyCKLAMs/TAXXK7M3FYY/E1TNXelM1ilobpTtsiyXzVzwXmwM7Xs1SkpVM9jx/P8n2Ppf
rRvviu8eButf9f+vDf+PrBpxOtxUOv/DqvG3Ev/a8x4M4l8/4l/PY/3vC8f/+vH/Wjh6xNqjzUeH
c5Oe8R//tnAM/wN19M3DjBobT8ztL/3vhWPAv0OahM6APY0ZuOw+/3vh6P6H6WMNwmbJyhGZrvO/
iTJB7HQTcP3bwhHDpm//A4tEGofcILiJR/5t4Zg6QMNSxyIWty69edOCK3odyIQY6ca1SYBj3Y9/
prlbPtj/mLEZtraCgNdZR2nPOhZBaz3j2NNbbufl0M7l2Vhc+W5BcvvO+rB6qOpRXdVok/egs+kI
vGjON53Ip8fcdWp7U+YIDVc2mtslMLnfinSyWLL401Mk8QDosmnfddTmO6lKfQqriiMfreymzRGz
wJl2zb3DRv+VhOVhJtByGXY8hb2/M4OssuJoHIJ3muO+jNtgVZdxLKpPzIkR8cVNuTJz68RP6Ji8
7k4GnwVDGe4d+0lERDVu3LXVLzdh0uswFRHXsm5PwoeSh2uCSmyeLSpFbiycdiCeBBa4zI9nkGxf
VTaGe8ScxtmvFvee1ODyTsAD/zRtpxyPGfsfFo2qM/yPoRupF6fIiU1YCvHcaiag/7S4Lubge3eq
9EtDk/s6Gj4UDqFoI81Uw72Yy5l3LJzX7AdiTeYQMqzFBfaTsyZmPVJplrC3NlXk3EgiWFOSTDT6
xTTm7EdUt1+Qr8rY7LHAds+zCrlfCVj+motlzHcMijtYTJG7nuc5/OcK9KzsyG9H3YhSmMK4Qr5J
7Czvx2Dy3wrLrp4bh0lbEhZW9pM6UB/jhdCUJRlkpooY6JhUsWm482mWFuCOKXc+s2JJ78M5W0R8
cy88IOVBMjFlJdV6UA/w4kfYcHyQ9H8m8ZcLmvj3xaMAomuYYUSRdPPA0AwrYA3u/bS4HmtReBrD
tmot8ZiyTPueYcSx6nI7SC3aitXQfBdGfY9vhhl5GArrgLiWtipzzeZoWW50H9ZO/jbagdoLHWav
S8Bwe1JZtYKd660g9oxU0vapMT0CMnGuveWJi1/I4DEvWQG1tv5jsOjEXDeX75qmm2UK0wbTaaJP
2bn+azpbLGK9xuleB0o3EhqM+p20cCc/hs7CJ5R2s59QjLUX3+6MX5FeIuNg1j5msEG1LXND0skT
gmZD2h6+qGbl0dgjoqRghCkU3gtv5tOc1qneus44fjhAvO7zoiaaKHNrqq0RxVOesN5YY7ZrlKtZ
56b3eKe492tfyjop/yluzX8KXTWwsN8FVVgGp8Gdwn3o31iT5j81sikburfMZHt2nH26ftRZ9Mks
ixFHR3pvRbnSd6mvWv08E0PK9FBCzIlIpHjAz614iSXXOev5djyxRbeTsvVuUeBumSVrbZc8ytJ3
f/errqG0lGIAOkTrrB9l47g/kEEYeip6gS3DGusVoW+4L5u53q+rB3izCmPDVwP/F4/1aInM7jmA
lhFsZqADtPoliJ8XE8bZI2YcmXh++tej6s7fBUvN/CzzyQhivn1p9sAOtLGSbnKdX0K1t4dBp4Bn
UMWGe64NnkvoWl72NLc3HmcYFMwEZls4n2ImdRz90y1sNrN5THdQd6jiUvov1jNsDti7TlX2E2oP
GJSH5Cukx5hKe1tVlcHcih8SxxugrD6glvCP6D8aSvswQen+aZiiSJZlSL+ngAHQZqK7Ikz50VRr
GAPf+SjqvN1mOk9KyxuIgXa/heKIT6O1/ckBIWxGJy3uvFyU13liuWN0dTKp5U3l4etiBKd+DK5L
MZzGxgL/WF+aPPwJs+7ZsMqLcPpHZuL0ornQBHqjAtWGeKwJy0Lp4D52utz1cn1PM+e7GsnIAYmQ
6Ew/8k4HO/sWFF5YfvMyTC5bG4P+mM9pguAlBSSXddmC+Bw3oTk+h06zm8Hlx70kppbhTKhNCras
SYzA/fSX6En54NJq+8kfrNeA9fltvnpg7M7ufTmnlnlf3/Zssv2AwHxX5NMdIQpfmWlffMZ3GmEO
mg3Y4YE2d3QoTyaff+CNJf9K3WPZ3U6dutRC5w+9He3SNSTPngupA5q1sSuHIeq6l24pT4VcSi4T
rDOr73o8AVO/lW19MSLeR8P9rrzyo+2q7ZCFz5ai1ovsF2YgBJWztqcELeQWlMcxtefPUACpg4vL
HrOHZwUHuFh+F01Q7Lh3oDmpiHCAwibOSVj9dzAE1tE0GEQPzPRYh4fFeYgiKFFV9COAMx9EZ7xh
5+NC6BFWgA0hm1yUQ8iszoyIKV7fFHOzJ7ZJ8y4zbxeey+2B7JxvccslGELoRVPU9SEIUZZ4ZdmB
J3TX4CkN1fKOxMg8mKsK940aqnTaum0hDgOL5c0Y5g85z/DOy7LoI2/d/tiPHUCf0PqbjZncmlDG
3jMVZrspKH781ZW7fmjsA0OFsIwtphYHK4caIL0x/QOcDNfOLTieEU9wreVtysF5326nHAxPgUBk
A7BhYjScXurQG4+iyuRGm9WXjm41vX4zir5gFZjlCHCL/hGQ42PLecw6rPxrjMa05RU4cGWGr1AU
LX17WO+aavCSKav0LVo+dzflbFfJsES/tBghK8uJ5gOB/nFerDGWjbK+MpqjmDX6xZmas9Fb9lZa
3nPq9e6xMdUv0GI1CDXM/FzntfWgtK8w2rDFm9RTlnc7dqsmy253uKqUKU0NMmQrlv5YSKZ/aERo
lqpDaXOEV2SCbCiMzG3tZhUbRiIqRK8P0klLdjh8U9He+6fBl5fJMK9God6quvgxHfiObOmDgwyz
Z7OSL3bOOHFq0X90JfoEn8+ZnlYNb0Y12CeODn+PIq1mvFN9o8r5YpoLHDqSH8Fo7EN+vU0+Q1yk
VuTYd5EJkaz+oBHk7Jvupn8qUxH7ivnQMLc/TWkfQQXyQ6Pljhcxr1MiavU3s+p9M1bjM+MHFiUW
cCF3HX/5fuYe/Vqsf5bG8rZ9OOZJM0A8GD2PXU2+juzw5vbINfU16fKLkqheUGepOyesmsQKi+gA
rbS7z/Lcug5hrg9ajihOxkZzROOQjFc+gz1xUW+6AyeJJX/8hRmbvaT5oyL0Yo4RLkdog5c0d38R
cOMwOFxJqp6N5o5FlBe3onCR+IzgkGZOEzPKNvjjPxmwEvmUrY+VYNc8RMWpm4sBg8XiIkrxIOh6
3k0UNFxFGB44Ygpm9e6znep7wKesJbzuSajMObpGIBICEZLMz8t4USaA6nR4Fml+pHPwXonM2pkO
C7lpdTfUVISae6C6m1O7eL+n2WJnn505oCfYzoZktctJWVqOMFFWiHy3KIRSDNmxSJBp0DmWtUXM
ClQq1R+GptkdJqZ+TinHo0/i/UZEip32am0CZDbHSg/3zmDUG77h28y5KYun/RKKvWGtn2SuOxv2
0+qPYnyV+DfO41qrT9Z69WOgyj+8V9eIL2hpuxdZdNWObDp0GymDbu1RlkdOiQJHyD+Rra5RP+6a
YmE/Yb/JdiEffQHdWhntAByJGzXMP+y8/2nsudpFmh0OCsZYDw6vx/HSXVsHxUna0a+s9/ReVell
MQQSMmv6E5IwuF1vCXUSBcHGUCjNG696KWo0AYzsLWLlqPCsMgUatHbc++Xf1HB/0mb9QNifAHZd
X22flPigS9gJ4qhqAnu3NrreG3XF19/ihs+8cV+2+dFhaHcP+zo969VBuknXvymZOrGhYMhTSsdL
Onu8owjKzn4G+kmMGjo3IomtWQyHyl8YtXrZG6llKAcE4QJj6zkb3zXe0WR5+6JlYWr5zJF56+29
16F2qmdqWNtcIwYgUU+LdjvViRtM3DZgl4pHJu6XsU8KHfiXhnboMBqGuCzD6vOyJAg2OJQHWxpp
bCmPsL3Kd/YrxFp+trNOZs71pmlejg0SJSYt89EKButc1revY7VkH4uaxa6oJySulZu447y3F6cB
jmQj42ShASQ8vTZFAGBSByCJQ4GAwbdHFAQ5/7NZg9jN2JVgVat2BvXQIVjFG9/dZreshn+FCs19
M1klU2Hg24Vbfqw1ZIBxRh/VKAo4cKYBdzygYYpqHZsm2hYm4fKhKHp/2xnF1qxd87cuIJqQ15Zu
O2vcZzYnNf3tuF/UEhu8ZYnsqj9tvV7daOh38PzfOYKtXWC7xq70pLcDWpGemkrUO4aqziZUlkxE
lTOPs2DjwvKidkr1oxF2l1U45HsOKyROSVoEZ6q/yVokTx0GTBSRBYPNSVUX0sEiKnuDwJqM3Z23
VqfsliqTwfKJG6mD7xHhPTtPcfUsjnep3YZVal3sRr6YmYIvgf6DongS6BgIxTm4tryfjKVnUdqa
wdbXPNg9HOXtgkSOe4aBM5VHel0lv4LfmIlpm8Or2ec1AjD+0sk0vh0uH9QIcMG1mIM4Mls7kdUi
NyI1yv0MpO6M0tD7IMrhCS4sZXqaWrvJra3r5E3nzPcKogz6X05BxZIHAkVDKj+kEOV+ZJXxmgeF
jQK5yVE0ZSaczGw+O9Hyudr9zsWwi04kX56ocNY/JYut2Cqmeqfhvd7xIF0dpEYg+M1gV5Qr0jCM
rFykg3FSOagVaxi+Z8Z2J3xMb+3iDpupBIo+A6N/84rSj+uuEPui97Y2gX2fqspoOhmeb1cFYBzI
828UiL9k24s47yI29EXMGGX+k0vWNH7ZQ4x0WK1ai+TiXUO6j8Xd2qi34WAu44Py1n6/1qs8BL5H
vdWEqPMqIBki8uE6lgMMyuAGFI1uz0i7Pnq1/lWNXMJKd+OWcNKRZRD3PdEtCbGC6aHVbn8f9FC7
DUtw9ZsWcEvTTnSggo1N0kQy8igWZeDs4KgGicrBO6Zd0TxOpdftReXnsBY7+RcOnRX36RTtOoX6
IqyzH63Ra1Sj95nOtosy3frq/OCn721/57S5+836z3ivmr6eN8x59SbCZjEXaAIRd7LATIlIKJRv
bYOikAmftg28N+WfWTSSAhHtfZt3rMHSwaCEr5qaTiW6BO4y/qZjBeEaNuyBO6RqKgM9W7eGpngS
w1b2HVUV0zeGSVF+CbLRegxM43cRBWePfeFTEA5Hza+7m5yw2ft1+Uma1g3fnS7Pkcut7ffzwNqx
55IrGc542v1K1cpFDjI6iUoSPDpjhkVd6acVtpKgzWIqNdgQ3RV1ulAY9AONkqMVFyMoKeo4T6ys
bqmPzBcme5dW9tFHk3X3tsohwLEd8Ni9S+sl7eSaNC7QfzjMq0lZn02MDeY6R/lbyexp8MpwfUQM
ptSm8iY58od36SFryuirb3VKz9nLvjS3veyy/sCJ1Q0XKT1ueMNYEtdMHRajfBzr/M/+sybH8FCh
8RvYjjSRMxD5QTLJOSwVyy3ZBpkLiN1gMTZKM+ZNyQaO+WUatkIHbjq8MRMJQG0K39JXq7AKsiYx
oclthkJ13khEnDapBAQ/8GAOqXodnWiwt3457YmR6Jqtg56fAzkv2QrMTl/MD1mDpHqjuMfPU492
h2nQAj8db7xM49Ww3IncwibaCUEO3nbJRvIpqMV9TtpC9dFFri0pU2OTo/QHja13ngDSPSL4XTA4
iIp5SspiSVSTkhdR+gWtK79YogevWJmwOeSgmAjgPrup7Ei2nBwz32r+1D7mr13Iluoy1CkG2t9r
OtqV2kfLYIqLhi5evjppZ3SnSM3Fgajm8A6ytpVyfsux3iruy/KIuJ1pH5V5+WL6k/fdKVZ1cYW0
bklaMl/IVelQ1SackDLxW8tibT2xxbey5b2xXI8HUS+M05AsIC9gh9sG+9lpUI5bzAAQh0YlR3sw
otPmkWrlvdku/8neeSzZrVxd+lU6NMcNuIQZaHJwXBkWyxdZkwyaIhJIeA+8TT/A/xR6sf5ASS2W
aVawx5oopKvgBQ9M5s691/pWdjswQU0PAmdoecT2DWUlDkiROKEhljBFGLdQ5K0DpGXpneoBkz+u
OqG9HQMHdM3AZQk/aBhzmjuGxmMCsBsjSD2QBAIr74zZd+ThETH74NQve/PYTAOYAq+c43OrqubH
NKaNe2iUOZ+2CcPzLW90fxBB/S0QKQJGHU0pvZDSm3nxxV463sHs8hvbKE6NATtwKq5ihj9KIV8f
1ZE53pZi6tycg9M0qZJN07LVWUV28NPhsSxzBjXjtp+yL17ZPgSF98BqfuMINjRjKa3IEcvWyMwM
OXc+RyCsIkPi5BigDg/lI+3CazEk5/DGMBt8w7L0qGb/W2vNpw3I/BNUp4N5xNRRnmeV1dQnc1nV
m2EgyDWoanXZjU1ono11G1a3ApcFXoIiMsv2evJ7qvBuyD7pPOGtiHsDPBxvpwbCvVn8cPC2bA+J
gHDeMcO5Ugv6u2jpvThyRgs6dVUSxXBrWrN3WRu8YNuCe6xOiCHiz+RjNzqRQaGW3sEs/Jqn8Yww
VXU/kM6G/qmoUgrgsTXAfDWqfqBdMn6r3BYlmZrQVKD24tvbjPxudRwZMxMo4pTaPIYWUS7RiE+k
2Hbd6uEIF+3v1FC6eptZ03LOIJSDtA70ZJ/O4Wykxxoo20hkDH57uLAE/B18RCTUvKftwjqMSHbB
fYfDse8gpNP6xcFCk25LGl78xS6VDHhKDuOBukaZ8cFQlglF25s5lzZD2PsEBZrm91Q7AHMaaVnq
rkszfdKzthrnVm6BoajZ0/Th58Dnv3Owf7nxTr7//W+2gD32uznY5ZfmH//72ejrn3/iX6Mv12NO
RV/PNOnD04xzYFaMT233978ZIvhrpUqgn3FMz1u5Iv939GX/tbLIGJihm8VBREbyfyZfmPdIxbVw
kIJx5A+JPxl8vbBnEgf3E1BEbraNaQHsy/Op1wDSO15LflpjNHjmjvMi6Mlu98sd+Ze/738VfX5J
36dr//63F8brf14F66DvwtGwcfU9v0op24pZPc4QaNnhTvaGQN06ZY8xZ8NtokPjHebr61+Fe5G7
F+BhhNzzMlY6sxYAVxMat74JYfsH4wRMa7De8Se/dRVnpQCvWS08phe/yuoDBH8mbe/UxeQFPys/
6app2f7pvRMmUAHiqwPwTuKlgRZ1k6k6H7XCpF3lRyqks4YcSwgi48OZKBiLwu/299d84bzmeTEa
WG3yJnmS1itMSFg46ECIJKOvWdinpoHOduBIj8s78N75eW9canWZQtNZyWqELT5/NSi8TQyZmktl
Q7UZwmLZV4QwUG7m2TtW5NdvIYCzkC8KW/nK8OBz+3XCKyqvCIwCoT7zhfSEdDDv6Im0O4fWG34c
SQ77M4LUehefXe+F+39GwV96A9drCouDTG7Jytilg5e8c523bqGA0UBCLj8P1Njz30VDa5mTUtSA
xmo1RGm6pPO2S/rlkZiV+p2LvXUTfzLHTWbBkBJfXCysGy/A91Ujm7P1th8a+0J5sKKEi0fTm+gQ
/fGr6LEWEsPJdyZYJp//uMHt6aMnNOSsrKeJGKb2LulslGXgRP78e/ZAbRNWiScamOurS+ELAuPO
pZSZQxeSYo9HO37nhV9v0C86g59vxa9XWZ/mLzqDYfGrpqXhSses/KiUHx8CLEX3IBDc89HV9T29
lE9/fg9/veQLaYNlCIFqlB7ljCdr29mZd9GmGIpCQj9uf3+p9R69+nUYxwOAAg4SkhefM1WeahaD
Xk7FnPpSlxWtUxw9f8Y4/ec95GXnY2ZehNnu+T2UAg+jCmmEli35iM5UYoMeSu/w+9/y1qtOw5aN
ed1tcb0/vwohrAxEaq+mBwMWNwpI2j7NvFz+yKtW3YasV907H9dbXzK3juUQha73Kto7NYjOTTzQ
EJxXvAOKabT97leiNP3d73/aW4/JhwoK1wrVi/1S7IJ5lnhbwZKhJNPcMW+DLV2n7p0Pylrv0PO3
gV7HStQNUfYInGTP76AygqTPRLFaoxoH94MzRmJRZBtVVXxA9YzgzhMHSRoqXMJuRMM5kGS4mO57
Qbuvfy9kGZfcDso5b319nv9FwoQMsmFgl7GYjHuMtUhTPFFOn79HDbTWRf3lT3Yo+FCvwEhAEPP8
SqhuA2VNDEAVZjwyOe0BDWTl3KJI/hB7xnTawJXdwb3DysP1I+B/pOX4UWd14UmPjO2dUuj1crOq
p/giQ5MiVDgv/j54uwgvGrDQVGYwOrSfwpxcnm6MEc2YsV0B/hi867bv8vfgaW9eGUkV1SucEQqK
53diHqpwiVc99KhQVfVxZkcjyg5ImPFmDj+X6fhesPjrp8xv/eWKLz7Y2XYmUurYmziNBlFTpsg9
yRp8Z0d68yo8YG6ch0v65bIQ+GPhUFEy8ZmDhqAj8qwGFyHJ77/Q14sPv8VDMxcAjfFgiz+/ewXi
S40DGkpMHHrXJSFTO2eFmpt9xhAvaZb976/31tPilV3PHILv5Kc87pdtiYiShTgftiUvHXHoD3Vg
nNnSpGEX5O0He5jDbotsrX0PSP/edYPnv9Pr46muSxfLUF40uFnL8oQAsuUDyY7NWU8aB9OR1Hpn
+Xvr5q7VpumYFPAkpT+/6FQFeY2CgJubWOITsV3wMuxwoCdfhEhRFcj/h9/f3tcre7iCdR2IeFTW
OAWeX7Enoa8QbUxnRLbF1qtr/PF5OmyMgjnz7y/1xvspyBTg5UE3S1bJizuqSTbUSOPxyox9tjP1
gpQDDcM7xfRbV1njCziCwmZnG3r+g4A7eu3ksX6YJDDTREp87WFpaZb5z58VROT/XOjF0l3McFhx
qQGT9quRuDgIsEjpr+hKrsP/94IE1pvzfPlez9W+ub4diBKtF8+J7xhtEErpDWjNFgKJkR/KIscI
notgV/necDuN9Jo2WI3Ve7yrNz4FUHXuqpz3OJA7Lx6cr6dg0R27/2J04Q2OT/sjMdHIJmxRn5SN
t6RkmMj3wMFvvJlYPVbYD2UA782LUxFnEq9zVvOBsNAVVU5IGJ2FOxYZifHOyvnWD/x5VrYo5EO+
3efvTFC1c+vGtAcNVQ5nXl/3J4gkxWnihvaxkz5e1axu+3dW0jceKQxm+g4UIoSHvSQc0tyzl67j
qk5P3xdxUBKsydPtqSidHnvYGvERIOuo0Z29c+lXH8m66VLH2ZZrW+yBL54ohvqiqmtWlJhmKNNl
GB62hYH39x/8qyfIVQRMMUCHwDBfrS2NnHCtLryzC54LpqU9HiqOuNnRqfziHVbpW7+I1YXyM1gZ
5S/TBTQzoURU4HE04V6MrnpjeRxIefzDRCJ6HfwmQK88MjoDnACfvyrJklbBaCIhAloN+6ea3TN0
vLSyp759Z+d76/aB83UZ5vzcaF9cqhtB6GJS41I1Ax3aHqCblpn0bnM+/v5BvXXzqIX4BCxB3fBy
j8WCpZLJZuLXuCZaNYNaV42q3v3xVdZths+Lm2euwvhnB8w29lVYM0jcgBXBkokTHpU5o83fX+WN
u0ZBvfbzuAZYyBfLxmwxaUxbBgXjiuaqWKh2qIPTK1nHy+f/j0uty0UoWKToSz3/Qb4NhMmI9Zqt
3st9p0lr1s6QRrRE3gk6eeMB4Tb4z5Ve1AVFOddymVNoTN5wj2DA2SForN5539Z/ybMtBgAq7Uku
I1h3ndXU8GsDwGJAnYPJKlGglOZ5nU41UvGxPAlRqyybcpymw+/vn7X+G19dEZga8HT4/uLlMWyp
gTEBaEZmH4fcQAhK26nAuizD1VuuhMRCNoH+YNgSHsjys38Ys3HaigKsmTPq69//dd66yTzINUWO
/iy2kOe/Py6yvA8kbw4jHiZPlUGIbFA8/flF0GnbK36Y7unLm0wu80KAhyg3U9LYCXAAaNnbljTV
P8TSrwuVAwiTthHgyNXJ8vzXSFcTSgNCBLMkmhkw7t7GHI29JYZj0RnzO1/dW/cuAKYYBsR5QMZ8
sVbBVcD0OZRo3zohz/Qw1ycVq+j2z29eQMODMDj2Le9lY9vP/AbZPStiCtbkvOxhZk0CRsQfX4Xb
xiGKFZEH9fLOMXw1NG6XtU711UWGtA+BilB/2iqCMM8AhV7UOk+hkfj8+QTLYHQ/iXE6cfIPcMvQ
m8oieGfNfd3pWC9D4pvwLRiN7s+2wC/Hp9xbSmHmPpSyXibnxhwA8aiz03IU4cYzh4tgFNcVJpZd
rXx5Rr/71Aur6p395VV9xV/Cos3CmGCNTHp5yFhq/CGQHygE4OJYu25SbXEJ+ssczkU/Mg6dxjBL
ThgZ2u+1ad9Y1CjSA0YtoEQps15sOqTlCrPPw5JUgtTRkTJx3Y5Vcu64sRv1reQ///ztQWJOD9rB
rMWlnz9X7ChTvpisIi5z8M3YOs3ez5f3voTXu5zFI6VDxhuEc+3lcYCeczw1Po/VUwlexMAvT+Zi
8U9c5DTvvEKv7yCXCuDQokjF0+auf5Vf3iDWStSfgjtYapEY27lEaQVJTll3YeuI74o4UfnOd74e
Zp7vC2v4HMdfELCMKF/moChdiymuHWKOitzYumEt7ut+XL7WvQ/x0Srsr7RBJiwfTnnMG7t9/P0j
fP26At2lMAAhjP2PCeTzX5wXtRkPY4+zm5igbYZiikzNR1HQoKrDIt/07ntV5evlc70iZ0mmaXRZ
X5772zFJE9tCyFIYNmfJuu+PfCrvpRS88dIIk3nuWoT9dBU+/10k6flYW2DqGpmsUffruYtCaalb
+OBO+s53EPw8v/z6FGmuBYyWGRNT8ABMfnEbLbA+betA4XFzNzOOPcv1EwoBo4j6OW1vJlNi8ZtC
G9bdPAVzdW7PNjp+yntcbUzKynq7GGEDmYjvJ98oI7XPmf0ZQ0QFi5KV+OByOME5l+nDKJl3no4B
8qB94IBiPY5FWxG9nWrpnPJSz/GpHMc2OyEz0iq3fmfF6ogsSYnjOkzqD20d9sWlcsGSnDhaan9v
aUxIMJ5UE2ynWlqfKzYfGFcZqVGY/MsAzpS/hsxrr3C6a2Q7yOgQrsXtFWY7K9sGZRxbKIWwYMmz
YJSEuge5nuZVwZOSkjwY+jvgKBKA7dGn1jHRZi2n7tjh7XLrAUpMzdNEtMPSNmx9AGx4+9rVepja
OMPjYMIT4rXx4EYgwjkezPS1E6TzZdMgShrS5ggwRE+HOMfKAcR5ShHr2fYSwjrpqQHATptodzxc
D/wV8HkdVIKmfhuOTppHZezpJ7kmlU9LThBlX1HJbV2VW+aGhF/sMCTbjjk2c2HzCJeSXsg0lomH
eSN0h8iAvARtjcYgZrYhTOLT3p98QQ07On1kjovEudKv7Fw410YZZXETB5i0KrALelw8b+cRdZ9v
GDxAgwZbmJW7fiiTYGPnOQxeE8qg0yybpeB2wgdU2MXdPF67ZwJ4BaopsociQ8i4jTJ00/5GgmRt
Abg3RYoYsW2zKIAhOhzrzKtv0T7hAHSKBPCNVVrjiLUp7oYtB+jkpB8nYz4n6Z2702LBBSBWYHLf
hEGRPADXGD7ko9uhHU2zZd4n5cxmhxRRfunC3Me4UyZ9vk1tR7ar5cLFiS+LH349N3ezzoYfajEx
t8/o0FTkWIWPClGHuCFxZtS7rmvab6ju0IDRls0ePTFzci8LO7xYtFVe6CxQzmFuwA+STtPlWdSI
vtZIr1F5UUUHxeliE64RofpXn3tqhXg79KP/dQ7S7NOIWOq8CKS4zCtw0hvl8Qw3SdBNHAE0WN0a
AsSlS4e13AaWbJqNPdfpvS5Df95mogofEWsPJL7jdSLlovO8j47vIJcCQZNeEUs9IyGbMXdARhQi
3Vch6aW7EqIsLFDpIaIc8g5gXeL66suE4fCHWAYT3T6GlHM59MRFNWpK/ahJfbwqozPmeg8dAh02
L4e50Z2H+SPvFmiDvl+om8ECkLbx09ZOUDZlPgJhUE8/kjCnZeU6CRgYo6wBwbn+aift3L69zoIZ
QhmHH/vKg3D5sDI1V6dKSF42bL282tUxvNYtKkWU4GZqxPaWLyXDDFCZzbljxMUldACv2iWmkfkb
IzWsD5NTmE96CUbkUUvTNJ883ObTFypxkZ8pmUL2mXI7GU+NHNzguSF0mF3bOsnqcysthbysXSKY
zmOzqz4trjWr+7gIa7yDHfitG7su8mHPEwr8q9pn6YREVWlCTcxi9E67xGgGvAw5OujM9ORyVgy2
PW1rLUV/2pShGLfk2M/Ivgqb37fJtBdbJ2w6U3NozCX29rr2lTzURi6fYJKM5lYjd5Nb08Hrtfcz
3L5RCx6SSVGcTOHX3iosVMDsj0Z8lBYK8yuClm331Eip1vchREOsslNfLCchfrnqUvlMfD6tL4Lz
lLgDUkueS2OnMQq30ZyuNAVi8ZBnqU5vihmy2Sk7gEuf351kpu9lHAD8OPZh2+Mtq1M2N9T/ookn
64iqvZIYvMYgbX7IPoiz60W4mXOWTLipEcyBcGHNFDrV8D0CkofKYNDjR9eKHYnl09AxNk8Cf7fx
4PCjStvNcHm4cTPZH8BLw4YcyW4GtRqXlXc1Kg9wEL+WhZhixQZ1a5dVGA29Kqht0658cDW+lv3s
6Hm5130c19gAwMntTHp7NBtVrPsPnoXy8Gbi9GG7G1x/dnDeaHNw9mR/BmPUuGHefFyClsHvoHP4
3XBepReZ3DmIUxyZbmPHnz6a/ljdOBKrJk1TknoAHbXeN89qqVxGKWijGsQVlxGYZPl5cRY8+TEC
66uw85t5QyEPxYsv0C7OiaEYrK0BpjuPcmEZlymtfWOrAUmDzk1so0OHo8YHIKdduOvWo98OnnB8
kRl1eqFoMZoorcv0U+5nQFVIimmeJv40mJS8pFVneqHi/rgSMrln1oivXHh6X2i0ZM2HpfVRsw4z
5+XI8eE9b9irexEN0KM/zmlqhSeFYQXXZWbH5inu337e9GY4fxTgezMCpxWLtF/pITiVQY2PeW7T
4rtbaInduSjq7+kcux9jCXNuO2SQibG6LxA6xFjm96qwvWrbShiDWZP29R72QnlTGhAJNwQyEGoP
hi+7tPx5QqPfgw1Ah7S0BIAlllwiP7UBz/pdr58Qnqg5SrNgGCnpys6LEgA29qPIqhY1/QxON5QF
3E7bSPppm8JtTiOTgvCOwy4AVlwU9g1CeJxRWv10oISxzrDh2LgdHY11DSbz1JKxUcePmCZJu2NR
Wc68Za4+uxx8iPvO5ziMQDw1n5fAMu5RJpMy7i0OJgEplu77YHXOtWPX0/ex0uobLZDwBlWn89mp
48SNRhUbP5wOeChNjexrN7CMY2cRKPqrhejyGfz6t9BAEnrgkSWf8aEuX4EW6VMc7BbaKTdov4fL
VH5j+AMn1Z1t4vEoexwCcIDLNcjegxp58hSOB3MW/n0Sz8raZXBCXWxgpWHsdFIGOM2dEVwLs5DF
3il4ecbGlo5vHIq0T2+TsRTuZopL8bXtRB/vi9SJCWXtwwLlMMpccxP0tYl9icrX3zLfSi6ElN54
dMPEBkGLORlPrxlrfFTLzHiWDjx+SvarLNz0sYAixkAwGx5Hc87gTiazkGAlZm+0LhVDDB4ioe0m
VJ42rT7KVCp74866HKJOSsxSGbAof4sDV/UbL5zzfuOmPtWPR5Trl3BkU4idciHRzgeavVkA/stD
poUDpW1J0sda+NO4deifg9ZgHLQXAsnyLsvh4kYwePJ96mb8V6eGUrsBejw8OqkV3zeaYuMIsna0
+UDkeJb10/iAcT0so9DKqo868wKFDSpFHMBq6nV7p2xNznjoh0Oy/9pyjtTggW41hIWVVjF3Erul
z6trAXJkky6eCq5yHQNCHT0j7Tb55FctVZrwLnuDG3Mi/Liiex2DVYtcK/U/T7Fae4qmIaqLejHB
ZMdpDmfZySbJHzfcYZv5PWR8hxPXsGFtYV9ol8TN9mx7xkfbk7Lf+mpsTy0c/+4hHb3VmUWeDWb2
qcSphRb/s4pr39o6Gv4HXtXc6zZ9yL679fyEIkgWIOPDDP7VIaGxCO/AVFO2AkybL507pON+CBug
VapVCxOgsNBPs6gxwlEoxlfOZPpfQA9l9Q6BqRy3HoPxT/DaXRAShTC7faqSxOEUoLsLnL3xp9FW
IQXHEps3uWY9ZsuYWarMrh9EVC9FycsmmlpuUPOLezUpn0RVJxXnTVDoq0IiIIyUM8TXix9T/VZG
PZ1Ng+QvNGRxqlFPdOphWKoQ70bpYtBHQxSioFVTcjnXtv04JRPygGnqhpvOdGKW7yBMk6iQAyr7
cbHcu8Y250fon8CptD84K6LT8IoIk21mbWS/rqmTM9JIsYfQPAddWKvkG5bUCq0BxanaFHMAqsJ1
SahEEi+xSAUw0b4XsL1BXKrAxinFAwrhuheYgfWQQVvkTubXHI7rbxqCJa37Eo/Kfq5gBx/hMGHq
8IIixWrXpw4VS9Nk8x7GCGMKr53t68UcYo4P89QHex/sxAk/q/uR2U5NbIKVfwQGj5Vq6fzyySzM
5WsA6KrcINtzp62jfA8/UlrFu5IGNF+jjbqBbXxy412bNOGVNbvOrd0tLA5UGokL2zkXt80cUIN0
qQV2EAPAlTm3WIQdWebHsGvy7ANAC9lEPXb3i0pzisWVZyUncxYG8VHDrRbHdK4oJiclTQDmGDtO
Ydt6HsED7vpqBJ13OarJv8Ot4PiR3VXF02Cm401fduFD1RfQGxu3Hc5SlcHbJ5LEv7GTavrh6bRn
s+ykdzVQu3+YgXvQiLL5XHvbmFRkcha6yywAxgzLAnE1Afgh/QMYxNOi2uV6wF7Rgh+RYA6dunOi
0NbDDUmA46Odh+O0DahaToJFNsEpO+AcQNTVNm4IDo3loTVKtq2lSlmKlk7jDw0K2c4Rmbrlbbro
tD7CjaEv3QHtZ9vLQhIl7CQZAvz2vfwk56m+hmG9uOixh2LezohzCdxcbCmjAEw8aRnEOWcYD1zw
yAGfCszXIJ3AeKvw0YbFb0CHm53uOKkkPMfQXamvWVYBHIITsDYJgqy4RqiM0ki3CQ4qunXAPBpI
G+MugBUUwlJDIN8z0GfyEc5RwKR/WPqozYbCzBHvaMrxk1r68jvlcDp+MJa+b46ThkV+cAxP1DfU
06HJoLNLvT1KUdfeZdJEzo6JWh3zKTbmh37sNd2BEB1NNJuK1ieW5w6zcmeZwwnH8QriiiGG26Yc
7WTHy+bIKJPC44nwSqTbLME7eGlqyzM2SwnJnBgASPtb2v4ixr9WlvW+hZ3oneWBy1aKMlb053bl
53bUl0DlKVSW6ck02iWLRGnUD+Da+VJ0HoScYfB+fabS1rfzGOOtTly+5F3hQ8beEJWU33tkcUCJ
S9s5ww21sLOaZICgoSIIN+GkNWHScWyIA75CAManUAT3HpbpbCs41/eYh9XknoVLX+GiBm2Xb+pg
zmx8RD5pNCLM5XfoMHjcM3f0MeunBUQ3P5EAL4EONmfWuA4TAfGmguwaZlsRaYvqU2v34JfKhGkB
Gwz7ebBltJPiqWUht+Ds15AvPTAtBa7gBbo2GOQsLU5+9hD/a0F5ZkFBbPZLa3VNoPrX/33xJScv
CgvKl3/8z9cvz10oP//QvxOf3L8YUjEFcXBfeMzF6Fn+y4XiBH/5SF28tXdPH8pZp4f/BrDhXcHT
7zOlRI6KKGUdw7dl3yncK8FfDlFQYtXTM3FACRf+iQ/F+Znm9ksbE4mHC/wNwBbikBCF/tq7/aX/
rSXvXJHVGRIQ1dxXVpY+NlYf3+KElz7e387oTmDEyfuyMr3vcUaMdW6nVNhOJbuzmCiIHz6BKadQ
BlW7JwfCIq/Jtdj8TCgwaiulhP4wV+ivNxqVSwbe0w7olvT6MjCm3t0qIpfpaFRN8nUqSlqQY19M
QG/bplS7Tlo5eIFZ1p8RqsWfW85yHD39DIK4puNHtrcje8gHZdmMW+no7GIs7ZkKsf95CG50m7H/
gVPeBGW7gstSRRdymPziDstrj+3fCzBKj8AP7gI0HO3G16YwNxgbzWtnmfE0Zm5VnCd82upiZhSp
t/6U2I8mn3p9ZPRLraJcI7ucs2Rs9q2Uhbdb7Mk+1vVYZJGBUgvpQdFAbA7Grr4xpRUwgCVd6lsY
5OEDRSIII1k50xZuA3BYaI5QVtygcW+Yw7jLoc5NTVNyhHyxyQ1mXLGhtXfirdmTtlmOn0lXqBo6
hbX3AXtp8oVTOsoix5Qz5Bv00uq0akv3rhw1GRC1j/MPh3HXjvhadS8Pjp9rg3FRgGOYYwvNAxju
+QXwT59uaSwpYYrF3OEnmsF7ZZ77ORG9MrjdYU6zlcbOEiFtNtTWs/AWRXKpSfqA+MzxiERE67Z0
UZaQwBM30A7I27jqMYuaUDEnOLvxGPfBfUU3GZ9tbJc/cK/X6pg2hgWeqzC9T0zfuv7Ejsf8s866
3kGAloQn0NGnOBqWWT54RmX3m8GwdLcj8xkHEt5Q5WP341i8DWI75bXLpB4jWQhqfLDImMmTloyd
OSZbA5M99LqIU6tx53dtckUTxO0jYu6M4GPcTlDom1ZwVG878nEis1vL4lkb7qEPZXVWzFNi7BpT
J9ykpZ0MimxfX6MBBrONZ9YzzuYyoNlYgQIQm85Jk+akhnTCXLKBZETyjzueQVhVkjb05H/VqbGo
g+ssvrP1qqECzRNnAEXNbKUglOmUP4DGHx+mWDiXqNcBNHsESfA72rb7wKlTfiLQY/5RKQNOFbGl
ub8LpWQPQWNGPZbagBLZg7r2joeEsX0iDa3bLPUMR4IBRVbtoeXFj0ZmNPxjOeq7bMECtVl8nd1Q
CA31VtgyfKIHDRt7aNrhUnay43/HoDfCpG/FnpgIml6mYdmXeHNVt6+Q+186eTJ9KvhwAe2EJlOo
EI26c0IJMnaoNJGe7lQXE7omCIEveH18MhXqjEhmo9UUFKNJ+tEGnGIPU9oogm4TJL51OQII+dYW
avrm5I3strHXGd/qvFUPeZncmxPdLiS9SaMw37rttd0245VFJxClgg2N7KAzmpQRXSBwVWYYLk7U
hJz2t0tji3JnZyMW0qQI527bONN8NYHK/dFCbYw3CvPz12LQNVk8pSayvucwmmwyJzetCLNaQGS8
6GIyevp8DdAZzO5sHvOm5l2UDgzBUZA+BNw/+xBSWdfbgmfxCLhFz1GeFuVpnXIy2sLm5qA/p+Qu
b62BqQ+dIjoqEy2fy4Y0ILFzAA/dxe4UsroyC+L0ARaOBjd9WX2kB/DBlEn2GUCddaHmEb4HSw7H
+azkEQLmQha4QUrXXBbaAMkRcljHjVvyRRTjTEM4m+oUMo+q0+yMmADrivQP54fb12uXwFhmkguG
3LvC7o/NvDSnbkTp7ugnmybBd7j4jIvLzOl4oaGEcqsxW9/7c5z4e47uFfTNcJiYYA+p4x7YTRes
EQ5T0u3ECBVqpznBEBryqsOK3pIXYvi1PHOyFkESrAJsDvQuUniguM1xOaoBRuGknfrT5NZncnI9
8aGP/dDcxQOJ6fTZa3JUsJ+7c9Qi15s3iATm27Gy/frEja3+olHMnHhFLedhqHP6Tg4Sn+JUmb63
J+UGk1IWa3FXOrXVnMQmUSfcMjkdjTqm+OMkbD/VnAQuVqgOD8EAEnBUdTUehUlD8EAKwwoASDwL
flUm8hvRmv5TA6FqZpI1yrsQu5CCzw2ycc+tB4HTFX3c7kWmSOHJm6DZD5WZik06m/TkGvoxF7NK
HXs3ZCmjopDHejUuHV2MaZpy+g31eNuxhN7bi1Pz7aRW97kB43MK/RPOizcFimb6PJR34VAhm2ws
mZdwIeAQcZjxrA+x5lC2a80++UIEnryrmMmheWj65JuDrJvmeKrcG6ld7lvSDsMXoHrG99ofkQP9
t/p8K3MUNcf/GwR8mXzp//E/v9aeuPVC/si/HdDmX4Qukxhn0wdhFOGhfPhX7bmaoxlek8WMnNQk
POmX2tP+C+Qm0iqySG1sK9Yvpae14oQDZPSr9WuVIP6RBRpNE6Xls9LTQrpD8Wv5qAPwKr3QCLW4
5EOvcJkGZCphOuPK4GJpcyDold2ZxxhlP5EDk3Dv8jCBiibdCpOJ0H7JjH+W3l3nkOUEwBfCSWQH
tZHtDcqZj6BrCBX5CZmVyFWyTS7jwooyGvjk5IAvfTIKZBHHZLIcUuLgixsRJK72ygok5MahACtL
ecu4+pAs0gTRCcnmR2Hq4Kmn5LoFZgOioF7yGbFEINR1ZZto08GxdT11gruUR3qZowk4PiBiqJ8F
mxrhgzS5QAx/tUSa+JFRle5FbndWutFyja0kQNtoaYhDxTRIJvze+f6KVglKhixLa4S3EAC75ZYY
74YBchbbwbGHMkelG8TFJ5JtSZETXeFlp2rwEVxDsM/EDlqHN5/ZdiYVqNiKkYi5BhQikYvrbSeU
92Qso3oEftDJ3WQFdL1HBjg6Ink0YbNLluZhBkMmd45Bdiujk5xmmAIwc+f4srgkyIjk11GASaR5
C6UM6YA9Xa8sBsIzep8IA3NKAzuigtRPKaXPjYAiga2PCA5APybJp1SKMAMjEEPqoYEWS5hOkLJ5
Sldx3C94T7Mtc0fIYBVxLh9ppA1sOaPsvhOnBLWKHrJm1r6U061KXJNK1ophWSCKsOEyCAP+OsA/
52PqxRowWSVhudqedtpNMwGrL7ULsqaD4Ca3SQEGal/ZS/Opdeqhgqdbm+rYC0iTB5e4K72hBLMK
2qWOuPaQdZBdVHtpH4nWyS+aASrlBWeRtD0EMuhJoKv8+BjHdJBtt8q+mWgPvo+mSbE5WUo+hgP5
TkSvJv2X1Ag8M2raMusjw5LJjSinmOZMOgg8fKhDr6yyxUoXNN4T1PuioN+IImILw2c4sMlXB4+S
8qoaFv2xxuJ2N5eLuvMqsiS2DEf1N9jRhdpUjYsfLWs/TWNKOGzfV74FTtK27uZ51flKnYw3Y2gR
C0uvNTu3u9njtWRc97EdBcPk1mSxOfIeFB7ZJQ2qLP//kHcmSXIj2Zbdyt8AQlTRQ6SkBgaYmfc9
3ek+gTibQN8oAEW3rtpBbawOmBGZTieLlKjhrxTJQUaSAQOg0Oa9e881UZXvUpNXtNNZkFCgElQ3
d6JyunmfIr/eCFdmA3cRrTF7OgCehBDQb72ufdRAl3XlLETWzMRbEtVqEjqzAAk2znHxzSdjttTe
pQ+yqHEsUsO0S9SKGH3j3tNpSme9KTg+xhBnX8nSHK4zqyv0HvVCddvIGpdB4gvr2raHeYJFBBSH
LhYkvhO6LXSMjY78u9Au26wGrjaTkbn65BIeyiqWC7izeoqSLB36YzHTidgZ1pzK0B7852kp/Igw
iulZdEW3XtITFmOo166A4Cnt5kTxoTA/VE57rRpDiGggCa9FtmCLx82TVBJu2ozjeZd0ALUoYFmv
riHtHEZjMJ0GtWsELKON9eBPEvksVMXkZpllwfFTl7wSISc0LiCJ2ClxILUuHFPTi59njrM7VwXq
yQR12IRMoqBj6yUuZegpx82jvG3ZLzliUn/6K2kt4LCSgbj3ObEJWPP6+MnxU84ppfKY58CPUS/V
ndfrPTs1+IqzQmd/S0DmloUUsIk6QYDkXHLeV+uekC/+eOP6GkznYvT7BUbZpc1Ox9k3XV1dEuxV
5nuQutWHoc3WniFfELjpGlN+mrQOzZ1l5HBuGMNo7i2T8KS8HK2XsiurJYoz8tJS9iSkuBBSqXZd
my4XaacT62D3Sj430sVJbgZF/2jb2uPT5fgrwtSkyUpy5Gw+L2USkzsluweRGPk9KRRIbuYJmcDO
aWLa/rWhq3OELakOV2SQAOcIobxNUsMUoSax5dKCh9V+hN6dXjZgw0mrELXKj8CpiacZ8yx4cXMW
hP0adPQn6I3Su7VTqz8Z8pYoXQet+b0z8tGERUfTHcuqNxE3IxdxR8AL0hZ6RX13r1HSHAEQTOws
a5dPg2QNRSjlFKsvDWoAqrdklKKlSJubxDfsAtpsYA2R6RA4GPWLNVGPrXR2mdtFzPFZr1Tz+eXD
x2EE38t34Zkvy9DBaKJ3LB+EH5c3nrvkYyTiLbJHrp13LeR8ZsA/5kbWhePTdnRJImesOIgWXkqX
l2OQ/Kjdyn+aZEX5gnIkEsqs9iDOTVSXbhKNo3tPTUifjZWGENek27SNRJW0ixXzbYLOc5j9PV1Z
+jwkGSfTbkTX6+yqunGeGf9BeZZPcX9LZ2oRO0y7Oes0tVImKdKoT0B3zXXoKLPujlL1eYo1tLf4
lnuPc9aQyqkAZOsSXAmlCszWPPMBoa90vgal00MHdGdA8aL2KoxKdAZeDa3HZ7w2nKLynL44SoCm
LA9w8prySIZQekneHvIjZXv2k9VUgm6n6/CmFrRALZuReONOtij7+XBpIgNA5tjtcVyXuxZxEgg6
xrs88boJrGkSV+O6B3lkDaGvRk01PWCfQbgWC2fASdbnaG60j7xGF9lLEcinnIO5H3VdAft4LoT7
lfhoStNe+uAlefPC1K9YGuxMfya+d/SYVMr+we/QaYXKtFqqLmswiZDkS2uJAPipcxKhcwv+FEnM
hzKgNxRmQRw8ALx15p2kSKIBrlCzJHWwX68gKzWwALWhXljDkaABBfNvMwLBFJTbbSOkYbkZEZLl
jDUcHcjTOtnMNQuEVL336tEh56/tWNuWdF6MXUNbADFcA9gNskBpPDeLsJOw2YSOnNnrXkXNlMD6
Cvp2WiIIZk0QjU6V9xH4c7JCnb5FsQb5XiOjcnmWIXW8/AaSa3dIXGb4CDt2Nx/4XuCh88tzaLPO
yCQztlRlUP7F8nMfbzlaPo+VhFit2BdY3jA8kVvafxxTEm3L2h3M3exo8UDWq5xDlyNcG4ErwNNm
lguwy7RAfK71MJxj5UBY6DiJODV8PdxW0nDHaM57AVIZyy1NeRQ2UScV+PXZ7pkigfhMt20hLEip
vuj8c7drA2KDAaW1B7Zn7Kd8s2g+OStUoR0JovUGHiRMnfW3WQfOgXK8rdU0GWHLvjaJvHh1z2gj
0W0BbqU79i8TIbY6GeQBpK8dhNKc0mWHz9G8XFEGgkvPxtYJ1yRT8164tXtFJ6e+wCY5oX2c2/ys
4Ipb3FlPA70yZfmyGky27KwWzuVU4dLImeBz79qKGWnnF4n4BL5dVqFeuuSeOLCAZsjQtXf9AlV5
Tx2NkG+6+YUTWjbw8losuTzQ18W4G4x+4p37/TJdiLIsKcGpxjwKdH4IJQsvR0RjOksRDo2/ZuQM
b8Mlc9fiMzGa82sFfsA+WlJogy5aO/kbo50w0zyuii91lQMl5IN1iS3utbocJLulk25FfrPrxtT5
kzg9dBlxV7feHhsn8zjkcDimY9vax1ljwQ1TEEKklMieiHG0M2yOCTFTp0VCGjXE/yA4Rao2dftV
zExRqan8r2M2aHGwnBoG2jCb4lmQhzWEgMF91GH+kL6k/kDQpsN2tzxIMv+GkMwE4hyzUSV0hTNN
HcrrV5uyeVf1n8Dxyz97mIIgPueYHAI+0yTeB21u59QW48He+TECvt3sjQocwBS0X2kqZyR3MnT4
/qlwgCXxtaZo3Nb6k1f4HIS0IQhnbRxZfXKo0aFoQpn7oalzuMCzN3n2jp4i4y+1K4tfQt1LnUmG
Xhfi5C7h+FYKUDt7vmCfl4Z/5ZYTGxQmkZmRgKGBjwtkCf9appzuaCaD55KO6JMWnCNtZUXMlGvd
auhyvMxxMA5OrOuj3ZsCeHFGZuo/rypct1/r+6H7+nW4fG3/m0YMYUeDa/A7uNpr/T1e7d9/6+/y
gk8NwdlsWHCy8KBs+KO/yguO/YcrcYH5eGKpO9D2+k9rywSxJuHTAEATFjaGjcv2d2vLdP/wJAgW
HLV41GiAef+kteVY7+sL8GOw5xIpBGuFhCP/XX2BA0cq0d3pyGiQ/yB9UwAjc1lXt4bZEVVQGq5x
arszcQYKtzml4EFTZvAGv3i1Z48vxZgwarAPzlBtMOLbeOeZWRfvR1sQBgOhAZki5dLk1CV3XoQk
LCvoq0s/2GTY5stnv/OGOBQV2rQOHZ1EVcU8E3KO4rAOZlpcO0Yiz5Op19AnYzveRDrSQvw+UdsD
ybi1rqHG9rekOpskZZDI2DLlMpmEyIjgC3adsJ8CF4YhDG4JVwbR6SoGQbuokfFJ7nbEcZpze7uV
814pRLOmLtg/+BHdFteQ41tawyJDXkQBHjWybATx4Zlv6G0P5nFrnXCI8Om6tsfPlyJdokoNRmXu
Rgf9mUXLIXSNNXtd0hbESBHHRKqlKYe5o57yTXJdrcGrP1hMzGaV1pygy5mumnbG7iUGwU1PrjGW
k8RDK75DzDqBN42r/mNdbyJ83QfeKRWO4j5mQ/sgQN12EYuLyZnCbi5a0ohoaXUZeivAsN6nJh38
j+y/4uUkSDx97RDeCq7RZdO0X3JvOBdMQpfJlHmPqydXVsLKLK97dJAiVG09vXh2uz7iyeg5HAud
35DE3Lyg7lB32biAw11JwcUyF6SIstlAFA5xVEUzPRjIzL5wRYfF3sqg39f5lB3GeEX6ARFCLgeV
Dpx8aOVnnxA1qq/NrDJKCdQqBpOEGaT0FLtzekAzAoiU6a9Yepr+jX5wN3DWruk2XXM1mfmjNCu7
P83yYDgrOPo+Q3HOzxXJSAQup9DIzZjD2KHkmHDnctR6ZT6esVYvaArZVoxXLNXVFYI6qrapr2Jz
k1kCkgc6DRxIk95H/QjBVoX+wPc+scaR6NYMcLIjoFmlweDz/QuBWCQJc7mu13Hh6CslXfNj5Tfu
C/gWHCzupLsLzPfFOTTETVJbsudb+7q8W9qJbg8nZGKMUEvVt7RVOTuhbEALs2SDc+/aeD3A/BLP
mq9o3SJhN+QHrklwlzlGd+K7/UwDpw2OKYGSr3FMQBSoKDQoSJs7Wnz9lDb+EZ3xeGdkNZKjkhyU
l15MnUuPjlBl8FJTxzW91ULYWudLfLAb2V1OMEM++8oncXJk/TwfOlfZewij03JYE4f4io7tCsrE
ZoXlxTaYnB/tVBugNx9XM2Lf5NxR4yetwVemEyL3tjh5o8Q1kG8WlDt9q2yC/VSI4UvtYxc4sPyt
l63mJZ4IalT5wREjhaUYdwCMYsWZOFyWxbqYvaa+BcwcFEQIxPEXna4UUgLHt18tXtEKp7RByCYQ
P4W1bNlwdRMFSoJqJir1eNGqOerY4Xm7Li9osbEJzUlkMAJ4M2iGiQ4LYjd9Jn2gfwFfVF5M45ZC
OcBH3lF2MTljIxxFV6mM2tknueeyp816774iHBJ0G3KYc9oKHOE9v+r0Xg7aHHe+4odQHF2BWReW
Q7huM9JYm3iNW5lmOIyegQAHMK+pTlyEjR+y3AFaKdYBAX+K9PGxckqBXwD9714Hfkecx5xnEXE+
5RPFKBzWpfb7P7sEi/OuKscp27cWO22EcSqjxToOCJhbI/3sU2ESB9s0KqoMai6+GtxKH0JoRiKG
fWzxIitZ5j/FjIZ9F4hOIaxjzruLlZ8se4fzzZcZju09Bm72n1PfDXdxhaSN2cwM8pCpjjEBo4qE
r4Tzzin3mjhkYmdMeO0658CdM0H/aTW19TTLTcqWO0rocNZpiTVbzvnHdiLMc2fruj6b7AwVPQf8
CWkf+kVQ0ej1i0KiGRR6UvfE8nDWTxZnS+GGP47odBboFDn10Kov0M51GHoUmahJB+x2B4WI0nif
I1SKEh3z5wlJ39Kg7HT+lFiG+Uy4srrn8JyiGI8lwv+RniCZNh5zNNkTiKnZ5g7tUw82vNqB097K
tcXKHq8x+LKZjkf7rJalqI7JYjG2y7y6QuBB9FCCpe45n2k7HDLtGSjd2jhTR/L5at7PoPIvmEPc
F4QlvrnHJLgEuwS6iAF8fjaLs7xeMGU6hrDP17VZgxPGh2tFMshaM8LpyI01HL+HvZi7rDwl8tIk
TRjM6Xrbs+B+SETOeQ7QOJYEjoYbdHyQKEEHhi166cYtoqbl0w57wKw5ekkMOWHCfpwIjnpC19d6
s4LXXyj7LihpRh9T/DbGSZOSk72rmQjm+4QYdhKIXFwHFra86drUAUqDLUTghVxB4pjAUxo21CWa
gwdSMxDVZ/HgnuBvsJpQLAGka2eIV2iZso+JOcN2gs4a/HJ3XBorv9OtRc9jnBaSwxexcv6pSxNW
x0p/wd/nk2e4+8xuKN/NvXK7yBw6tAp08+d+3wVTV5/WKE+IH3UlRjlJ+d3hdeUjsQ44fuR+Th1Q
MI418OdTN6s+U6NrjdDzLdQ4hK2kPkPTWu49b5z1GepfrY+ZYI3qKqsjFrUAMEuFMBcPqPolZQnl
vzZwKiaAPgn1I4r6U0EVKauoBQyi/DR1cwx0foq/GClqwd20kNga2vPkEbAdLOq8yZT13JWpBP+D
8+5ZZYC9d90ggyO6ANq4BdHv1QlZXvHdAPoQnm5u9jhbMcDsJ7kqibKxUAx12iAlDaXat5ElYZXh
KO0R9zeRMrNriCc6o05rgZfmlhEEqhpEnMUR9YOgN/yp7AxsJWXp1YQw0B3rwribm5s6t32yZ6aC
wrY0+7RAAFy596xkbOaG3vRuYAeRp6P8mB3VJtecrlpPNA8zgfJU0BMXdozZI9MO22LAjJ9ZQpFm
SXGb3LFEDXu36i13X1Jpvy7TePxo0we+t+MmrS6UMXukHBaUPHqTvHKa4A55d2wHh4G8l5nlHs+J
FvuUgvmHfEyIYuqNlaGDbaN5HqlIo2lGeYiscWX1PiZaKKKCMO1nRy/zKJBbxZw++TGeIcLEV5cJ
hi7PxB7OS6ZwoOVFAddUDU7EQBLVRCkc5kmLQCHK3am4d/t80EfI88hgnVqi0coFvaod9aSGzcA4
rytLtcl0X+o+kbuEhcLFm5pWHyTaeDKN0FBlZ/NQLfI3Ft53rmSwhAGNQLm1IAMUXe8BRTEBXVVg
I4gSU+9EkgLZUTbjX6dK4maTr83Nv9qZbxnM7xEFf13GR7EnEMOwe/9eYFeTaiIyy4JwD3hgCMix
HJPV2DfY7ELl9uJK2bo6pMpr9/EczwclZEBk5GDfvOkO/+SHvHOd//A73gn97FZMg2njGsy6DhcN
VYujZ22fpVehFA5YZlzU506FPdIBUfgbm/3PHvYmVvTpNts+XeTvnwJ2HG9xKtZ9HQTZfrBIdCEA
oPnXEf7/+rDfWcC/3ePbq7wjEXZkD5AkojMkX4k+c0C170Wix0OTjb9DFJjbL37bvWb4wIZ2AYZ5
Fpgr590dNcij02yxs6jCoYZua+aTZ8bE2HaWoQp50amzSnRNtXiJzXGOpgEdOybfSh4Lgjcv2zym
8g5u0EA4kxcncjWNr7qS1kvbFOx9DfZiCDKwa1BAZy76p6OfLTWcOjgAlu9tx+3vX0g+jlTZ84B8
QJN2uuNnzd7I6ML/etD98Nq3q8ClcGGrIU/gRP+dupT21ZS2vpFHrW3yeflEJ2aid3a/vsoPr52r
APz6BilyyI57N7SThdOepfw8Mka0YWkqgI9PMj+ZYzH/BlW0/eDv3jqXgmLApyw8MK7OVnN4I5dl
9wzJMSOJVYEo/oxas3qgvqsOKnfmiCqtcZYExOP98/uDUWHZFE6267+7v27lASeKp0jbhCQ+dBBM
97W3mw05/WZY/OxRupa0USabDsrgDZfx5v5QF5GyR/B3NK3WcN2mDVrz0ZfPdmGNv/lYfxwbqD74
ZDfyJTUf+93YIK8sW1rtF1E7rc0x6Ms/O3JffjPv/Pi+GA+SGACXDfg2Rr6/n95CEmrDHGcAessH
zZkN6oKdXkAk7y8FHoTLejXwav/6hf3s1t5e9d2txSShAdONcbTLcT2hv0CGbz+aJ7++yvaJfj8W
kc5sMQaWSTgAC9n39+bMC/YOag0RzYXshtYbhxq8lGFlt+a5TKlxbyoJ68ROhxgR+7+lRj9ZTH52
g4APEAOh9BNU876/9Lz2rWHMW2yL686RSwTNRTFwBP5/uApuBzuQfNQcML+/CvY79lmxk0WeOY4H
i3nxILfD5K+v8uMKLVmYmAkt7gMxyaahejvmG09UNafWnOwXdrKRIpPZYw9F42enMScPuE9pr9PX
2XKmO1EzQSsik+wFExBd1LZVv/lF26B8/2K5bYvaJYslte7vf9CYEBOtVmr3CKntY8Le9bZ20NWi
H3AF4edj8JuR9JOvBCZaIG0LNhr1+HdrWTrYtjF6E1Jpj+7WMEgTIIfR+CesgZzPgQJejF7fV7/5
OH+cbPA+UD72uKoLqXgbZW8mm8GAmSaJOIrgiHgHp87X0zgjMxDwCHaK3wymbxutd0/VZAYwzW2J
QMP7bnOAknzxAtoyUeNp94pTRICWvTfulUPQHEkzMaCSTKL/7RtzvpRbJiEjvzEielL5cegQx1Cr
io/fRt8/ctL8/9B1MLe4jjcf5g9umrus+a8vX//r7LX+mnXNW13jX3/178YDKkRX0AcFbo79gX31
vxsPtv3HN+g1I4pcHvoMfFh/e2pMgd8GJN3WeeAsjXv4TePB+gMqBeRXdnKBFNvf+5//47tNZ//u
f7/d8W+j9s04AzEJ/NGHWkWXjZn5PUNz0e2Ye4pAI0QoJGaSfhqhK1z/NW6+u+rbq7z7dugqkhzD
7g22sWSl3p7t22/HJZwhTkt7xfs9AD2zZbqrZJdFabL8Lgrl/Q1xKaZFi/uC9+UhNv/+UqVvurPJ
oSXEaJOeNwHSsxIr82/WzHdz0HZD/Lslexz6Rh7/+f4qWA6LyiPfKhySdLnuZpO877GknLuY1XXe
VtUHdOry5s0Q+8k69pOnSH+Ifc43RjtD4PuLEmBsAYa30Y0bZFGPsqPuAmPmVg5G+ZutsLnNL2/H
BTfINgdto+BibB3fvbF2dbs1wJESIn6ogzAryv4DlYEC3dGCTQAeBZ4CWbR0PvwKW7zv9NMlko4W
7FJW9MYuWfPqhrZS/IjOk9jiJigQkqzkcfeRqlzzdulTWe917yGBh6iD7hH6/Hz360cm361OvChm
ZVZjSLTk3PLf75+Z3Rh5jTh1po+M7J061bq4H2GVWcOHLimSO+mPNMfS3lF3RTE1NklYGF6OQJ6I
YAeTMr52Rbt+TnqkY5Fa6vJyHeJtK0HNtvvNoNqe6ffPnK06YwrImsvYdd69XwP+UiZkCyESP8UZ
mk9CdKe6eibbHBjG1ILPWFozhidAfOmvn9OPQ4sKn4C0GGzfqP+tO/lmcTMUCY2wheYQoc6LQi/5
YZBaXBeN1r/ZLvzkSuQebCEt7BWIZn93k0nvgBgKTCBFeCrQ8QkrRm+J9HS32svXX9/Vj3OBRUWd
GQ6Ancee6d1OIfHEXDVwekNvXsr90M1fWMGT3yAqv2UUvHttwTd+MwlcULJ/ONDRZLLyVY9hbGzt
sBGXT14lyFaTpTojYafZg1wpARPk9iWYy/KrQ3ko+vWdyh8nJDTpHE1gW2yGy/eYvmUdp6RRA3wL
H7EWxnURnzuG0ocVF9ShilFSIix391oiqAUXU5/ZhcCJNdmz9WKlPhJ01Lwnyq/hITUJhfsh7pyL
Qda4K379W3/yVrY50/m2JZe2/25rUzlpZTVQXsKGXvuOIG9+H7rfk39+FewCrLrgV+GgbuPwzYhO
ptGsU+SB4Yzebtc2ADEcVFq/ee4/Ti8UyrgRzjN43K1vu/U3VymgCHlDQGRJNrX1ZWn3MoL2RJxF
jzeq0nN8+PVdcVr6YZIgz0YwnDEUbDuLd9+PmAMPGlOHHFO1dKOtoMA1j7C2f7TIT82QDPQm4R0N
mMTQmgf1kOpSjTD8LKa/gobUk0W/W+9z7aafKHimAQ1fJZ5Xo+aYsNBsnMKCXs8jM4FxN8xB92Tq
NucvQF0/KQJtf130WMJGKOqgOmACLfFfLTLoQnC09BZYwMCTxYEobwo9Zw665L6lTbf4cH/GsX9g
edzIB20jnhTICVrs/pgRFF/6dzVSXIVHHQNlFU92usMav9wBuPIRnintPsy9UJu+KKUeTjYoRWTi
EO1jtSY2uvNxHNrjWE3TlmMeB+gTZD0+m7VAwpUvZX0uKGs6u6zwnCVSymRopzNHcfgFfvsRj2n/
CDqtxzCfa2gHvTvYxD1M9XppLZtHrbX4Y2ryKkAKBpA5CmJzcq4dBEMYO9ZePwXLItTe9Yz82a2b
UYYt+MzHoEwcE12hb9+Viyf/tCnfJ1FQadFH3RCsj0nZTRXu0BISyuLWS3fGqUrcSwNT6p6oJBWH
LfsJc4dqepSo0dWI+Cqr/NtixIPAE0z0l66wVqJeg0p6kV5HeVWnOT3jIG2HZwq2mNEKhBLdeeeO
Rn/oLJ02F0mydMg/5kHkpw3K7QYsm12V2YcmVsIAQGcBo6TlpWjkMfsdDRTTAuSAg0M2jzGFhvQg
5BkUIMF5np7T6VCXKO+E7JbLwEYUfIgHj8NKpiDl7Z2cUsN+hBz8OfW8RYRG2S4TEuKxyMmDnyiI
jWjWYdc0aX3L5+11V3IJNBhAqzBmvAHusgyvNobi+ibHDIgyJbN15+CGtdUmRFeze14MiAQu3E4B
rdOjMYXttKnAXIIM1S4G8FXuacv3tF4yChahR+Rbjg04o0/ZIyz44IgVHvqaNV4QIXdAIb7Qusqx
jDnpJ5Yvic9PjHSB+zEGfx0TaKX3E3LXpyJ2+dZG/M2vHfyJT0PhAP3CIMwnOaWT94hAZJUXulvS
T/1M6u/Y5+W9S7v0vlkVdswUC/UXdsoYGuJuaMTelKmPE3sNeKbliEJ+ThP6bZxBoV1ZqxYXaJRM
/jERjXigW+iMXk8f8GCIGoi8F3eMTQJH3YC2KR8GmBFVYsNZnOCmhco07NcVTeGxTnp/vw4QPmPf
z66Qhzcf/bVdvphVTpR70S3La6VstIZ+URhGONYd9LIVx88jOkf5pEwSgCPEiVm1R7BdzmECGTKP
5tnpzmZBhPgVKR3WWTOKkcjaxSZVPl0KDrg6SYtbOycoGNaRld9yoFUO4sNZqYvtjTWHJUuEcbU4
ZZGd+d5UZbRvrKFGd7RgasJngT03j4Pqum3c1Q+Z6TYsBonsDOCS7jhdaxG/GotlfaiEBfGpJd1t
CE0Y53CoUBkFIV2e5nrmmxh3bA31vmlBil4l7PfKMMhAl4WNC/8D7JEqjrYuh8+QWhSMILLj153m
07/BLkA3wgti71oVJuCdpPQqceIDg5lCncTBfKPICnuE9oS9ePYIuTqrxqQ9ITMTD3g1T5JMcvpg
1wgKmd7cYbDWw7wkzRyW8+zd+12eq/MBlYi7ozmiLfTDpooj3pLd72F3uOfA7zkeyFqMD2jXIb1M
/sT21gOOX9Lc9jA4qKJ2o8noKlqJScKgrtq821fU3h6Zovs57GfqjHro21fTGvoG4Iqp7xd7aaEc
2Uv5KLXiKQGRRn6O1736lHLfn4XuGrz5ad98VhTiVNRyBoO6BJcLlahbvtjLDLoxxfwEBaFA9QIm
p2DhDDTQWMzEKxocCfQSKEFfA3PIvSm50p6uUWa0uXdnILn9nEGlaQ8uwrGAnLoOnQi2bI/sAiVx
vScAGG/w5Bv+ccLr/6DGLkCvtY5OHtlsPP2dYztAXajdYQanA0zKdU11pUHo97zE88RC5g9F8Jsd
74/7HdDQ1OukZbKcU63+fidiLqIvV5PWo7vCXc1pTJ7G8zD/5io/Hh6g/ppbYdVCzshZ/vurNEyS
qckLDD0URJEQfXBammZ+QlHC2Ptki2+GNEisMYSZf136H1WFLrPPHfu1P4f/tjpUqi3bJvLfhecf
a0JN/eV//686ozr9lUbpsGzRwFu9+9vf+6sg5AR/UHBh+8vbCmjYb1lrfylRXfcPvgw8rrQY6NXg
g/1PQcijjISdlaPM34Wk/xSEpPUH/9/mgnUkMlQyhP9JQYgBsx2L3hxoyKSj5YnR3qVWAj39/VnC
H0bIThbJnYOavpSt35yuydDtp8zKqTh4s0S6juX/xF3bcxu0174aQSs7DsqgmgTSZ8CH40Uzagjl
pTeP4WqnEIDr1DnjjEHi+Ky+4GDRHPgNwt3n6liAiiynOT1P27w6LrF+ddbkalM1Dd5j2yPDrsYb
1wUmVuXHwMBHg49KTcu+nyfABsGTWKW3Y9F/6pf8wmnTzwRmad/Yp6t1YzftiR6cW6vU+y71Q1/j
plmv5GR+zPxsT7T2URX+2eq3n4fFOoNld4n1fYdfjVWgvzHnGcGB9oC3YKrlkLqSgpifYfmLOvsT
0vVjjinGqX2oKaQ9DW1/zNd6P8g1zPL4NDOx0Q2mG7zizRj3Xm0QFA/LVavPZrI+5n3nRWlqfjRM
R56qYX1aEeAesk4tx3Y8jk0D9jQZI3+0u1OPGfM4Iu0SvXcxp90ZXJP7WVk3FZznpSrNexLDwXx6
y0Mv89BidncTfsJ0WTBXu+m4N6wrx9YUr53Tzqwi3bZR635YKswISzYaF3jAImU3x0GfMCmGdVHf
WmP8TKoFMJFso3vgydTjh2ry+jCPuyVC/7vzJUzLiSMoGODTEsUIOxksGuwZPR0kp3XNECgeqXI+
Q0KcoevJ2wBOyQtOoI0jt+DudC4WD7ofvZUct0g6fc4m5zU1ITKqxHmVW1LA7Mzs9jkUHRWqLOr+
9DD9oZwObarqu6XJ7tzk4LinOcxdzEvNWRKnFajyyu0uWqua7oLRsh5QR0P4ALv5lPQWqtsF0N9i
LIfATaCWQRcKcf/IHcMyfm5lfB6Dkz0dXSs7d3r7A7KEj/Rupytob9mpn3qkN9YDW9dSPWC+CP2R
Pw0Kq4/cVRQHBNr71LCuO2c+6SgLOP1yYU4zOcYxq3LQxOVVMaTlTub5aYFSd2+38mUd6j9bAz3d
gDBtZy7FB87xV02coZ70u5HYd2NtHnxzDmkYP04eoVUYOip0Z/4Iq7s6LXGlHEyjtS+ThXW0rXao
1S4HPwvxSOwEBI9QTiTKjpMXKpwPWLePHKIiqf2Tfrow6jTS1jQBhu2HG7covjZT+dT4GOlsQOWR
4w9XC6TCtp2PwhgPnvUZE9jO8WLiwPpLy2z6YzcljMPJPsF8c+8s/mtfDd1dPbBxHb6u0/jcLaax
s9LstO3VsfetcdcT4hQi6DGa12aOH0U2JF9WN3GvUht3FzhR/zKxG4EqcIIdArst1ycVw7R5CEbw
4M78xcFgF5tbSvlH0Vb36JL5UWGpTXLKgviJv7BDU91QG1HDDlgeuiL2AABn7EPBABid+AGZGMlm
uGiIYo7b4BIaOxJfQyNKrffmeLoieZoYLrvacYFo259Wv7ifnAwMHVaXuAs+utVR8DuEc6uEPx3X
hmAZ6mH0wAcFLE17l4sBCAidURFSCGEzo3uop61b3VWr+8JEGroIpOL4pUj0ISUvLynlaRx/BkwJ
InSgeCohflNPcob2YM/JAe33XkBkxhp9YiFNQrNZRPWQnE7xtZw+5t1hGEd5EGV70eeMKJUHX3oA
9fF0FpfTxZCNYvO379IC/o3zqTLqK9xIR92VxwxiTNXHR5Hrg5Hq46TEWS/VMWhguaD1zJLrcrQj
TKq3mQe7B2X5GUaK00qb630zqst6fgXgdFEt45UMmo9zad6iOj3zsizq8+K8njhAxjk6WODa6E2c
DM9RdofRi1nCM/qTys28SFjwpNKpPBSV+5A2LdAZib3QU9d+W99XeXAmfFT1jgi31IZxUDdNXyeh
Zep9UXonuZc+xigQw3HJv2YDhswudU+pGX8wE/9+zvKwCNz2MlDABGu81mFCFSJ0NBYpjwPRrqLV
eJJ65e1QuTddJY6IKQARFfm1VdoXeBSPnf0EgTGURv+azNNROeuVXs2HpAEjyZOm9jI/eMZGlx37
O4E7aRfI8ZPu0RUnwZ9zH59XxXpV2vkdgm1IO9A0o2Dw5DE3zuT2C0r8ubkuqZZ25jEvrRyjQfZV
DOnVJCEuml4v4McQrZ26WDJ87B9pFsm6fRidCXNjtajqiLPgHMwiA278tC5quBx1dQMaYYmIREGn
Uf8f9s4jS3KkvbJb6Q2gDrSYOlyL0HqCk5ERCa0MwgzYTi+lN9YXXn+R9ScPySan7FlWZXp4hAdg
MHvfe/fZr1Wa73W3fsYWVW/ALsJm0I+xkd87fbqzBkjsJScZUmYHS4i7aRoOQmabiGjUqL4DmaWr
0ieYnmbnvvRZA4iJkR1beNBHN+FuJFJ1ou3pNs0knv8kwz0oLeSTilsuuR86qDz23ISpqX9XHWhy
p3UuldY4e2NynhIC+EPu3AYacFivztY0Y1krrJrH1NOOfRBEISZDZJLmxPH/Zc6SrTF5h9otNu0M
tqdyCJd7+ymwQUpSPXBKdFZnrUnV2TccjIu9/WZFjXPvix4GRdDCHS25T+dtGatNkWL7FMkD9v72
xpxI3scQ7GtGrbquPs24exmr6G6K8o+cq9kavzGOhTjpmBYP08XslhBn2tzoMu5XJBNgBghyv5Nn
G3t+sJJkP0azLk2+O1O+F94sbsyy9XaESI4UQa98MAiHuCiCl8E3D0Qjn+j3Sbce1dmX0qQZeMRJ
zXrm6cVG9uKlgZWs2Iai1JgX+KZb2aOUmCBbd3bVevgt4kNTgxgXzfDaYmjgilmieEnpBQ9ZHV3a
WHe2bcOHqHLf33K565vR4xFS2z+5W+a1VhQ3SCE3ZE/dQ+TxayyLYk2rcncgzB28pp73oyPiV2Hm
D3NtUS+sx3LIL7ob1D8o9fAvjpYQdCjLnbL0tdAtBHQi2SwF8dYl6b9KrGGhrvnlWXo+pt7a+DXE
9ros9GrjC9GBVbFO2pw/wqwLLc5vt2bVPvUYSvaq8KZV7w+jCcMAIzehFKO8CCCBogIWNg5IJXF2
GjNKKXTbCM5xLvyNXhcQ3wwNS/oiYIdiMqxjqp4J+0S35IF/pNqQraGKw+t3ernt4iQ7xU7tb2x0
MtALkcUFw19oqKrEQdrlSwp/VztTdawh36DZKtgfMa/Ahbd8Ll2zgTPIn0SvyJ9r8ikfHKh7YpTb
HG76fdeOcFNhH7/ZUNn+/Me1P1TH2FXVkfyxv/ODITjnjbHQIxhLved+XrEjYUR4hZTkefBlufFG
RSmbXyRaxAi72OkxIK/r2/oD36Mf8SnA4OeVouwPU4cndoARL2FZ4NddvpqEEfrUwqUZVoaRepcx
TduQVeQ+yHX0vfIYg2V1Yq+5wQy/79WdiLAxJ2AaAKJid8usk0VcBXyB7R4teEu02zLCLNMGa7ch
7oRWPlNE8KJJuIPlkIl1KXSxgy1FgnquP3QT159UK7y4XIdTvJN+/aC31oGcsr7WRSq3Plb+sBzE
o+bmt77WHIn87VAtuDWCFvh00940QQZ7VqAAOls1w46Zg/y9k82DZjsj+XdDnvIySrc5fLl9tVQg
ZLX5ONvWfQFeduNp6jHTsxsvaW79Mr7HWn8mn6DWwVAxcVHdzC4owLcFWPGnXnrDnjPbhxcpbx1U
WXAymaigiMMn99zoO/UlfMhMXfD8kNiIy+ERyX/cFmw0d+WY1AfiMeA65qJ8hBH7yZVU8kDK67WU
qbMeIKazo4r7S20iHjXGBHmgERhhnG0VqHaN82dZd2N2BtQNkRHJuFowsc1jku7wf+/mODpOAMzX
OGa8jWqdfu2ko3lW0MDX9WDCou0hw/sfXmZ/ZhXPeOUxW6+G+sufk/JLxJTI6FYX3aA/4gSe0vnG
bwcZlkHEb8Kx9nnSxmFnJM06KaeQGxDxlDLBUJd2cEMLiWLXAEmA1VHeNm6Vheh7YLBjWmuwqJfB
ui5j79wp81LEhr1PmencUWfkbTUCH9s/b9l2Kh7ykmcOUAh6eXq/2MV1z/9zucljONN7MQzcHlaz
3O+Ca7kBUAjLMmDfDcV3E5tuZ627mXvXzuzoFswiVE5/Xl4Okf2yiEcXc57MYhOBH53YrQb+jT0K
MiS0/H5fV4jcaJf7VesO+Sx5t65IqjVDab4ZFL5NbSc56jpwqCcbvElOaqBOXqWhWFskWRNfk9zk
szbvO9G1j4jh9nPeBmTo88pOT56y7WfKDJqjqjy1r8ZC57N1GljffEXLKdtjXyfJgywmOOczlM7O
8wiM6Gy1RWjLMbqFm5y82p3kho7bNnnlOhVvUi/Zwvy5lOWSzIndsVrFuQU0XJ/ZieAG1/fX5Yq8
IJ/Kn98iSkazYX4n3vI67Q9ZIOKvGJo6PG3wLhtESnYCxcxsqjMtJiodwv/z4PVasy7TgZQFE5Yj
DgD7WU9ZZ9HuFslUliVo8j8Xw6ZTn7L1LIo9gmKXm5SrQUWdknvG2A1ch1g90SvPn6J0jHbXVdQW
rFB+MfL1ctnw7/98ld6ywtZt1Kas1hnkRKqitFOc9/ycDl8md3te0cBf5MflKCW45PndVI9VmdZs
x2v9fYTQv5MNrSo4wR0L6iPgfU4EVAdtqV+qaK0vLTPkKUZZ5ohVv94KSJRrzzNls++6fDzxnF76
swbLRLKv7Z1X1QHc0brxONOzdkHf9u9chh8EY8tE2yih2iTM+JxOlgyI3liDRvAumudHJ+2hLROM
z/CHRt2+od/OWHkxVEeYrPrHTPD+OI2WtoFqMxz12VKbzPKIyjaUad3X9lJIM0JCfXOaRXeFKV0j
pOu1fHN1qb14CVAIMaUa63otl0P97HkHYWnp7ZARat00rdW/d8TxCQdVvTpi+Zwhjcqs2jOO8oaH
gOHdtCul5j61EHnWMf9sbfSwaCiWsYJvj4Hap9FPwXEw6yQEz/OOoDHfpeMo113HmSBkFqZesSLA
K8jQf2XCAD1kWJHsRJ3Fhyg2bfqrUt069aXhX5oy80jSZabhbPxl1glGODoAXWg0uPV+dh5sUwBG
b03tUPW2teBQhLMrh6F4objeCE0nGS5G1/jHOImjXWcyN1vbhEFa9nkaJ3pjef7oOanjYnD2gAXU
s5E1weecxey/Ic0ETCcWH0ufDwFzhJGxD5N3g1oEKSi0iQr1GA1m8zJCEmVAYSrkrwUKnMVZXK3N
oUzCBs82Z/5KOw4QhZ2FexTfzM48H2uUp+OsdP+Oa266TCryiT9jT6L1ovRmTr46wbSs0xE+0lR/
GerWwQcwDPJYQe9i6paJ6N4eQGDF44hqRZ8xHBICiAyHp6D9cm3VXLyR2iJvsIhPN6aRXQxiRQZH
5LKCaobmQdJssrRn/jOGB1xYbxAZRLe2QOd8ESRjYot/0n/Ni8B94vJ0L61Xg2UBH7kD7+rRTJG1
R6kb0+NAP8RSgjFS8Ybt/jUyQZJryRh8LeIk2mBrYQ/RCyNJtzXoi9CZo+ST5gGOGzDNWntti6J5
aqy0FEcoa9pl8FNaAVOj6z4jVeXnqSCwOyIobLShqz9Hi9/kTJbrUihH+ls6iFvrc7QjTg+sZqE1
C/OAB9zbzsoNtnT71JfJkt63d60+oZ6DMXfF76CSJLqyIVehrfvBQ8RQYd+pOLiVYLdYM+3saNkY
KjAkRzhzSUCvTBxhYiWlRzDUjUkk4akSe44G3cqWbnGDLLgyXV5spenZKeIfI1/rzMXl7oM8YlSV
9sGOOgWqEubcrc9E6vswdklyWKnFRogSmZBC6fRUa0qEjk4/UFRwIpobX546gy24bvQwZE2z3E+6
9A9l++pkwfDGRy/CStTFpXQ9ZjIzsOY1q7y2GfzCO6ZoUHtoLp+mxl6n6aHoKGMsD7IkKtsnyrsn
9Gm3q1a3+zUPseYcJWBBhKzlJmH+RL10BQW0jNTjTB8L5/FInfA+lc8dbehrgzDpg5SQsYaS9ZqD
KlCfOohQCGJHv496fzwTg5vobIs/ZVbkd3pKNc3KidiIjLNV3KSJzUGgMzU/jCIgfjmJXzsUItbX
BB0VGXFUhN6cIp5QprZ2cqntC6wOG13P1L41ZXfrkO5bz141f7VCmHsjiOXRcWxz67uDtu7MQLuk
FBP9guhM431J9pIbpJGvtAcDIkWUdpssA3OwiJ6NNcU/fPDHl5KatAcR6QGZft8gHp2X4kAFz3jS
6fXbsyD0FqjHwTqNM5nQnemyVGNXtOlw67yiDDEgpnfkycpm13da8pnlfnqyYUMP6yoZeQ5bDQIP
M0mPkFRRjN9zPye32LQprMujLL9eibY6spZYexhS9kNgwlqqDJ+kqmc1wdqgPPFJ8/VsXIlA1RTP
lT6klj7wD/lggzeoisp56XrP/uaYaKaHnBDlrjGteqPwGh8LsyNJF2SjrbYCKyFKmdno30OQcDRm
dZ7qbc9qa61IVaoPMEH5j9qTI4tcyQckJp5nq3bUxkejrtVlbB3zyMxdex5rRgoDCLgHG2YXqlLp
ou/kKotuxj5qbyQh+o0Jh26n5+2YbPCWdtirwCDTIyYj9TElo3yPaWt6BCaFVM99+BgYmNpWULis
l8SZ6pyvpzvrSRQjghsTdHYgNPJty6AdzqAq/I0CKyhCq+A7QLdJrbuO6K/PhnOqAUE4wJ2BZMVw
ZuPsnno93BWZ4VMZOFF0f5b+7D+NJH0+rJIPssgxepiG19wSxaVHuy0eaQ4yTlVCF1YaSBh2js/w
t4F1C8+R0rkIbhYgyEDF1EM4uHgkehthuGSkDQTUzjYZ6KSASAk5QhR6TFQY7s+tsqS6zzSdALeW
q/ixTqL8KZr68UuxLgNIiFTGGHcKIDwbtYb6Njd59cZCwjcy8zSBKAa+dEsOvPBXFBqWI4zDXH1S
O1GgpA2VH6o50A/uXBy5W5tkowU1RUJ0LpEFbodG/2IjLvZ227Tbpkhtf8O0KcWmTtj4Pu4i2hKl
EZkvsM6Syzh62poobHI0gkbfw+E96IMD7axoVLWDTGRvucgMrGrmDBIf8sCdYnK2a0Qf3xmclFIk
g8rmDnSGz7QwnQNbbstkik5tGUETtBrbq9UW+V58Dlofn+cs8r+TOskhPEydc4tgwrNzFKlxw+FX
IGuOPn6adHCZBFQZKnGY21V6UhLzC6zggrw24Hg4HTw0m+CUsiuAyUUN1kMssCZtG5tuWkAnzrrM
MrnJk1p7qG1i73pPNeIMsPLkQOZeSXKMTNCfWL/ue4pmV5qLhp46M75PzVpP2UTmMHXjr7Irnidz
WpMo1i8MG9p17mniMtjCepcMM3ZlgYFuoGJmBXzhQXbJQWvaDYPs6LhM2SmqW2lmcj/r07bU5nUF
21cqAMl1cosIguaTRxtmeptS5AQaIDZGrv2a1O1u1sGGdSh6sJa2tG+9N5F3Eg3GjYk7dgeU3Q+x
2C3ylrDxBqDYZXBIChdZycznXe7o2NGqGou3gFYq4sDdArfpbpy+njZBFdiMKvr0Vfhl+2E0oNml
33eXjjopCGT4h1eRJez9rLlZHLrGqP+in7a54apllbIpeRixwjybYBKPg7ZYjI3EG+6FNVaPPsCw
TVsBlslnurJqe37CEHXymGjAjhg5hmEWhWIibfrRo7c59QFCxJoCnDl4DMrnzOQgmOUXzvPsWysP
2mOpCx4solgnlkeSBtLDfa/TH0D1wnhMR4qXA0ii/S4RVfug1cbwxfi3RktnTqISKXa1bfpMGoCH
chy0TphCp0tjxd0NJM0RJJ8/eo9idIdTnngzO00Y8R4Jt23Xmkao2HOGLiVdR+ByxW6ym3Qb2LP7
qdF/EUIZLmDAmg6oOT07ghRhn93pAfvf3H217MTcYL2bD0WVuGAxzKhalS3O8c7JjBu70fBYmE2z
KWXg76fJ7Z+1SFnbAWD+z1KV/aVsp+BWmX2OJJMnTx6nu29dWcigmLa6S9EY+qa3ZXakKdg5k2YE
nYWyp3YFkO933ahSCggcjs3ThC0xAW25ycjxrOHY5O8YO4ptTKLlDiYEsiCgjI2RxvndWMvop7J6
7Y55mbWppRncZ6K37nLmowxOrGZfRBAEZneRRdw+P0ap/V4DCNiBxQQnrGTyncXCv4VnPD1YTseF
RGsCIBQitj9an09OAXA41JIJDslY8bjUH+APzPmG6l7Aq5yai994mA3p+VoPrGdnLbmKUPYwrQnI
L+F8Bn+1HojbgqEb9/4sIeDr9jSHEIHneg2rsAmzqqG3LEkq45Do07wFJZefvbyNWVCWYQCp23Ux
p80GPuP8mUEMPGRAeC8B2tY+U612Sqlv3phupW9gu8nTNMfywPizw/HL7rW07Hnfw1f9gMFTs4yJ
6mGG6LgamkltWmgST/Bm2m3txzuO6NkpkdJnHhXQVlvEA9euiIBKWqOB33DgE6Fh1uu90CR7ecQ8
CIYK3W1L66b3PInZZ6qQUOtX2PFZ4eZfbIY5BcM8CQ+AW4Jq1cdW/KqmzH90NY2xsTOk9bamUfE2
bpL0JqNISK6SQJoHWpdr8d+wpPyPCCoFPGD+I1PK44+KIqCQNiCRVv/kTGFov7z0r6ASVT3Yx70A
DDtzkGvE+i9CmvWHj2NFX45dBF9xmf+rL8V0/gjIWLikKx1Td3QPW9K/ENKCP5ZEEbsn7Cw2Jmnz
v+JL+S03YANp450Nfwlo2+Dafk/ceFJ23UBzMwx2TqStHT257KH3s1WPP//2Cd396XT5e1rpN8PW
n2+FOccyeT/f/T0s3w8eAkEylmuDHzgcjdEJKaL4+u+8iWvw0QWkbMDT/5M/nZwHSNsa1k/iRByW
eFatKxnM/0kCHA/6P5t5+GFISLpYihwX7yjEnH9+Hw1xvmBbzmJVxTS70JLarZVWTDf1HDfexU5s
jgpNpcNataC1+LCOogWb09OzcNJ7UjurTkRy/kKJ0BlwdJpg0QhhFSnOrKW1nFUoUC6TO1OiU4XK
5qzvxRCxtjDKVUUONIXXrCEoqz0tfxq1m5S5UiThYmVZN05hfJtxbOENkeNXwaoxr+nzAV/culFm
haOCyLbS4pKqSFOxXd2DYkIUxQGp/UIMqC/1YBDFcSh4ZGRjZsO37aJho6xhrg2HwpGPyvV6fA7S
MZ8rv45ujCHHzltGmLTYzkYiDWevJJ1eUyYJs8wcsK5APopf7cGUDKcHyQHEzA29W7lDBZXCgLRQ
ICZ4COQkRftfbW5TpBH54KfDuR2rF8fMkF9M5Zo/e2I3R0ujeZBwiJn94OsvIqGBIh3imKB8qtFg
Dq8dx0zME91x1Y3uZWBPvMZzfgBgwseKrAU8n2kPLoAaIcBd0RWF74FunPlSxaPvcRSFe7ps1gEE
ErizmQbOVEilvsDXkWquQhHp2iAJOeh3dExaZOjuOYGTyksq1/lIYPRRFKqUuK96E823dSw+Zx2z
OGVDNBdd9LYULxEW9J4g8ZQ9KYyfn4wy4qUFXunz0mqPLYKnZ2NQ0OQocTJQ9MGd0rLLTssA4MpY
0s6+IyOOnqMFRGdRlYKoAGwDIhjPmQmikec3y7AyFg9qwdmh+2V3zpVx16du8ZLkfvthgiLTwbGJ
4rZKON+v48ZwX3LC0Zd5Aech3foG6I5qmDYRwvVt5EzBtG8W4J6VBu6nuFL42iuRz1ngfE5mGxfj
Suwbmrx7ChaM37gA/cAtwvZLGke80TQM8S+50v84QE17Tu2kMJjUiQ+nI4SGoxSX1iq4EgTjBSY4
XrmCvdmIZFdceYOMfS2ktwVDWMdE+hgGL3TC7koqdOfMgmmtAyYPHbHQDDPMcIfsyjicBMPileEI
TEM+jTqAvnsIr4ZZ1A0dDyZdfTN+5hhfvSx/dAtKcaw99wtia7SHgUh9qyhc7Q1/wEdt+AzL2gXJ
GHkc71dD7s6YiioX95t5JThOg+zuiyvX0UZ+hPYeYWTdTFf2I4maPg/dBQnpKqXfghlmxpyZc9+G
3ZUfSVeTeO/wljCaXwCTrqaAEWLMbgxKeKgMhyILjrIj3qA2g71QKilrb6INNCXolfmVZClKDZuv
dSVcugvsEkcD3MuppVNqJbWgQg4aJ+0wGw5sImBj5T1tlstvnVw21Kkri4cMB1we88roSQa9eE6u
5J7ySvHRzQzbjD4udB/JGK8PuYyg/vSAUSRn2oUG5HULGShfIEHtggsCcAQ5KF5On6hPC1FouNKF
lJdAGmqu1KHmSiDKswljvL2AiXBaGnjWrryi2FcNW60rx6i+Mo08e2rZJi2oIz1Zbv/8SkDiVvSf
Y7QHfZNeGUnTlHb9pqZ1S2MRFOxmtStTSSx4JedKWoLkHD+WC36pGWrvlmMPTCbmEXW/KYMq2U2z
2Sz98wvBybrSnBSMSdT1ojbfKDvDW091tq6tE/innICVH6eMqMsRuV+zACD6vf+QRBrfqdY5LiiC
Gp1Ccwf8J9pgvtA45O0IOmqM02dh/XBSDYadjcJ9EOSFxo3hKLibQKf0JwN/+dHXxnyk4ilPvro8
jd9N6Ncck1qF19+N2oyV1CqxXTFHWbqHFcUCYOAD87UoTESvbIZV1yaGeUMNO4ZTHNJBSrGXztEr
6DTvFzkRWO2VTKApNySjMKZmAiWtL6zkznZ1UINGMzYPyycCA5Dz/dkbTeON0BClEFFb0TdW0GJR
hggozQ1/DLq1E0vzSTGlf5FpNeARwQsJgc8bgzc5GP7HzFV8LpqmsVB+MbWvKREhtJFmU5tC0VHy
s2evL0MiKym/7bhgbdYEt84Kt1HxMyLlRcNdYXO8NQk4reGEsp93xwGuOP6Hpg772anvHOoBbph1
yHlTtGb85meu/l52YpIcKfUlkhC1zpHWqImGKJ/mz9VIFvRnN2pDu0GZnX6kvFUReoadv7aTkWmr
MYjLN6qUkNMLv4meQO1Nz2UDPk60crGJzEvNbaVpib3OXV1NHL0H/b6BNPlZBQ2YNIBDKCxRxZ1K
sTaiT66NJsrdYKHR6q51PydF9UTGqyAHYMTzezW23q3R9QDeU3Owt9TJpQdHd/MHXCL5wBjTaxfM
nCa2JSXgxmoGiGWvZqmZVRhbA/0ebu5GeASzEYsf27pHDdfKk5bhUMC03I+vEkT3D0iRJg33gz5/
F2ndtSujNJyWctKeUaWkVwWYxtSzPGe2LB9FkAGyde1yOk9tOdONMdmPPKsKa8Whqzk0DEJ4gaVz
lsHtW2YrYoDmG43WDiPIIune1djKF9sEb0tqzXeOnSOdC0BAgJ3CY7tFO2RJXrNgJKRWmS+MZwip
+lcjVT/uSwoWYrIZE0gNvdPvqjpiJqS1pf/gOpX2s3NRUukyz/GW+Vbb8DFlRXGuCwc9I+qHmDLY
wuH5ak7jwldRAzRHSLT9RYvd4jXI+TlVMKRnHCHidbbycTN3RPg4msdn2bX5raMKqwotHk+PFG7g
z1N8OvY6Vmo4LcdLojza6J4lT5WRGBmjvNrIg2cqkqzXlHGBvy1FaT6WRmea6xYHES6XVMiXLDOt
G0GeCnSrZ+bJCVv7QNtt0GCOrKiPS/Ax1tNLhkGC4zrkwrOg9gK0L1JsTo7Qqu+YuZTNSpl6jLGZ
BCRjSasS95GnR19TbXAjoyGnP3LLVadAjgPzmxQ0Jq1AWtGvUDBHF9N63mH7q0Tyy5zNRafX5vYz
mDpXI/Mu6mce29XHYORZtM310TgoEPIksO3YuTBQa2815WaPTmN6ePK8Qj/MJcLzqqWA/jGohXhp
MUi8sBXxH/GaUoA20/rcbvOgd38qYFSk6DovvrVcLBRruJT6kQesz1WBl40rqJyYhPE/0teK47oW
4nSWv2AMqLsgG1LIxfRbn32ql9juZm00rmVUmPI/yZz+m5MXHDgAJHQiAJ+z/N+xA4qMQCXIgzE9
0dr7QmN0wK5V7hL6RV//40OR9VueFuAJoEmyDC5pZiyY1pJy+VuetqJ5lEaOsl1ntWM9mU5ca6tG
16KP1tfg13QeyMyVi9ccUd22WzSwxpl+YXAMrE3uMFs1vF7vid/ihzpZgnYJnAVJigez0o2TUrJ+
onzT19f8Xs3vQYyzu/aRvg59ang35GOyX5AyunsabacPh/AehX3KoZ4YnE/wQw2W+jBS6VLG0Cj/
vi/N5MkV9vxZSRw6DMCw/2SS89Hq+rn8/4TN35IyFnB2ouD/fr7m8VvEafP993TNP17zDw3Dcv+w
iHpTy/RXguZfsjUUGJs2rKC/YO0LWusv2EoA5J2/InpPjN+3GYT8q4ZhGH+gNXDdG6Ri4DLo/6UW
ud+FhcBalBCo8SYMaXrGf+MRgCYK/JYnAq0oZbQKRP5OYfj73z6T/wfx4vf3+C1dbxMnzhx3IOia
kv+MoWxsGF1Hf+pr/y7Q5Uqnaf4WEsK3hHZhMKsFsWJjtfgtb+Z2SeTNEw3EAR5/g5ELnpZV7Fba
V1X75ccgGp1dfhmLd9tL3QUVLzuxKxCRCY3EoD9C4hmDtu/Hsqwv2WQm2rFzh/nN9AV+PUcU+S8e
f8b0QBsvTUIKvsODrEYLe3PeAjZ9z+Tsx4eY+mAUA7wv7VlSjApMOnAYV62I+LbGTkt99l+N3+oV
FiAnf/XaeFl1DVE6u8khj7uXic4Emu8F9i1ugZZzfKRhtgY9jSlTJI5V7A2LAMPKdT2C8LbV1iRo
jdkGN0vCkIW/avCtEkN9YtvT4IEQhtIZZHu1eRr57ECuuq3xpQOh9mmaptpeALS/z/RZcMzQmZWF
pWcMIpxiW3vFh0RH5iTnsd37iY/lgHqtfqRcBCdymOQTG5iB+DLId0LD/OyBnKfDiKv6rQ6olg3b
ir4xvYqzA7EIaLFpMAeXuhxcOPpGspwoGbkcRgiu+qq0OuvFaBq2mrMDTnlTjR3K10RI+ofbuRsW
6uk18YlkrJogTXFv1j+QrvonYyL2E3qtrh47KK3FLsu1pN6IamEA+BOb6g3QPpNBw8jdwMqtJTcO
b16EcqyLZ3vq6Rz0aTHaUU3oCPL5k7xJhjaWZ8vvSifUknRItlBbcp6fZU//DO10L/2UGgRFJzEs
lQa29apwL+aoCmn+iIMkeoksClHW1pSZkny3U5/HmNRa3hKmPVp9pL02ZVBwvXIUhb5o68FPi6g2
g4yyx83NOj7f23LOa0wMtsBR68CrCFFJrny8ySiQJ6zgsSu14Uc8GF4bGsqgvMkdRvsXKWui7gCE
eTxZvsTUgS6GOqLiTtsa3UDLTN+XfXJ2SCwwvK2Bjxui9++l47MVHY3UvUFTSpjY6RANTlE7oyWM
M6WPIXjc4Sd+UZpp/+vPlv8ZUjm18X9bS/9NfvPx//zv+n/d/aAV6++PGDO4vuwvmdz+g1XPorqU
TQrHJBee0L/K5IZOCBNkAIM8z9D5q78eMQapT5KUVgDFV+fFy77nX2Ry5w/LAPuzPBL+wQH7jd/1
H/G8WHJ+F3zRkn0HJd5iZSYx+hvxaLSt3KXYMFlXjFD9UHB6URvsA+43XkD/uZdW/mHTFSRDaAzV
ndHNOBRiyyD6jU2ONoGMnvtTMMbU6Swk5UvldclH3mQdfGMziC5+7FNqk0eMrglJMDXFHOzlw1p2
g/tiJ8S77jPLKLD22b5X3MVg4fVzi+96WOclyaVVRk/LB4J1fqvzZKEpqhnz5qU1iyT3wqCRxvAp
i0I/6Ug9J62EPrJCGiXvzs9Ft4mpLY1d82Ax9PNVPXykwkx0QpbB+K5nOoN76vfY58eyVXejKV13
FYs++3KXlvDz2IDphnqfBRpRCbj6awBS8iOjhqpaIeYJ+4wJhFV9jhWc8cH3pjeXwzoCQMAjj+qv
aKQFiEaAltOnkXP6TBiSr7O+tL7jRkxnn8pzQvheFjlEwtjws5uf9H5TYbDIAJ1nNKQhGKoGKo2G
EUGLI7aNA5T9c0r71EWWeDDwvyk6GCLXDFimdE7vWLjm9mcFgeWx77L0V79Y+xBEs9fc5gAaQu/o
tTDOdfsGs4e4MNPpGPDirlgNgDFP/dCSS5yjlAKA6Bpzn6+Rd3Jjxjsto+5NXC2ReM8gHe/aS1Ce
JCPnD98T0IOmhvNtCF0keJK4nIJd3LfB3dQVsBbwKPiE7LBKUWdV6hWeRDVrzXb2J+OnvqT3o0nW
w8ZKvPhGXOP9TT7NYuuLxX6qmtEoLsxIwAGUVzQAGzkwATFEm2bjI6Z95FeQQF9U81awSWuX5FT1
k0cm0IEAk8VPZyERjFcoAQNenpbtwipI26iGQbkQDEwiBnU4LlyDvIc40FxhBwTMeGRcEQh+pQjM
qoWMAOQBSIKz8BLwJoBOoE0McZK6J/zAbYoPfoVkZNOZq9vBL8+X6geSMhWtWqbrb4LSlVUxjEvd
p9075TazJLqw1fLb52A5+1C9jKZkjjFzHIarCdIrbnMHB1HUIZ7agM+fkIH0E/V6EdcXqVSevp7S
TTp1HGsIwdjQQTbQxsrxZsbWva7d2K6I8XEowdzDVCLWIu0sXYI+7GDy/CmlQo4uQ6Fp5QZ3e+fj
yrIyfZ3Hs3qQfCdPGmSMX/jEUF4VQatzbloyXewiaDh1Lz2B5lq7P0dD5QAXYul9+KKCvp9VFolW
Vr7mMSaX9WJoFVoebpeeGK3Q02idDXP1WtEfgL/KKIjL6ly6yRpdz7NZDLQuACY+Tee4DypEK6rc
n0fNzhbBokipqyPdPe5SN5fziicsznmEFlwasZ713CG+Pas1dZdFEDaTOx/5aPV1bcv4QiNdfTsg
az1Exs53bux6IDNcE2156F2PnteZFjIP7crBVwmujOJRmcqXMR9SaPtwo2bWmoj8Sm843YdHZYF3
9KbBuY+5lb5cWcDtpxwSII7nEO7YVjFZzZVZxcavph5xqQx2r20qW3NpHJyXTQ6mi/ZuTF1KxsGW
4paFHNHQuVZLUhS5+r/sndmSnEgWbb8IM8AZnNcAYsjIWTm/YFKmxDw4M3z9XYRum6mr+nZZv996
ylKpMiIIxzl+zt5r590+Hov5CTIHAmh6eu6bnk66SwKoByanFbH3XpF6Q5ZZrdtFSE1N1yrvpvEp
ZjvEbeMlBLHG0RK1QPPllqGBalJxBlbF45R3OJtYyPa416RIHpQUyxUBnU4ZQj2aqxANz2SSV+SU
1wQWrt0pKnCo0Vroi3mnN7F3m2mVWvwFG/YTSnW02V2BQjisjV58m/I8bvjKF/crWT0GbGadLY+o
fkoigBu2MSNptUNPXkQok5ksoEnbUjCSmrZO3cnCC2eSVEIrbWiFVfiqUvr74zCFS+VYP6ZkxOeG
iJ5UYZqnNXURIDR3Fw96HYdW3lXM2NzUvMMNxrqukiEFdSQQF1COtzg6Y8pnovOQr4HHwFSEOX4l
e8I3VryyDkEBRKQQ6vBTuEPsnOMuq4sgKjqCHHrcEWYY12XUXyPqVUmYW67xTmTDOodEetLqTGgn
iIOqYmgwNfr6j3VO9Wo36dTmvuVCiOIWX6ZvKJRHohKmSn9SqZ4ShiuI0TgWtI5qCuMk7kMk5GRg
UKgXBdyhAXVmlSUkvnA+Tc8IdogwqRl7xGHcoTP3LRGZ73g+NXW08T84pOQpKz7pQKqEPxGY+0Qe
FYsHAArmDsYljkUDeESxkcuR6++myLp9HCrzjzVfsYrEctgyWUpCSKyFP8dKMxC3gtq/PHapTTqL
Dk6BzBcJAGDHuDJqMLRsUSaEZ5K7KUbajlLEgxM4s/I+yA9FMjuQRj3RanEj/UDmRA+KMeu8axp2
sYURem7yEP5Y0+03aemMUG5FqEjDEbcGz4UlPRJakbBdYa4mAEZwYvFlx1uUdoXxZPCmej9ZC+uB
oRxvX675kmIaWXhmdUOHvaOuW24HHC689dps+DmS3kpGpCTb8FB6BD36RgGm+hpOJXq9kSPWN/Ih
S3/tBy5/1o9kKiFNJUWKMcSckrDdTD9z261uvbQkTFh01fxoslMiQ8XjaR68hJPMcc0AJPsxyejq
OClEc3fxWpGAMy1kTYJVaIYVVVjClU9UIbUjQK+24mEPcvIqzShtTsak1ekpmiLdgVqGtBTSs4a2
XE3MB31SvKvuNLQaF1LQ0/adKZ7KMBoM41dEH1n5TtnMGslUYxUfszQ1bEYX2jKG3RLrNTI5p37t
kpnp2aRV2rXeCVLJO7FSAMDgWWr6uinOpRwF7SstTdR5BDCzlhYYrDEKXniSezYACH405OYfTBWV
OsQ4ETYLerPEFDSVldzqgvCUM3ZiInd0bVvGwLbk+tAR31qcakOY7ZtdY08ccZw8TYlDoE3dEf95
yCH4nUR+eRM1t9KpLsADhO4lRUdHPW0GY4fdNVguSTuN0pk20zI2njHBkcXDCnS0fTNgS0SJv+X1
pLPlfLhk23/lw5bnM01lrg7ZsOX8kHLliH2sFeJdXpKAxBYKBHys2p5eJAVVvbalBm0BQqieIy9s
L7lCjGZ1FLZb3FAkU7Onsb2lEA2XRKKaVyAnRkfSGSCCVd80k/giUpfmH0RWXzKNFvbvFiRmHKyo
OBxfU1sGEmJC7rjsko2U45sA/nbJTIrnlb+vzVuWknvJVVq3iKUcuyyC/mxLXlovIUyGmH7SFxFr
SJYNNtRLXpOzRTcV5PXVtEm2RCcke0O/q0opXjOUDwCmnIKtLOpoXe/S37lQCxFREpImaVGX5Kj+
kiIVEcbGjtIRLuVyZGIT3SKn+k7UX57acqi0vrcepd6STpVXAxUizs/5V33Jr8I7UWJ4v+RaLW5c
/BQYDdABXJKvMjUlnzQm0MhUWU82VjEYiOQuiVkq3tKzQO51v1BjkqlFZhwDDWdL2hq30C1lzRn5
W2TA3G9SzZd13fK5VFMy6rXdyXhWlwQvvnE4bktl9fvlkvGlIW8hrGuL/oouKWDuxnDX+4GHlMO1
HcL0khlWI8LFQrY2DFqSLn7SUpd8sVlBWgrFsuWO9civxL7vtzyycYsmE1tImRuP3QfrOXlfmcDZ
fnbJM4vp29iBuuScjZ1muTu3SpOZcJ+K1pSaBnLRSmPLSCP3mFBkAuQoNOwtRQ1llvW9nHMMXNya
0de4stP60xa+tshaXMeXRDazwBZ3oHZSghpqS23rExx5xwmOzw3psUO1H7eIN/d32lu8Jb+JzgQB
qGeAB/GoTgYpu1tQnJaaeAmINTaD0lVrQq21pcrll4Q5zSztKhQ0K4h0olu+7DtAMFY4bOF07iWn
znLG6TObDeOmK9BS7nsX4T4HpS3fbmp4Xu5afSL3Lt8i8Jg5sxlakzU8tpeMvD8O+P+hWWr8tSPL
oQJmKnSuLRPFM/6qwkKYmCMcypIA0JxOsw+1MqS+UeY3osizj2RY1WvSWcWXsCMs3njFLeRO+sBQ
TGUl2Vj0c1ADo53MSuT5EIH++xv8D+/PNQ20WzZ4Xk4927zkj3mIWCzV2gjsGewk8Y3dCxXQefin
cKFN9/dvzVwuA2o3kFSYEPjH+svLwFdESCvHJPDmRZbnFroF4XL22KCLUDn27hW32LSduYFH9LP9
jOgaCQrYm+qpxgr/PWUGVf1uTP0/e8zbi/7ZYb68KVDEyKRtRmF/xVBpBefgOorBDrWfOGWyNWja
Zjn2VooaYS3/1yvNdItEoa0vT8Pf/mvbhG3GtbSoohhRfXzU22jhQQp3879/n3+htKHGAwVHtoeO
AYz+zNYj+vP7HIrUGUvM2n6cEmzqL9xud5mavRB9lsYDmR5EWTXVXphr/A/0cGP73f92PXltCTPW
4vWZhVyUgn+sJQ/2ZpRnpfDTZa7eShUJTESU/Ttuy02Exrjc3AlO9JKBL/GhEH7iyggnZqEJ68/S
3EMFrjP+RgSKca1wSH82fe58aSKKOLUSHNbujGmNXmnjZ2bw3y/c34aQvHluUaaD0kZdt+lM/7xw
yQpoLNIa019yi9M1rX8eCps9fVjb//2ltoGQ2HB9sB+2UdGfL9UUekIuEo7QKMFdhPhjDRChEz3p
qf8rU/5/LvH/8JXYDvAvlKZA4oT+l4FQljMWmIeJT4Vv85xAEz1o0YqeTHPjRyYjOHymIYOPOotr
sEfTPyyJv91hwPgdG2UueSUsSfcvsyJT87y+Rz5HvRpL2K494X1OCwtVx7UFB0x/+O9f4t92s43/
D6CQEAALivEFYv3HCmziGWca4jEyLPMLG2oMVZr0/3CP/f1T/fur/GWp5J7wNJULkLka8t2YoQb8
TKpbI/EexlH8U96R+bfNk08lmERKR2dqLYxt6f7xqexKRxqzRZCDj0tvQZ/aD82C239zdQLY2zGK
NucfhhPl0THJDePAduuVAezTnsxTZ+1eeV5yUOBQUqTHcq5Ayw0dvujjYqH13Bl9Y/Y+KxZQjmp7
44k82O5JT53oI/XoWvzDtvufviQmsbqO9tmUpBH9+8dJYI8JVA6az6TNeU/y9E3VXf74v64EC0KN
obPkUfvIv66Eol6KxJG65S+FKN49vaaBOlfNb/Xz/x+b/zk238JD/rj4fxtrPNWfeAA4A/451RC/
/69/TTVsCJKbCp1Wr7P9xBL/11SDJBKLGAgYSBC8eAizXP411bCZhSCEYCpOpLMAg8729q+pBlBK
oOt8u7ru0qMmy+R/Ef+bANVZdn88vRidsCD5Nbbj8uuwAPz7soxnUbr0mjkTXmg6Qm7dgHma9jZy
yD0K8vU0W/QvmDfKnPiJWYufWXn2Hcofcm+71gpdJsKHJs+6oKli/IXgliRHmTvdNeUVCUoekERN
OWe9wXGJYg1eY4kedE8PbnzT0enf1S3SFCMTDKztUftMPWP6blvFvm7s+8Ud9ROGoPqsYsN7nsv4
zYjc+cPOLfU0u1X0aBl9fVs1AwFl0KPe86Vp7znxB2VMOrKnVdcmAuvnPkvkPiK44GvEFAQdHejH
fo4rded1bseRwBbnbKQXrGtI/KaRXQGFPZ0t7Jmoir3BuCtcrzxOg5Pfi5mxqEPWit9ba72PBuCX
ZG05txEgiV3MPhXIom8fkorjcD8FvRg/MOJKRfOudoMG42Uoh5WgT6ZC0Ahw6+mccgsxxc+LZJTM
Md2rfbcsr5RbnpxiuatTSIHrXCyHCUoSTRDAzjONXF+6BKIGk5t55P5ma4mGFbpHmo3jKYuGOizm
cfThgjqEizqMW7vaAL0wRG7oRqlehkL0DlZFpxqKT9hKG+5oQ7vYTC28k4bV6G7FUbzYpJFQzF5l
1C0vfT5NZ3JOy7sxIgaAeG/vGBuASW1o8nmwjEu1b6Ss9nWFi1In0IR59JCrlj8th+/1AEUGqhY0
w8pCQov68yhdCVZjDjmlDBCTPo32R1KZO1Ni6rLy5WjH8bs1da+rsbp4DF6slUZUVB1U5ISKmE4r
+eWl+RW5z8hAjJ96XD4jyysZwaWnwhGn1KtOMdGjjtBuSjxVRj/fLjXlQF6eSYo/qzI5gunvbg3u
8cCsu+OcaBhirlJZEO0HtTGgERiUy7chTU3brxbtYSgQ+Xsz2ledEURaPeG+k7uiNTYsBGQbza3C
zkA5IKujG+VhmnmnvtVD5vO7gcbmbI7vLimrk5J7c3OrWQ+aHea982glr9HyAcSGoX80RnQ8e5/Y
AbF3ADjegmUNWYcHvYI5VNKiKxYihEWbY1B76BwHPpg37+3BPgyCyOUBodWSvhbDfLTzJuylusVo
8cL8CWTr9jts6BhFH/u6eTblL1LokcoCFnKXE3i7gxpq48AjZwwYtTyrhoY+nP2nOHevh2IhhNpS
zS8qD4DU2r21lGFhe8898moEILxzRkVhqjVHo9dvrOZnivF7XBVGXochispdj/4FEhGCZPSQXF7a
FCNA8AkujCh+4aDRPyC6MMfKci8gvw/DSfdK3nMopg1zph1LIAWj5+3dArtKvZq/li02N7ES37Kx
ksZf3LWvCWQRXfkKnERp3ay5+GnZ3WOsx89zbXi+VzG3tSrtjhRrJm5D9d0ADgjRq6J7N2ePyYbr
QPZ4F+nmTSS7ifMbZjwtlveRkQItp6neOdM9voiH2bbfh1m92kzfAJ5qmKOLb6lilTU9fvqqe9D7
4h10COszv6mXjilhddII6B3iTXRLd3839saPeOo+p7Z/GejZ0s8EWQmw8AfPk+9oHc/GYB5NyPcq
Uc+MzzBbx9lHVEHBYiYd9HjxWZHyYZBItQ1tP6XD3Tg4ftLH6r6eCW5SSbafQNVBFpc1yzPn/l47
/ez094nAz1x/zBUU0ja9xgwDUu1NzNIftmZvLNfvUcSW40ANHhi1WUnHAh2aoDNSXzW3iWcc18EK
OLB8jFO5fEcyuzc56Jr5cxOddbZBXR9+YYj9hdyek5np7WhTAUyJll+zalE8lw9OyjJY2/4cFYjX
55BhwQeooR+z8Hz6qfc8j1izyZmxmG9HOGws25dq69FoseYbvSp9uxEPKuo+GQl0kGir16Wc7mnV
72MBjRFkLrzCH2tdAHQz8kCk6qQirdwxUNgLhj9+Qe7Lao+/BlPeZav+gqL6VunJPUSDE/4mvLg5
EXlNJnbDyOlCn5L8lHXK8deBycDsmQGdX1iziBd81GNqC9iY/GTMnuO4ui/n+FiWJtZZo/9yquhp
1rsvt7bic5khHYBNFMC6wblaRafe4QDTn1PG5fS9sE7npQm/35lIScDAla4nu7rJWgxF03ADre7L
IySCP86uZ2VxkUugYQ2KXy+tgD9r8DwRAdymS/2Slog0rSg0iCLe4TdGpc6te2eWrAS9fuzATrDW
zdcZj/erjgHq19ygeF/BdjC5747Tlnaz1K1+2AZZvmKr91U+37LJfBppcZdHhvYwGlkIlAqBXmed
MXd5vgONTQAK4FFOM5Z7tbFyP++Kd7V+2S1tdkG++fDN0skaE8l11KpvcuNfjcZnxth+Xw3GcMQI
4BvxZ9YocHZDuvOI2LZw+bd4VI5CtVeKaTKEQSM+TnQHUQ0vNl3RLUN8wbHTW7QiULS1yAqQjweF
p+47ZjytURzpE+yTJPJzSnW3OulOsse25Uv08MV4P0JxyMB5TWZ859W08bD3Z6zfQnvroLMkeCdg
JjBv6XD1O30SNE53ZcK79thsGdUGSBmpHPQgTn5J/T6Fj0Vj+JCAlhEjLf3qk9nGO/7QDdfjT3N8
PThFMCXWa+0ptuIqqAHq4hH/QG7tz1QWO4O2B7Lc22hp9knnHg065RmCWW+0Tp2bhIsQZ9uAsKvh
mrHTfd+s+4SZdz2Ub7SxT0O3NP4kbhoggbocP7CBnBmQBAWybNq2AePEfYXaHovVtW3/yGpxr7d0
fifjONfuoa6Nh4SlIsSvwYvYWOKrBgxGZTyNA96cFbm9G3+UY0P092u3cut0673ZF3ctI6IdQS8h
/nvUwEzlrOmqY5LFAJwoSqOmDJMzAKZ0CFzsY6R1XOXAOueR6Zq2+aPreq8NCNtR6x07Ut2LwaKb
nKw10a524fOUGfyhSbYv/YknUmBTzSSFZ5y9yo0Oc5N+tWW33FmNu3cib7+ozr4yZ0/ukXt8Oinh
sMhHdo6ZMu8dnFOyQmd087tiYeyumy+WboSOTG6irmFHlDvldvCeDGfPlH03GKQjQECebqFJMjo+
r1X7q9UoduiwOMzql1Ldqo71766jEWCee1IGaNXJQMimrZ0XjBJ+bo6+ofAt4EwjR9ak4q83MUYj
rBsT8yEjPUTpfKhs40dX5+EIU2Zy3TBrIt5pfOek2vc0jcJq4BHvjfXZhjtO4/g2USNY5dbdF1aE
G1U81SOojq5ZQrWImxrqMHrLsGvXfSS8E6VdaGHS9Jw2dOVNWhCKSVVSzEmoa1ZOycygzIjeI8pa
o25AsTAErkDlIa089BbmxDeTNhiGOOYyGvBns087EAtJttMKy5cwF7PYClPrsRluqWb90S7OzmDt
ZH80nPHIAJmbDriWGNp9bhOrWMxxuHBewSh/1FoZlPlLj5DJautrsTKOkhAuRSb36QbZWeQYGDwo
j870VPZvDSB4/UEuL+BkjgjJdgpa75gULxqBLf2w+DhLZ6SDDG5MevvTvTEwai/1n9KSR5yLu5Gk
LdPID4nDeWh6T2bnsHrypWNjjuUv02iCuVAno7S1AEdykKRkqvKHKSW9NRW+No5PSiahzQLxACZY
kFjiYr7qMuawebo3VodNWOGByHpszEj2dxo2JXRMRvFUem+ZOiGEpC3iXEnIIFrshZ4TeuwEsC12
1PkIZyPm/blo/IviBBjD3mi1MEJbbFrGXlaNdaI1rrYv9EASQnoY+BcNI0C1nsfCDtbCLK+aXHZQ
T7/D3HxnGEVtHZUhhMZvFfv+1A67UTNh8CT35UD9Cyl6+ZbU8LncO9tLbjoDBK5Z7SEBHrgLTgn6
nM5up5MDCZKvPa5+Qj5xj3FRh7SBEHJkpwWlDOdsRGPRY9e/kHZDmop46VOoI0a7o7XCEuizp0ik
oT7x7aPbxfsXKJ40hxa7sTAG5C6W2V3nnrFbRH8AGalY/pLHah8/s7E8KF0/eE4CxlxTIQhIED5m
iOWF5BnIz53RdEGBH4Ti20NFYxMXlS7LkzSI05vWM9SpwyjQWg81pvk8jiHt6DDEdIizAjyHjvzF
jqpyvwK7QF0SpBNhj2si4be2r62imqnMq2wswjHRd12HvSe5FZCG/NSdKCbiR7rC9a2Ngg26Mzsg
cBzbfF1TNGeWdlt3C/cwAWPA/yaIhai0ucns0NZw8fVrvBsTIgfNmhreziQRpJmP12U3ZGdpc331
ENxyUCimzKV3qzZgRvJzdFJiXH4M2jt+LjC2WbWfE9Azjf3YCxzr8E67pQ7JE/qmUsqH9RGxCfit
70p/cuPqiDbmMeU8vKrqdsKV9q32zBLG0nREobNvEzxcPLzx4rhhW88nUCaMhON1+KnNPdsLKjb4
VGeIa+qq1owdeo78jnmvby/Re+7KE/kxgT5TcEIV6w1BLIXWFNA7Ab64VKtI/sJk0eormbTxlkWB
rpCNetkUWSaH2IAZaVf5Ti6zbN/ac2SFHC/c+AzK1AGEZszqR0EMlEUgBN1DO93SfMBQqq1cK1+W
CEVWj+TgFKf9z2iSkI3zPbin/FgqCcIpsliBiab318us3FOPNyYHlKJr1TExhiG+m9Fbdg/Sw2QZ
jFoDW7uZdAhMZSDceR9hOhrqzQbf8JQT9z3xPAjqQyUXislc+3RcSMNJy8fuac6jfJ/N5WY1JNFQ
xb7g0Q2wSrCQQpSSMCl1D37RwHJOIg4CWeaNOPlpS1abv44wjrbkr4+T80poZPvDoU0QmEqfAhH1
xdsK0uumFVGpvhNjlgCOrCIn3ztzct+jkmruykqhDVKTHmuYz6oU2EoFG5560HyhATJegRNc7jB9
skPOTf1UsjmeetmiGktKmhs11d+mGdF+EcOk30D4hcxPe+bnWgqDyI0Cxq1jswPpRQ/rGuD249yD
DbC5hiHN/G05IiuRq4MBsuNBsCBxA/Ndmte6Vv/ItcnZ27X72DDmPTojHxjarvW85LIKR4ayIbBN
CpLBifwsbcarNXbnYNU4wdI1L37UEoW5TDD/ca6vz+60dZbc0v34Lfqiwpye5tJzP4DmmQSIxvx7
p5c0TmQ6qm/b6epA/Kp3rW/SgRry51ni70MYbM4UEa6HR6FDnXedDzFNnwt8tc48g7AGoiZPUmjy
NucBeJt3kbzt+9S8RkJE1IH00jMgNnnjVdtFXtTJbJ0nTG71VdIMzrHD+/UsTY5kG5w6ryreEnez
fgQhRGLW5h1d1+mTVlf7qMcblDeGjN3pVfZ9Wqt/gbrR8R+ktqhvE5kplp+n23vq2/7UdQ5/sVX8
vo3BPVXZ6PndJtOqPTC4E4TTGMXNa2dAk9ZHQcm+vWTXKIKjxk7eJEUHXJ1Ur2NtQdPt7Byq8AQu
dtpeEyHY/CTXcriry7q7yfl2qQ7S5EHCdX5orLE7qr7OQTaNJ9m6X7rZ8HsnXQQTU4k7y1zlzSTK
IvZjb/uRyekVSTP8JCH6dR6w2g6Rw752iHAnRBUFVMob7VzwwnoE8Pv3JzXhAUbIcWhrWPOhU6Q6
2BuPvEnEOzQl1CVIcTG3DPzi7drWGzEYSwO3Vgn6u1YQzztyqCiomnsgjOgGG/tqgrBwsFKgxORL
gi53Og7Sk1gFBYpmULOur/ZQToem0fB9gFyeBKtILeVnZxQJeFUusJ5qeF0EaCSXAbI0vS/d44aI
a7c41BsGvYuhJ/ecLd+zSn+8LKbLG1j15TsJgx91ltIjbOcC9aDFBfe0lynijV/eXK1tHPQScvrl
AlmYpQ8XNnpHhSW9ks3BtTmR0zzMsdaE4GKiuyJy0mOP13NHvBmPduFQDLqzd91F0KClx2WAvkSY
hrxx0EzhB4bs1ZWDPFgjX0+ReR8C2U54eZt0yb+sMX6tgX6CeYWG8hu5nk3e9dTEr5c310ekHGBL
tR+55TgHWbz/Thftm7VAbiW2cd65BRELqQaRvt7w8dN2ZXqOWNv1m6R1JUVzX6mK+jn6ynPuFmvk
ukw4n3dyxP4Tx1AKmEt9WTlvJF54hVppL62RfMJMc328zuyJxM+FaDLRyym65Rk3POtJ+xJe9AJo
sgpcvZ32lGic3+gM4tLXXmpj69FKXkyvrHto81+RjAe8MLYM8CYVRwDVMEC2l7dS+yrvWU+XT3nB
PltEIRwR439H/Sr8Cwu/Kxxu8RlNrI+rqSeWjs+Ks5y3YkHsrnpuamSKwKbJQoQ6sF7l5vYBN4q0
xZZzeVftDOd+qIpbLVnUoVLcUJcLUnewAy+E+ssnrIm+vZPzBqx3R2JuuxHpa2oKMlFm7axZk7wh
849x59wC0J9q9guERg+X1TmpFQEb7dM39GjamSBFogFGXn9i4HwTo2/6/VWD8kahPxAUWOkLCR+5
y95zuaPilh3n94iiXPgNSQeGGjlNwcFf+8aRiU5E1m1SL9RRG/wAZ1zaSvbhLXtAtfyXOOeTyXlp
3woNZO6QfjitSTfdrqJ9OsTiiVAl+xghtn3q9Ynk9tQwrjLP0oIMO8H1jHL8zbMytrbhuLXZe/Sg
XEqE8FaqZej2PecBfIXm95O6k+ajhx7YKup9p+LHMVec6pGtRQNpSz2V335JOtpUif0rU5W/isY9
Lav46ZTi3LhIx/vuJyZ1I9QkmSEdiZlGIuz90CAta8bhFK38z4t+01oTXPqywobQaC/og0kqnZer
Hh7w0TF4oimX0NO6KO4HFHR3DT947fSTTKP3oUqqg6O67+hqrweqXkLFj9bQfDhDfC9Z+3gOcs7Q
X0X04NFoyyZtjzvudRDWTyYMmL+67+xg96IuHES79ieAuHMeg4FGAGGa091GoJH9XJ04c4pjq48D
evr+nRxE+rTKrtmOFdZ/j1Kxehji/gHU66cbTWaoNXrs2+QaAeQjBkOYvrvY9GaN13mov7VWtaKp
JjVI32Ohe6gkkZ2TeE4c52QP8tWC5NtawnuYRzpVcVO1o6/N9JfiaMBsKKYvBTwc1bm5K3lg0bVp
LOyWy0uboOWP8WC0NpIEYzFfWs9lngVZYOW2Kz3oep354lXiJ8i64+SBguzMx3Sy9poAYe94O69x
dm473xY6atl8Y3A7BsjOSoHIqzL1DCKVCbBxmyRZaJNlLHvYH611ojj70Ao9TBgdkPErz7VtPNqA
E4g3MKD6bXi/2Vr8dkhexmZ5m+OagCAwD9S6FMhtroKUvtjOYbNK7RRrI+MMPUffFut8I1NBYMdc
9aFMyWsYVA563oE6RRTCS9s1b5NCQDmsYxY2mlfs3RIdKpJezBDsUoE3SY7IZMNECx6Fhj62348i
xrg+L9+64cOIZGCjrg7MiFwhtIjMITBRXJH2lZ+MJDOOeBwNjHnF/FxQcH+MQ5SdtFUMwJl4ey0q
rwOfvgAw0ZsUlpLO/ijHOx31IRK2cQ3hjBiHcuXkMC9rfvBqgVmo0h5aCOJzYRFdN+KqZCRZBEi2
rSdcR19MfIorIwJ94SS9uR/ZKfYg0NKzuQ6AHSqtex0NNQR08dv72o7aYMw0a3sBcZicLv+VQ9Rm
15SSc1SrlQejsfNbV4z5G6B49ypjjAQINPH2jsPxrmuQVtcQqK9iFjYkqtFxT51tJHtXd8ULgoku
mFrq1nSSGaePGartoA9m2DoVZDB7selYRYW46iot38dTyZdhx8bHbEH4s9jr8E4WSgVYnNQn22rr
y1EvTpBv0SoUWGQ+anvLUHCaMj7bMdFXACfSEragwyYa8QXttI1oDlmmuemHlPHhsrgvGEUi0m9h
aBRiFAF8B/zNsuHeLRBO7gilxl5pGiC1m5gCDv9mAmzFND7IHnJRzY506Na5pWES1XedPQjSUlcP
kLen+14PnmWwGmCGQ1FSyTfl90Yi1uBc4mFEw0nMsdx8w0c8f5kM5EnPmXNf9iWugW1oDUhixs4x
DS4LEjISUsGKShR+GjL01VhoNlhuFiCNGfEaEBRIZAzZa4CtqdFSnsDXUexFbzkjlO+XHAnAB/Bp
8sL0ri3MAccJDMMN8rUCmU6DvrZZcd/Wq9d8SWOqDiDfwcFuJe80WRTDVeMBmfHshmyT3qHArRGa
bsJXIgzHhdyT4HfZapjpGUE5WRabgYJcZXTVK8rV44zBdQ23r8CvNR6ZNLYZ9zAA7fftWEQ32cDH
3s3ZMH/FhsnenHfmbR7zRQewX2BSW/YkgMP0q+HLtCdnYt5KUllQpP0utBWlPuHpyPH1fEANHlfU
+LGNqrpVaXxb53wHBYxvVk/lfEB478B4av0zhursGmNXdLM4hf2ol0l5xLztBCkwaNDBpr0e8R0l
zBbNzDgAxdq61SlANN2cSGlMRHXIc56dAON2azm6z52WNjeDXUf3WLdwWK80xWPiI+6WwaXGblh3
OimCe70Hpxl77qNJhupNNTBLp8Xde0HiCHKX16X0aHql9oHBtVnuXEQ93g4db06DxB5+majqgqQ1
siMevOk8U1tz5i7XPSa9JbBm+lUEjuBFqJ3ofl1NzrZQX65FmuD5dfvUpr1ndMYXLWxxbaFFv2cA
3NHTNz2OFyUdZUXgCiknI2nJGmPxO8K6pb6vGfQ9elz6V0x4KY4Hhaa/kKJ7Twuj/LlhVA62U2sV
DQj6WLC/J3Zj8L6PZWFHxwij5iE1VvvVtjUmtk06pF+Fq/eAhFxp3FkE2oZV7OQ/OcD2X2DzzdM0
w4nFEzZ0HwA5Ynd7zfZWtql5HqYGBw+jZxwNHlBQGKI2TD9jYnjUWlwgwjDM3RwV8XVCUBI4uW7O
kAA33nBtuyMpg2UM4qTNuSt2NfaLt0bL4CwRFz2GXmplPzozoouwjJk6LPXo3pZyNL+DGwaw3Jpp
fu+StxlkWRzDK1BkuPmI01HdEyZHyYh9Iw10bVv2W3Xf4EI4G/DLiSpoe41QF2Vxs0iBOQErQ0Fi
feXcFNzBlq/XNU4anbEo5JZWyNshGtz7XGuavcjm6JlRHZ15yvybSNOyfdyQX+/TC3opHACqPzYf
HCepfjDM63o7qvgJz1V5KzPFTVUtBd4E1gAjS/TWxQQUBzAJth5XOxdzKmjNUf5qoaGWnPaZcFNM
OJilrrx6Mt5dvFeSTOYWWJ3mjIixab8NeNlnEgXRlOfltfLS5Cudvek73n/gfoORgRab3NgJqMTI
6VF8n6wuHiagYKJWe85EXm5m3ogT1wCOihbuHF9pEHQan3YKU3OZmPa1kfMpjHJa73NVlgJrpGcu
iHFW54pnNS3lMbLb19mKGHRmussHz0HTf2m94b5rS0MiuZmS14TXnqC4nnEmR6WuOAEBq05stU9J
Nz8sTY2yvavJg4Ee+AUA4orq7hs+5/oh/z/kndeO5UaarV+lMfcU6A0wc3G2N+l2ZlaauiHSFT0Z
jCAZJN9mnmVe7HwsqbslnTON0fUAggApq9LtTfKP9a/1rZ9au5scKABEugizGaVpQGDPjMm/r0ja
wLLS07vb9neQ0cyrMjFQCwP+bDyTa9U4RejVK4diyxvU3WQknC5TUXknSXRtb4L42Q5d6F1x8PEv
fpHOe0JKmIz6tL3IMnXPsK2Im/jJwrvnZtRGy2AZ1vJM95TzPmYGfeDMF6eKX3S2YsUakz+iADUj
3nGudO9+4BsgmgvJvX6QVH/Wuw64XHPws2ocKRFxehzsyu/Eqk7zaNxrUdZnwRQQb8KhqJ/JvgxU
3FlL+wK9KvuUqBbCq+OHeuMNjcmPN7tTQBoUVb8BGnLbui6c/zYDtbNma9Q8WDIMPjywYrdxPFvf
B6sfDlNLlxndXRbzbRzYTySpmmWdXzQOQTs7ehcN/ALPZmMi3eIbaRL1nco6nCvTe+8F4T03uYGr
sg66wzRE04fXOJCFwTsvQWmOaxz5CXZMaOk+3iQ0e97COa32gRyOJbeIxzmLY6pFxqi9Fbx30a+h
jxI6AvkQ5V5wi8DL8WAcBGJeyA/oltzrmTxS51ROdMw5QwQErbQG7jOJTt4MQqr7UQtWBhXCl1u7
4J+Z1crS4JWmmWqFdYBjkhc0mFqkhYKFkLmhnDVg6rOq79wW+7vEGdqryfSHF1XYnwW3sbUmlgg0
nI48xP3NkNDzCSMVN05EdWs/etOm9dv00Z5z/7vvdaesYfhbxYRtD4ZDspjXMrsbIzf+gIkyMGyT
xoeU4h3Rcphr6Ekhz9fdgsCoHyjL4iFde3vHYz0p2/TasigRWFls+wB2ySR5aP3huUtubXcekMuM
I0aniu0j68bLYNbDjao1haTeEB4CX04ns+ybG26gzhZC/LSRTVbuuP84Ryrkix96HhOYaoZ7rQBb
nUu7pdeIQ+FdDIUDDGmr7isj2QIKK9YSNfBCzJbTTBRXh6AFZj4SGbqx8aIlcEQHb5OJtrwaaSy/
xl8BUQQyQWrY1dLYklwhymODsRqMIdRTbJ2RttO+Dp3HTmO5ETbI2D6aX4l8+WtaP+OXiUaQfRt6
Z0MVd0WIMBcJpzqw/UVaTUcDw5qaNpQFo3fLrjnQTuBv5qlkuim6H2lVcL8XyRumSToTLIPrA/Ib
tLcITpphvbaWce+0lrh0UAzuEzuJdy6lOjsXzmyiJ25cwuiehCWtFfE4ifgdezdlVwavnhnEQNXd
4EcyO9NNSuBEY1IGZK+bEL2tjPbMbjdMa/nFDka6bkGr3SGsdW9ez9u8NDv15kHxO8VTzYIYKxhN
Y0mLGg3JNLQb8CyziNlpzPwrGSb0cXfYI8CO9CjzoseyI9gvqYC6MoJCH1rie4LXJUn2FennjTOb
XBd+Y1rXhjSytaya6pyHdAVwfsKPJ3S4hcVFZRYTVS8ec7fYJ6RKyfHYbnYj2ECdSuXIu2hMnXWV
RuoRyt50Yt7yOd2jLf2q8Mw8rM5MWKhBoQVylrYMJN+6ZBI0+TqRnyTHCVF862JLICRh8HjnUeTe
yrLJyPLF7a4rW/YeKfXEoD6pZZlJhgvT8259/INXNhPqSXROessmvdjSkzZdp0apjizC5gMVEZB7
nTShu8O1vvm5VZ9ncPTHbsSChZzC1juhc/AGKuNCN69HHktsMiBGYOuQRnmby9rbJUUd3cjKj85D
EWUALwwmGHOsjj0V6ju/IJDLDXxKjmlMeLXW9qGHK3vdwoXZOwaCo7n0rcvySrHhICtoAS58YKci
KKh2wm4i9Qy/wTVKFpKOpNJ55XizfqSUB25E6Oe8g3xn03i4kRySp1S4jTg8claoEBbBQBJrgIea
GLZ1RcrdXaVMt3dlSdwugWhRnky0TRxfc3QVeBWx19h26cZOMh52tEiJY+pHiii0MW4NWHNHT7Tx
exhk0c1M182bXFojByD0LKh7UBSU+SS49qBTI0GmZnkfpH3y6XLsPE2pRfh7gvpwhfgX3zooaGcX
tM4+nGrruQ87h9U4+kDdIkpr8gSUBaMGyhYJNIybu5+6Yr40ZtYVWjDOTFYSTmHqL4dD3zPRw3AP
0Va+JET2ty7M8zWLJWo0fyaol4VH3Up0PiyKx8BgvdBwtkGRy5b+vkZwFpG54pudhyVG35jps2tU
LH11psp7E0fpjnI4Di80yDHv9SxAUKSYdn6KuiR3MFTCSQlXvjQ/7GBelz50Dpp23yjc0xfgosm2
LGmAlH7J9lszL4fTskMjoA8j1DUeFcfEXaTlkxk8ZApXnWfOdyoal2We2FD/hUYTkaekOam5G8eK
XICjL0U+yp2M6K70majgO3TtCc9XcJukZrixekYZejvR9iaFz1IF4X42gtPk0XSKUxRTpaiYaOJm
MxfGqFYxSwxYq4Vpb6ilMt7MLlS7og7nG6op6Grvo/Y8Zq7NCMvP2GDZ5kk1UZGkA+/OiU6zxzyn
RJU+TF44fiQRL2tP+nIcqhQeLsquEzFhK9Pm0VRw435r6poyPtqIH5iheJFAtN67Jgfkn0bhuuUX
a3ZD8kk6h0E7zO32QXkotETwqTQ0Qt4tpo/WjgRLVVK4JG4z+LcHcD2Sdp0xdePXn076vxQw+F/B
ToIgTw7kv2fzXb91zd/2slHqj/CkX//ebzEDz/zFNgMPRIdtAzxyPecfMQPf+sW3gScRtrdNHnwh
UaS/xwyCX6hLs0NqBHyPOOBCmlPMI+l//Jthhb8QucRCYLNbZQh0rb+SMggWetPvQwbuzyCD7flB
YAUEzaI/lQw4I6AgcnLheqYWK94PRsGFRPxSXYRlef7BNsGNrBb95JUebFzhonJAlkSwYKbNTH8R
eeqpTmdg+40RMk+Y6VUN04W+1gC+NOYNJ3vTwq78Te7BKNhjB0A5JK83eqfBbssU38DMGrOsHIT7
3MAT6rSL4XSQkX30aVx5rEKrvlOOl2zpQ0gx5cCleFeEGQ5ljdpVdEmE0QeDExxjbcPilmWIajeO
3hEdNmAKHSZnB0ADRmBOSsuG/j8Yr5xvogO0ZwVSQpMUX5ETka+xJcbHRPfNDxuO990kqHtZVWLi
7N0R2bhU0yJOWH5UXAvUBr2O/K6XGBuRi1Y5PZfwXdvC4FYVOBT9EXb+gQOMO6x2zPqeflKOjVM7
KSDTsSvqNVqExzYqtf2LpRdUTG7QD4U7ZCrV2negP2NQytMfJWD5aTOMQgj6kDLrEU5vWu27BrQF
VPGxfEuy3n2mWqumrUyaJdU0ahzY2cNm2mbamLyj0QbTLRtdkMKBGFDVuYu8xFU2UDw0LTNyYI3P
edePVGOSh3yPIkAYK9UHi2WoqlHsG1xNa6YC+De68/kgXAOJKBl3EF+M2UyeSpcWyA0kXSj7VFlF
2KSSAH8QTMEAkhFaFjAbHwOIo4YIy22hDF6rYEwfCYNVP1q4yhyKyZnj2aQXis9qROpHCkZkWitH
DDctSbd2W8KBmlYRyKl3K2mBcADgEtWua0V3y5sgapfFkWbJnk+oejTAZZinqBedEckNF49Yx0F6
bcYp3KsRrA6pE/K2AhgHKljkNcLdySxnhSf9lCm7qO3qeWR+D9b4X7HhTU4QPdRWaj9HkVF8x1/B
4jcg5YbPldeoAeeYOctFwPYEx1M8gEhoU8BYvV1E10rnDU8Qqu4+aXvovU3coZLhOGulvwK9DwO5
pDjz4FecCc85CQfexHY6dDstArzErJWIRCsnajBjVZmf7mPyyayo2tzfdjaV5X0tw4diKihxn5Ph
lVNVQ1dEIq1rJ2IlSdvHl4tovunc/jYPsyxfpSEycCmwm0iE4K3GSfCsqkpzfgIZQPlblE1wkegz
enQnJL4VRb1kXOBNxa95k2bPrVL6akysbzmQIbBBYf1iWzq6pNnYAlMn6nsvSiHfkjGX3BgK4DQr
jbn5YjjggNYz8mIIf8aFQlPbE0h+Xn/4VA23yHdV1Fx1TsirTAYgLBgvOCCXONNS8UkBFKfnxLCi
K5I+JFOEJLGAGukn5b4MqCvCw8LR2KbOVa4IG0c5C+HlGA283hy28JeYVCnv5GhvJiGfa05zNr14
0xSft/KwAmk2EfW2pOHr2MhoeqJQN84Pps0iMy1q697FobelqtCXmNRN6fHrtLKKyjW7PUr+D/zF
SkDvpZ0zejRTdw42XdqLr9lssdTIoCHqEMT2/BEskkWUYb7YmhSeP0c4ZWM2J51Z3hl6DnivuKn3
3lD6lO7DFrl929rCLHa48E2WilnYmQeC5BiisnDunHhld3kY/3CdTOfDthG+2zEMmR189PKmmINS
9efW6BOPYpa6JGFMqaMJyiTcJG0J65tlHEiZyejSl6aOqaaMUzodNjaoNMK6kZfj+QmyGOM51dvH
ymUYYtbnTkbLYBV/2npmYyvDqbSBQLslwJC5F6wh6VZ30WaQ/9aTyd1uMwj6UMOURpf16NiSumh4
+9/nyi8YfUITe2nazrSEs3jEvxuMQ5Bucjetn3CugWTL3bAvt4ziLiJeCQCMwLl6DalkCXBCkhdb
WaaSzxZKNgo7NJav3rZAa7HfrWz81SroKYR0KdOEZodrPCJ7hSYqmqalQKzwkquytGh1x6CEV9oq
LHqzANGM7l3cOmw6qtjzWf53OTlcRXNXtvUMb3gcaS0sN3ZnmcNxUrgjV4lV1y8zNabRqU11351S
y1HvOgsWD6euoGi5kzurfVC17BarrKCVt2phILDraei3Q1dRJXsU0wSyZftM7Dm/nnZtBKWDoFWz
vkaCGHvE7G75qSkpLdZqlK2/CwJ+hFVp1bDdkslBDspNvsq27qrK2hBFb6j1ReV4qZEw6Cht4+lG
Sxp9N0NWG0sKJU2clRNT37c2qm7+qh2c68deLMtS9PbS2ro4+Czw9UkX1xgvmpGyXtY6ZCoNPNbQ
usB84Y485qxbqVyeAeDu4sJm2Uv3o1WSIyg5magsaOQmYN/9mdOUoHZNw5F5Qx0St2RTNfwbzF95
z/tkfJf09r7pRqXPnfaqh0pD0trFppnce1NEFbMVSv8rs5jBkMNj9/voWDy3DaGCdmVwi8Xe2yvc
bB1ptmqdtHH+HMOVU6vlBsINyMXRR7AFStQa88zwoDE0UU5LFeEFVwpEKlCRZb2jAhaCeTbb3onN
qlb7XI+075WetC6515f3BAw5A3lTThrvp/Zejx7l30Zuaby2AXsjvnOoUgY2I8T1YWHFyz7HTqH8
Qb7wpF1OZzwP5WqOl+NXE3Qh2ZJQ5VvAXPmbmTuAiPLxJ9SKRqF5a4IqumlZJ0zuLrCq66qpldnD
aIl5Ek7moOgFsYsnf3IdYCV6zg49YuwbgcOKA1Nn2Tfw/yGMjaYn96GEtrSe6qm7mTWNhuuu8UCI
tDU2JxZlIgGmYNUjL01TVS91aLVfaBrkufhy0SpGjhzpjtP9Leai4sXRQ/RMqo98nI6S7rnorfBH
G0biR2BkFqYOLzR2JUDP5c6QmDcZLuEzx2Xx2BrpYi1nGaZOTpTXm2FOgPYoxtx6TSKi+QrbRv4Y
ppS4aD0qy91nsMXes6bgejDnrAd1XPOuwNsbp/4GCYPfIFRio3nTfhec0IpoqOoMs+VQqevgJaGB
sCf9J9W7T97POyRzUb2GKhxuaHKjfU657jBsSJ26Hxa5Vui/iH3OmiZHFMQQYNQjFXHE6zxCfYg+
lRV8G1MbAyiRIU888UHznASezd4osVvkt2AQJHEaQqD+ZNQ/Eu5MlBB06L43Rp9b6RsQlunUWrU3
bwKo1JLpdMAQo6DIk0fRUSPJDClaXvOBdr51TXnUZzE6DGtgcMrT0kKF5BK30Z2yhXMncEDX7Otx
kMyu2VXYRFz9bteYSFd5kfvngQWyQXixyZ70JLjFTJH2rsWIW3g9hmO2DQbbTLe9aePkKAdBbiEq
6ixeeXMUn2lXxJDuFqPx6CrZPrjUYufkwXzKfod2yK4opaxfJWyLF+7EZIbNbHQOeSnMHRWJHS/g
XLYF0dkJsBC6L8RITN29V+Y0iMQExYYTbnWfyoUmzheB1Pa8yAiOpqSdI3yG+YNxgfLp8Qfwp+J1
jLwKFZ7JSa3pk2Hj0huyI2DMk4logUPzMOvJlMvNhHENSa8ewutCZ6yllGMY+hqhDdmOsg8fxlMi
OZwPwLagiwRNtCm5saa8abkf70INQWHH7hiDFYDmL10v77igwMQDQBUrJ0yvBZLUxBlCY87dMYAq
yDmFz4b2o0qufrrFJHfkwTgHgmXbKph1/kaNmf7KnUUXkKzOog0e7jK8lS5rUQI1qYkfBL0meSGT
Qk1w4iOJHaR0zIWu5I/PTGbVW6VHKXYKTtO9UQl8jLW0g61r0s+bVoSzVnRSRZQn4+nINxn6od5B
uwCWBkExS9cWXGuklLGtHkB3pS7GrAr+tY9gq7atgCc2VkHKnridae0IQ6WmvSNcfa37eVn7qF7L
Vez2Mt2UcVu8TsKU5nphsJDCSEZml3Qe2OcT4e9WWasTUkxewQ9GcTwrLC3YIq41iJ+7ONJuuGNV
FoWbNk29715kSb13Wr8ormWm/IsTRwyTee5Gt7VX+Tc8Z83bqfCnxxkmKcZ/6FqUTGGgiaN8IALf
9PzqofdyGCKF3qSb5dn5WdHtKHnUASyNuiT9SmnjeKxBtfTsvUuLwXJwh08ezaGDmjcHF/QgQZlp
ykoLlEzK0pIr5EML5njSJRm1pTQ2YxdLAp0Bfnd6JmGKI6sjIUSsN4kzYySqzRA5kromdqhBC3fJ
tdGka4EZDgK9R3q0TOY5PIMqC8xd6AmPqluK53owRpl565OmrPe1noetP0SzCw0vGxk2XM011cq6
xplELdhz13GUXlmYT8hs9FX/5c+W8x3oIDRAVEHDJAAxJK8ZNGM6YJTZKvY67ShPYGr7B6tr8PsH
cMO/s7XxDDLtAT4RdwrHlsvGjiXqWc452qDNPGWkaUnOFBwOcUeOEMQ2BXhCza8c48bAXstf5hvT
pl9N9YqHIwEqrj+znZtp73oBa2zluDxY5pSLK8ZH4ZzHkS3tKZp5hK+6Ynaxw/gjYQcrGHh5u3LI
z25dpT23/9m+qrISTCr2Ceds9EGElxQ+7FsJep00hI2Lci+zbK6PBb+031BPf0lHu84+0I+aH92/
L3/toxGTzKgv+8nC/ud/3Q5fEgXh62/Xb0L9bYf19K3LmvrPf+cPnwJ+9m/fyQLH+MN/MMtl3XTp
v+R0/6X68tcvRwp/+ZP/0w/+7evnZ3mcxNd//NvbJ2PuBuYEPcrdH5AbyE3/UkP7P3iK/us//z9/
5e+UjuiXMKAWJfKQyYAQBr+jdLh8yGdVhIJlmoty9Q/5zP3F9SL+QVKD8gPJAnDGP+SzX2yHjyzl
Lmhr8K/+UkPnH9lWHt8YFLWImigUeQuaOd/e7zk4jpFAZEpIandJ31EPgyWVzi2+tQazk6T1wq5r
C5lsaDhNmsbS5vM7yfHuVxjI73s7f5J2/skIWb4DttIhMPXQhtxk2X8i/1CjGPdF59II12KQo+in
1fFhKqTx3Qmr+CX1lJ1yt6isF9DnWc7aRSWsmxzYgmpyNOvgyfbMvaQKoj7meTNwySVB/P6vv80/
AnZ+fpfQ3BY0O6FKfHx/+i4BlBdyKltGRQMNDG6m/4irMd//668CfuiPYib/g88ekaRDVLXAs/yZ
mJIBiB0SlPqEAs+F661IAzYq8D/yDgVDUU6ZkGS38N+FcSge3EiPt53tu488mwrQG2EWk78kQjMx
hBs+xwP6NuUt6G6kKhYDA5hMsJtUItehXp46U+peZ2Ey2g9ug+eNZbExQU2Yorw/JlYDg9JsqD86
+fBL5id2PLO9s3rwozDpamc9gSlGfSxSh7WARDVKvOVI+mu8ozGF9C9gcclyMBm09XmMAHGiSy3i
mKuIhu5CWmH9nTkWZbRBYhMSH6ONy851aj6K36rSt1PuzuEac2dJwTTrRe6b4UK4JzU1Ip+sLDxR
6qTClILxui7HgPXNXHRrCkrig+8Okb0AAbF74y7rxo1P11124CYs6heBo3Q+AleUEFJa15jWmbIj
XEphTbkeak/a7GE90yPOdj/OjsoF4Q16syuuecMKZgIRDoBFyMTiCsfbLek1UfZLlSeCU3xk4uPO
wXCgBYUEXjce/swXdCcOSXkZserHrTHZ15z3sKpwapptpJTZv2nTxHgG482tP4iKDoM9JwQyFFOn
uDRz5OlV7GkegaOMgGdUcrDUzkY1kk81FSzRkYWfnbMWYn+9bt3cFE8J7J/upgfjwhSBb+vR72Tp
bvMqM6IDEWHTP+JXCj0IsNVorbreF9P3auZk/ci7X+gNlNXwm5CO3RwVcHjq54ragRAPeuYTzKE4
VYXFPof2jJGjVjiglBCSjNrrzMBYSLMXIwSJpBEjFH4FjFkFC4fsrgoUmpPyRwjeuP/AdRRBDZmw
oayTpPaAkYl3T061FOsJIiCxZbIvLzI3fEKrc6unWBvVZ1KLnIC0i+WHoJ1yv/mZmjAREtzEXaCL
yb7CdEloV/VzCFy8SV9yjlsfqAemPI4pXQm4ePR4MJlXjBvd+hTgGNiBXuhMGfRKYc19VaTT7sup
oZgg87rqIMhjXYTW/oUjCe2IWThIDJOWxKhjKf9k4jwcH0CrTVwSqojFvo+KyNyjSDTtFi+BO66d
JpLeYYbzzUtKiwpJjmA5+s14l+Uiu4FfI8iZio5YM40UCWFJBVx45xH7uLFwTS+1N6P3BkHC4BrP
eSDhubIheHLI0Yc8h3e5la1Fyi6cLGr6qJnZMydVsGWmQjCujpPGQJfa0bweuqLZSJvex73mp3l1
wCuXSKTTTLVpMfACZlMp8vVgUHpGCarui6PKhmBi3RGCIFGCKRW/4agZgCZDjafEBOTC2FoHh6Ji
AbzWlQ6RagwvilfW8qVIJ9qsFmsLRs1aWkSENs7IeMjUlKSk82Z72Q/Tg2rjvPlGN2HyjYqE+EfK
Aupiya6CPZ1h5N5FTud8CxrvpSRR/16YkrxPVvrkUQKYJZvECHi6NYmywLfEsa8PgRizG9ZWkDPN
mRaMfeyg567CXrHN11Yr0f06D8CIZm/wnlUzYd4q7/NHnN+BsS87eunICzOKbXtHYz8B1E5TUQdl
PtkhByDFpQm78y051eDJCnHqobpU8oyNXjE9E++jqW+ya87VroDf4U1Z88Emu/tMeotAsJGOxclR
Yn43hjl7hUabJfsRB9RHNGj9QfDrEtu6VSs1eB47kJKYooyMCphTgDMuEu0zKtu73SYZZxseOa92
+SHiRN9TJZR+BBB+j5Cq030PDZ5Uydx9Thyx9KodJ9yItdkYTzaFmq/F0KXR2qkiHNlgMNtXjThz
jpKZTYTdtMn3PkAJWRVxj0Dh9LZ6R8Ury22aJ9NbWqkrlGCN81z61gP5kfS9i2DHFk6efctcGuYx
HPcIWOFsNy8is9GxZ77KTcfFaa9S5ZT298lvOn9pZBz0gahVCuyz64svP7erZh3C+pm5IcWSuHUg
0bsFRfUcbWn/vZuhIbfQKbwM6S9z6odC5n27k3HbvCS17YtNqYPyqR5mIu49ewt/w8rGUryDExgf
kSM+HZ4ZxlIEUn8Sa0+IXohiCE/WmBKELUPlkf42I0ha6dADwijtxDxV7ELvR6qNomNvjNFtIaiC
WNuBwJEPh2hCiVIBtUN4l0t57Sxn4qxKEp9EOozbFb0JWHDQpJRY6QKi11rOqfzqK5ONj4eA+ALl
Q7CYMtr8ps6z/K5njQDHxLBIrJJTHJ79EJ8i4mpPINHwHdSVKk+TCwd4yibRnAlNT2DJavjpZYv1
swsYBZtyzC+TMwMiAhcevfKmgrbwc9L5S4eH/w1LeIcDBLPkf7+Ev28kL+rbn08Q/J2/L+DDX0LO
BhHjlG1bfrDst3/j/PmcIGzEiojpHdywzbD42/7d+wU4KfC/MKTYih68pXDonwcIj6Gfz2jBUXYj
9vN/Zf9u/TqT/n6CR3VmgLddnOscWIL/Z2alXVf5hHrg2WQwUYrOdr/hGcOkJP1QbnjKoU+ryMzf
8kAFPzBy8lYbhy+/HXd+w6OA0maUiz6J11SWh/G6bON2U2c2OF+3pQKykCb4fCFA5bEjlNesIkrs
QaPFzZhlz0XhQ76Mvcu9OJzT7jx5SXvpefbtZqq3tlUxueTd2KYj0BvZ0ar7gBuL8RwFKZnnRFcP
rqIdY9XjlHgrkxQmRC/JsUDebV/ZrxY3dMPWD75FpVdKu1K86pBzd3ZMn+uaE80UkPHXBagRRM+T
Y6bTaazG9tWpzOLaJkFzKxNQKVaHi2JFTteh0nmsUggurcquq9guzhX53HzT2310FNz+n7Mu96+M
Lg4RDzEAMlPp+CPRTvPYzqV0yOGRRlqxOoDAxYH8OFH3A6vBmhmlu+gH4j0u18Z3jyV5IejtWc0G
kQjDbQFPa+dg0abtbCoWIhOFsE9gZH0+PmR7Os2yXRl1JvUSabnNvBAqIaNwim+f4mW0ZyRfNbgR
FTdFsANBX+5rQlnfIa6xEfcy6wAZ/jWoLXUdgEU+Vo4gYu4ssowrfFhAcWG8cmRrN3iYoz228mGd
UxENO3ycPnTopU++qcvl8z2jzn9VuR/fBkVqoCYbhfEQGqb6GFJs05QlDqsgSvQxMmwymTmDlLWi
LyY5i7rQ9zOtYbuYeAHfdLybHe60Xmn0e4kBhMx0Jrak99ytGaoRFdsEOga3PHxG6ew3VeMFpyDJ
00cn6/xTnSgiH2bJvhcNPHydA5/1hh2bV9LqvD08XoJZXIjbce6je/Rbf127bglWhUZ6YDvOzCtf
lIXeo/pkByuFLzj36W1jVNnFi8Fku+WUfWOm7faEvKp3CwVwN8akPuGt44DPx6ZcV9yJP5Rw6svg
c0IqsZfv2iZM4MWz2cKfHB1rwe7UKaaXKHDzNViZUBPMYtelHVJjc4YdEAZScd22jCaiED4G1dR7
FXYzvNPBUq6tsXZvmU3oRiT0S/yo5OIl5FjcMZzV45rUL4HcZpSbeO7SfdWN8slJhbr3WE1CrBwL
DvH1aEzXerYAISTEU37khhaNfT/7aGgXlp6xLe591xnutKFRqMMKFZmTDbldhXVFpzG2m6J3uDjF
nD7rZtBfJo0E30o5Jbd14Tcb3L3OKxql+w0hDyMq7YZH0yChnigPc0HdIEAntQlrpLAhAjUjYXgv
5iE9DLbcApciQL64DYkxkTbH6/qscJzd4HgxzonElTiC1L3UQyD2PxPWwnLGs8mEvWkTE2iKwf0E
0IA7bqNyCt961NUbx9b9jvqI9pJqHTwOraLQwcymnwZFsQWR+mm6I+o3OEn6goRIL0XqsWBsoRTg
v0dP52/rL+x8uBeXCLsc4EgaY12+NcayzV/MlP2o1KbnoPfkqmZ8nGvmJCqmsgn6XQNmIM4/ABmD
ISuwZ16cCnBgq5z4mkT94K7GOeCU1cAm3OCNKh9an94IsA8exuh5zh/SwbVYZ0Tmay1m/84kUvFc
WqZ5z/vK+FZO8LZcaXfvpQyTXV8M6WOKmPEsqdO8EE8qAlBbVn0MJKYLIpkS9FDY9SSwRm9H6VNw
hXmKtSwzEO9DYCIqe54gGHiIjIfaA4aEyO0fVVG2HH7nYkvMJmFzi7dyRUmkPODIShCv67yndzLq
brsynL47JmapCAQnWX1331O/QwxazgQkuYdhiKjHWlKdOd9huyBKGBKcXqtAxoQwLPnNNqQgR2hM
Z1YCYGfKuOs2Bps0+GY0RVDIVz2GTWcBCYrRN3J7mq+iyYWUUs/GNfVLFjYHiXk8LZxVU+feWroj
kzzuL+zzEFgrK4x2rKSHsytCzjxuoV/KhW3W+LO5y6dkvsq6qLsZcOesMlVluwaZ5rFijltHyPkX
GizsPa8fhTb84m5ypwSD46bJtpFZfCKgOh+azJrSlTElOYCWglO+nturMpcP/Flur6I5+2EpaEwV
AHLb5SUpgsTcO3iNPx2eyKc56I3vJBKjH4qSBEKZHKPOM87ldVZ14ZWTskohaYBnpilvgbuUPygf
ydailc1jM8XmM+0/hF2G/HZK1NGzICutKuaWO2E1xZsT59aGHQjAL6sJjqW2+wPB7Qhu5zCufTP0
zzNwKDytBLxsa04+Ofx4d8yk4tqCXrcVrc0Zhc3Vfg7cK8zm6dpxh4Xsp95iuJ2Aaml/hYjT3BTR
zFrUMLpDFhg2EWVhnSVwkDVlYBExriw/DqyNN2zNl0LVKXlnBVfchNPiktNec4w6T+4o/m53DPTu
S8Hv51MQv7oOByt5FJCKbhgFYpzT5sVoZ2CX/FpiWq+2Fer7XrolF8Dg+HvyizYxqxler0XJuVPx
lEtrC/9BXlmzswPWQuypYmhaniruvHGq0OB57je7ZIKTH6aGs5ssa2ZrT/B0ZwfA5zC4aQIkDWaS
EAt1CFRmbbdE8wcxemxLShEcSpqsLs4wtGcDFXkLLJSIDyf7c1ir8Hubd/Yhs1X8QFVgtObY0mys
gaxzbAFOtHtiaVMaZDf2pItzkorXMuS8l5rSOqiQaq9aC+9SohWC9WnyOy36ieBMWR2kaaVbfr75
FHmtuc5Q4k4yLlgQ1Y45XOa+Nmnachq9TeQ8oBfGtX4B0lDfsERKSF/M0ymxvOLIJrV/HpRh3llT
4t+CYNHvBjYajEOOe58M/rDVEKbWgz9vpqSuCM30yT5syvTaKfSTiKcWsWJ0rwy7rJGZIlccZV+6
O2taumSohkO8wnA/PM5WBpuB3RmejDQT5yal96ljVzehg/5f5s5kuW1kS8Ov4ug9GEBiXvSNaFKc
NFKDh/IGQckSBmKegbe50eva9Rv4xfoDKemKctldt1jRQWwqSqQTROJk5hn+/z+nHcoNEw9NnlVo
itI415CRXhgiBwcTiPKsNb7qURaf4rggLdjKoZgI2FEw34HNjJ3Wic8QHaXsmNLrcpz2cTY3XHI6
xPpKhA5pz6EkNSVg0sSx8nOQoNKyLjg0Jbylh7bRqDTZThpMXb+syjFbs1jCSuyR+QlzJK66MvPO
Uzs3163f+idhCxDFMiLrXi9sba541ldAmmhklUl/TRUSeSPH9y8Vo7yXjUpdqMhOcyIY1UcjcykX
5qJ9kkuJHUDT0wp9IpjWedbXp1REI9R3tPYzJKuCsr+R9ZOscJEtUCKBgllIeKkrWnvnFyrdwBTE
ndCfTs58JUvoAWxGm8cWgYxrstPw8CVhhp99nZKpDaD0cykUZ9qREhpksykEg3AxUW9Im5mLYPc8
2jTGRU2WeHD70dXzauBxLnTx33ogjSReJXCvtGNAHi3QHfjXnpcpnzTLK5ZKT7abmDtG0skKz2un
cM6MOG0ujV5z1naJyHLZdmhQSEIsgVQ0J6ZDrZ5KROqceFElzm14qEiRoigASBin6xRRRvUUB4Q8
kqJAAdSruLq0elmeVL1AWdNDk40SdzbNZK1YRWQjZlIT2j4TCbavrV0UPTK17unUmFagj63mI7Vn
b0ExWX0wIiimOp1SH+ifJMrZlggH/1GeB0rVgbYrkTTa+C1CGqwpPaj8pw4g051K9dB2wjMpjdVL
u7mrZae7bWwouWhfT22Rn2E5JGtELi8JHny6DvUGzfFUlZS7bKj+BH6a/QBISb2Hil4NEI40+drF
CK/mOeQRxdGryxzG02rTh5sZqWppoXtOdCsCIT8JYhfkXi3jOsXvXhpZoXBCaxtOguRzFloXODiz
IIS9S8DT21eVEA66xUW0UMlJzFkd8TSgcDr2aKt8KoKkug9TFnVbysVnp4nIpNkIH/odpwjlBVs6
caQuWoambnYnre9BwGo74oEBizS1naq7JjekzkFvNSAoN8iCS65YFj2E/s4MIdiorLwVHJLiKZHy
mq5jVbCowcsg5KxOZT/4JGjg5G3AZlbhhA5hp8NZi8Lax852Vo4VrxLixanqtDdOFfWI50U3XYy+
YGefi868heB0olvOTehLj4Yp3QoEHwPTuQQMakw2WQcHO1FzhBLNQUrMVyV2ysx4bJuu4u6qfhVl
ZT1IKUjpMm3DCsneOD9JTV+f2HZFaSAxIHAiS3UneUpxhtRacuXV0QZETOTOUSMtVn4bWPO6ceyb
BPbPTNlY6twinPi4AYI9Lq1qkrUNqVlHti6dXPTLyuzOgXe2FaA4tbjUzFw/dWS7OXP1YFr3abr0
kZDAFVTcJ4SkdVakoCWdo3qf3JZIFNzZJKWmk1odxzSHvcFxcVlAHL32IqqvXnMu55V+WfpAkMa4
xkJGb7vQ73BbLEhUpNWRObBPQcXYU6133ZuooqdNV1SEh7mjamf0GxLXSmRkc3pkUkipi65mk+p8
+SNd1NX0hBXQfkJ1PoNXZG6C35gC0r9GJ68gfg8is5lPa5isdin5x34/lzpShejuurdADWnZ4eVa
gLgiLp4TFRoFCbmmLBVF16EnnoIgA7Vj0BPv2vZ1Yx2HOXTgqC3O5L5WZj6S5tfg1woT6EKvgR0M
gZmqgPc+9ZkH9pYmqcAr8ji7zPsAlSpVTj7R+JZ8JgQ86QlaWkSYzok7Q/kOhZCqDlc6kkOfokbF
zTJ0H+l2wp0zF/jtuZm5gnYjjbvw7RS6FU3hQZT4tPzxCrObmz39lFNC/kUso7FNpI7gYuVIyrnf
BT0a4hs6Bm4g1VVxp8yVDnwjIlyIoCGa2G02Y84YZBsLA7WYum+mBrgseaL5knWK+L15HjhA1UA8
x+ceEtT0OHYUF65f091FZo28uIfq4aQ31PK6sCPWgkMLsjnCTRw2INcRl4/95kpWG2Oa5p4PRGoz
UNI3wz2QfVPZWep0Cu/ZRbnLKTS4HDnFEsSo0PcthtIYSriUP8O2hftMUTTKw3ZRZSSVQilWcsS4
JfyxrDYQayPNeyIit8vGaa33jyWdeRY5XatXHsxrfrnO6d8i6RqoRgCBTZbuROYDNPF9cHKuo56F
KRIhaZ10n/CsrNM6rZyzAm3HJe1M+9vcBlzRVVox90KQdjk5uAvgoN59k1KYHOulAKQluah2o2Fo
RuCJieXLCIEMOYHYR6IpzxalU1q3DrmgMYn+5tZXwmjuQYC7rSJhTyPNKhtUSzbRGRF+vMw6yZ7T
v4u9kEAZ9S00JGcECMUy8rsn+u5Sj+kLIis9nhDX6ouKrkl3sRnUKOgIcKGkjFcogMpPjZmL0zww
Aei5KsiYDb1+6FqY66tI1uupWkbpBfBpsbS9KHpyvNK+Tp2GDUezlC8SGOqCdoU6fl4FmnSsS4n9
1NHTJJlWEYTdTuolH+kEsuZJJKoVuG/5CrVMpJ+AIeTnfaJGq1gr2iuDDD4urYR8E1q9MspiPYsr
JaZaRkj43wSUu28A6bS3MXTChR7oygULgk6xlhGe21WgowyRUbLFXZt4jVJ/dgV8VoKS/rzwovKb
nNTeV0Svu7PEgoYfNKlMZKbWCzOplKUsE2RbTZ18k5UoXOVVGt2nXhWdAvyVZ2D8S/bE2lmaoM8B
qcrdaaSp6rIzgmgRdqF7A9Qb5Zug8sxFI9rqIrRwKMcaBIBHkTbZrMhrEzxzrXmLRC179EezjExL
j0GiVQ5uboZ2ZnoOhiT+KhlxdCuHRX63EfQQcMLEngpfVRZm2QUX6NWoF4Ci6lsd5NMXGlCJa5D4
3pISunctgW49q8SGonSUtNKYmqv9BazfSabI1EoqOgZ0lmstqygILywlqhaqUcunob/RmLGkpmeo
7Nw4vkNYrUoefAff3Izz1qQve9mUJeEmLUUTVErGIA75IW1Sz0H8D/0BbFl60HvhAivoEXUw+/ij
74Hk7QV6AIqTK9+o5dU3tFMPF7qfKnN94xL4OUZwLljT2djoCiBaQiI7CUcgnBPFaityneYJuPuB
t5/msyow5zqIrar86DuSfUuvN+PG0BvnjsBUnnVt4v+GIgLV/7iKppXws9seTR6KcnUz9SQnmqHs
Xl8abvUUkG2CLAT6aqwUkneBrnEPysVTvuSlKTj/Ipo3xpty2lqyNXXptH5ilK5DHlvr6WVduyA0
IBXNAm0gePhonp6pAcEf5brgC7wMiJJs6SjcbuSxEaH1a7cWWE6pue1Kl773aukxSksjt1CtojPA
9tXKAR14UfkcgNGQH6wSVVwVhqt8stSivvKQlP1iu+1H0GihWLRFaV2RKfTVhWUYnT4miM6XrpvT
dZdECuwSGYTmzHYSUl34RPhHblqr0RjeDfUenOZ2IWm4p7qk5Ajah5supI6VVl8KTUYZoITUB1AD
IlUwSzNFXTkpTO2J0eoKWtSNj5dM7YFUoByJ30zLBcORxyUqKjCZxNAQPF8E9sCuwrSnTVQmxpcK
uf5gqsLHwWAcKDuQjIfmqNgZ2TpEMNTfAoWcHCUQ/4yTFsHOsiAptkmGjge5nHvXpkLSLDYojrOz
IJlwAWofFKvk1km9QPkdFf+8yT1U+tMN+o1d2973QiOxkEtqdonLAGlZy30qaTk6qHyT7GMMWoFe
pFXV3pshmqi5Y3A7qymzW5Xuvi45Ta+3FuCnAHEUORW6iYGczkThLMUfRUdmkfc9DV/VBmkQHNRW
JWMFZ3rLZGZNNY8ukr/jwbVgv6cih05jRVvX2hk40LAwwME3EC8nEvjxi20qs94qj6LQSspWgeKH
XFB9ouERTYnj4hMNItZnlhKPWKbxaSnBjzPRyL7BBSF/ImgKpNZFgUp3Za9cUDGn7LvVTdETA0qo
wnSZlV6aMHZQPZTCu7hSgwu3Uq/oKnANhTCbKBs5Rn3MIbshJ3q+yNiHTrXY25wHJRr9VMfjM8OR
vqK3QaQoKYSfsBnYKYFy0skH7s19boIYUTJDutYLpTzxDeOLBbFSMz5aoKrHOMnxo186/lwSQTWt
NNtcQOcpgUDU+ucCQBLK/Y4ZzaIsdOD6xWj2bQYYquXcVioBuqtyYOqbimoEHYkXVo4DRc06+loD
ezyPstqEBgZJzwaaj9abU8w6N9oQz4BztXIErn3XaeBaw9iH8eCCKMXpOzXDLlhDY7HPcxy1taLn
7ZdIUf1PfQtXPqb36OeEdJczrbqAPaCCNhZPWqMHYtzWnmjwpsitgYVJLl1s7gKJLf8a7b7ogu1n
c2lXnPtQH3Tfm2Vl6txKXtiucrco5lGA6hwZErrlsFpYOG0HaxqYmDGp1TS86dDRgLwuG1d9Crob
RWs7IeYp0Js+//drs8cC7HyDAf0B2QlEdNe0ccB9rrCX8i75a1/69UB7UNGHpEIaEuCpC4J1r2oL
dHKvzLv9RVuU6q8GCIHCltU3QKiSIo/oScglM1SYxENWZ/uBrsLBHi4ToOhw7W71Zm5+9vS/frAf
0bM/jrP323+Kk1XQK/6Tz/9ujDfPL3h+2TBNWVXs7QXI8u00aNvPhaAf21uD/tXb//96fhsK2p97
/T9/fEUfmTZ8Paby3XObI3CnuMeWvnv98OyxtCN6/QPK4fDnt0e2wruVaV+5vXjMvdevjughiBAB
Qm3bCyWC45oGAbDiYCsQI5tKoCyrwMHfPr5qjXSZ7uNYwm518PmxPb6QWbJ/ZhP8+SowR4oqa6hx
P79k+Z0VqGBeDJMeA7p5pFZANfTgWbBHyAdiAi8b/jDinjGwVwAQx6cXr1vlsRmD8gNz4icn4s+N
QRlpqq1y6O2OP/m9MWjWCL/QGHreHumaULShpfdhS0Idob0yvGcsa3ux1b41BkMesWfSzpVl8fL5
cRkD75AcyMF7ozoCaTY4B8/n4HtzGLZIywJmM8jNHNcM8AYt4HmHGYJi0PIXPIus/8sPfGsImj2C
UqySkXheDrt96IgcBSED5z50GsSIWqLGethZ+4+7goYfiSNpieFLXIAfj8saVJnN+9BpIFxgRxiQ
oe+PSHPEn4cj9Ajf/1af6bBlQJygYQFQZ54N4N3z69rIUAxloLbtvrCb6mNaBhDIdkb5LoD9MVz8
+eGIjJaFCwAV8I+nAU9p4AgC9X0Op45vGRA2HHwo0NBc1hVygi/T8O501MTIkiEZIhS42w2Ozm+2
VU3Gmz10PxA63hIcRdbF64O+Px0gFw6aZ6+fH9e2KICPH+w6CwIoDkBOhWfX+F0cpeFO2UQQ9otP
eXxh5HByHWoNOlZPRVxmG9xdrP631qBCEWDhaDL5lu11fJsktOnDfQVzxAlpkVTgP9trfxqIIABb
WYLGdLtpODproDor7IFTcdihaY1MQInMwE98Z4Psisw3LPvZtzw+e2BZHDwNKrESTS6E/S6g1hWW
A6cRH+7s4OgiCH6y2L2TA3wGoY50UF0GxKDXVf92V9CIMAQyBRa8ru11dB6kCsvoYCvAdRYWfXHe
5tL2psEiguA+QzC5vf6NxfAn3MzXwsXE88Nv25KF/1i8EbT4P7/wktf+cYDnfP3y23/+Bynpve8N
Whe7kR9ftS/+sedfbnPKbz58yTFvb/P8z5+f78c7793r5aFe/rjwH/N1/uB12w+65195uY4ofPzX
Q/74tpICKe3lf/9QnuN1I/zloKiFJuviZaBhPnaJuX893g+6H39u4GjdJ/G7kbdZnkNHHq89f/32
B+/yyYcOO3v8xtyHH/5I32RXtzj0DtMi/f577qMmfLuOyz0x4efC0KF3mCf+93/uv8xdQuXQgS/W
+Tr2vv/33o9+zlIcPvarvvKHb8xNFe69XNwzfLK/8SYvgw22LmSO8Zc//PVVtFrn++o2gmDy7xl3
/f33+3fWvi0fHDohq8c8Xkf31cP+K91F3IcOfuMnH749fjhdg03I92+wi13+jhvMMUlugslcJnm5
tzUSIQ2hwd97l/eGufOzDr3HsBWsP0wozed+vP+id479wTdg1X5YrSFxvkzI1vB3btLBgz/mrp/u
zf1z0u7Qke+SB2bGj/d2s2ev5tCxf65G9Xrg/7VD74JXWHyYc474+797V/g99Hev/HX1/fe3r3Go
KKsvf/jr+9cv2PUHzshNEn/7/j/x/oH9GqsdPCHDsbS/875miQ4de/L4flN/Lc/8eug/8vxeYQg/
+oMv6JI/+mf7vu7wjYeQn/WP/wUAAP//</cx:binary>
              </cx:geoCache>
            </cx:geography>
          </cx:layoutPr>
          <cx:valueColors>
            <cx:minColor>
              <a:srgbClr val="BDE1D1"/>
            </cx:minColor>
            <cx:maxColor>
              <a:srgbClr val="1A7274"/>
            </cx:maxColor>
          </cx:valueColors>
        </cx:series>
      </cx:plotAreaRegion>
    </cx:plotArea>
    <cx:legend pos="r" align="min" overlay="0">
      <cx:txPr>
        <a:bodyPr vertOverflow="overflow" horzOverflow="overflow" wrap="square" lIns="0" tIns="0" rIns="0" bIns="0"/>
        <a:lstStyle/>
        <a:p>
          <a:pPr algn="ctr" rtl="0">
            <a:defRPr lang="pt-BR" sz="105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defRPr>
          </a:pPr>
          <a:endParaRPr lang="pt-BR" sz="105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  <a:ea typeface="Calibri" panose="020F0502020204030204" pitchFamily="34" charset="0"/>
            <a:cs typeface="Calibri" panose="020F0502020204030204" pitchFamily="34" charset="0"/>
          </a:endParaRPr>
        </a:p>
      </cx:txPr>
    </cx:legend>
  </cx:chart>
  <cx:spPr>
    <a:ln>
      <a:solidFill>
        <a:schemeClr val="accent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506730</xdr:colOff>
      <xdr:row>10</xdr:row>
      <xdr:rowOff>64770</xdr:rowOff>
    </xdr:from>
    <xdr:to>
      <xdr:col>11</xdr:col>
      <xdr:colOff>779490</xdr:colOff>
      <xdr:row>29</xdr:row>
      <xdr:rowOff>10050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9905BD2A-260A-147A-C9CE-3DF459970C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98870" y="1916430"/>
              <a:ext cx="4860000" cy="34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1</xdr:row>
      <xdr:rowOff>144780</xdr:rowOff>
    </xdr:from>
    <xdr:to>
      <xdr:col>12</xdr:col>
      <xdr:colOff>396240</xdr:colOff>
      <xdr:row>24</xdr:row>
      <xdr:rowOff>60960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CDDBD69-C653-E6BA-CD75-6C45C31173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236220</xdr:colOff>
      <xdr:row>1</xdr:row>
      <xdr:rowOff>11430</xdr:rowOff>
    </xdr:from>
    <xdr:to>
      <xdr:col>13</xdr:col>
      <xdr:colOff>7620</xdr:colOff>
      <xdr:row>22</xdr:row>
      <xdr:rowOff>45720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6F5F73-FA68-B817-3868-9D21A1A84F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1</xdr:row>
      <xdr:rowOff>72390</xdr:rowOff>
    </xdr:from>
    <xdr:to>
      <xdr:col>11</xdr:col>
      <xdr:colOff>175260</xdr:colOff>
      <xdr:row>24</xdr:row>
      <xdr:rowOff>175260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0F68F03B-DA53-4C6A-4F3A-8DF30FE1D1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02280" y="255270"/>
              <a:ext cx="5128260" cy="43091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373380</xdr:colOff>
      <xdr:row>0</xdr:row>
      <xdr:rowOff>53340</xdr:rowOff>
    </xdr:from>
    <xdr:to>
      <xdr:col>13</xdr:col>
      <xdr:colOff>356580</xdr:colOff>
      <xdr:row>18</xdr:row>
      <xdr:rowOff>181500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ADE3E6E-7339-AD9D-E2D8-3686C91195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464820</xdr:colOff>
      <xdr:row>0</xdr:row>
      <xdr:rowOff>57150</xdr:rowOff>
    </xdr:from>
    <xdr:to>
      <xdr:col>21</xdr:col>
      <xdr:colOff>448020</xdr:colOff>
      <xdr:row>19</xdr:row>
      <xdr:rowOff>2430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88B6079-19D2-3B17-E273-81045D936C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381000</xdr:colOff>
      <xdr:row>19</xdr:row>
      <xdr:rowOff>102870</xdr:rowOff>
    </xdr:from>
    <xdr:to>
      <xdr:col>13</xdr:col>
      <xdr:colOff>364200</xdr:colOff>
      <xdr:row>38</xdr:row>
      <xdr:rowOff>48150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A459968-8FA1-3678-027D-16F51C8CD2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464820</xdr:colOff>
      <xdr:row>19</xdr:row>
      <xdr:rowOff>80010</xdr:rowOff>
    </xdr:from>
    <xdr:to>
      <xdr:col>21</xdr:col>
      <xdr:colOff>448020</xdr:colOff>
      <xdr:row>38</xdr:row>
      <xdr:rowOff>25290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3231DBC-CC54-FCAA-BB5B-33944EACB5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403860</xdr:colOff>
      <xdr:row>38</xdr:row>
      <xdr:rowOff>83820</xdr:rowOff>
    </xdr:from>
    <xdr:to>
      <xdr:col>13</xdr:col>
      <xdr:colOff>387060</xdr:colOff>
      <xdr:row>57</xdr:row>
      <xdr:rowOff>29100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D4E20DB-1ABB-31A1-635F-C3D370AA01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480060</xdr:colOff>
      <xdr:row>38</xdr:row>
      <xdr:rowOff>64770</xdr:rowOff>
    </xdr:from>
    <xdr:to>
      <xdr:col>21</xdr:col>
      <xdr:colOff>463260</xdr:colOff>
      <xdr:row>57</xdr:row>
      <xdr:rowOff>10050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F9DEDDC-40A8-5365-C80E-A6DC9E8F84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e Oliveira" refreshedDate="45978.028430324077" createdVersion="8" refreshedVersion="8" minRefreshableVersion="3" recordCount="1278" xr:uid="{A0739D5C-DBF4-455F-ABC2-36A32A26419D}">
  <cacheSource type="worksheet">
    <worksheetSource name="disque100_primeiro_semestre_2025__1"/>
  </cacheSource>
  <cacheFields count="25">
    <cacheField name="hash" numFmtId="0">
      <sharedItems/>
    </cacheField>
    <cacheField name="Data_de_cadastro" numFmtId="14">
      <sharedItems containsSemiMixedTypes="0" containsNonDate="0" containsDate="1" containsString="0" minDate="2025-01-01T00:00:00" maxDate="2025-07-01T00:00:00" count="181">
        <d v="2025-01-01T00:00:00"/>
        <d v="2025-01-03T00:00:00"/>
        <d v="2025-01-05T00:00:00"/>
        <d v="2025-01-06T00:00:00"/>
        <d v="2025-01-08T00:00:00"/>
        <d v="2025-01-09T00:00:00"/>
        <d v="2025-01-10T00:00:00"/>
        <d v="2025-01-11T00:00:00"/>
        <d v="2025-01-12T00:00:00"/>
        <d v="2025-01-13T00:00:00"/>
        <d v="2025-01-15T00:00:00"/>
        <d v="2025-01-16T00:00:00"/>
        <d v="2025-01-17T00:00:00"/>
        <d v="2025-01-18T00:00:00"/>
        <d v="2025-01-20T00:00:00"/>
        <d v="2025-01-21T00:00:00"/>
        <d v="2025-01-22T00:00:00"/>
        <d v="2025-01-23T00:00:00"/>
        <d v="2025-01-24T00:00:00"/>
        <d v="2025-01-25T00:00:00"/>
        <d v="2025-01-27T00:00:00"/>
        <d v="2025-01-28T00:00:00"/>
        <d v="2025-01-29T00:00:00"/>
        <d v="2025-01-30T00:00:00"/>
        <d v="2025-01-31T00:00:00"/>
        <d v="2025-02-01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1T00:00:00"/>
        <d v="2025-02-12T00:00:00"/>
        <d v="2025-02-13T00:00:00"/>
        <d v="2025-02-15T00:00:00"/>
        <d v="2025-02-16T00:00:00"/>
        <d v="2025-02-18T00:00:00"/>
        <d v="2025-02-19T00:00:00"/>
        <d v="2025-02-20T00:00:00"/>
        <d v="2025-02-21T00:00:00"/>
        <d v="2025-02-23T00:00:00"/>
        <d v="2025-02-24T00:00:00"/>
        <d v="2025-02-25T00:00:00"/>
        <d v="2025-02-26T00:00:00"/>
        <d v="2025-03-02T00:00:00"/>
        <d v="2025-03-03T00:00:00"/>
        <d v="2025-03-06T00:00:00"/>
        <d v="2025-03-07T00:00:00"/>
        <d v="2025-03-11T00:00:00"/>
        <d v="2025-03-14T00:00:00"/>
        <d v="2025-03-15T00:00:00"/>
        <d v="2025-03-17T00:00:00"/>
        <d v="2025-03-18T00:00:00"/>
        <d v="2025-03-20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7T00:00:00"/>
        <d v="2025-04-08T00:00:00"/>
        <d v="2025-04-09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20T00:00:00"/>
        <d v="2025-04-21T00:00:00"/>
        <d v="2025-04-22T00:00:00"/>
        <d v="2025-04-24T00:00:00"/>
        <d v="2025-04-25T00:00:00"/>
        <d v="2025-04-26T00:00:00"/>
        <d v="2025-04-28T00:00:00"/>
        <d v="2025-04-29T00:00:00"/>
        <d v="2025-04-30T00:00:00"/>
        <d v="2025-05-02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6-02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1T00:00:00"/>
        <d v="2025-06-23T00:00:00"/>
        <d v="2025-06-25T00:00:00"/>
        <d v="2025-06-26T00:00:00"/>
        <d v="2025-06-27T00:00:00"/>
        <d v="2025-06-28T00:00:00"/>
        <d v="2025-06-29T00:00:00"/>
        <d v="2025-06-30T00:00:00"/>
        <d v="2025-01-02T00:00:00" u="1"/>
        <d v="2025-01-04T00:00:00" u="1"/>
        <d v="2025-01-07T00:00:00" u="1"/>
        <d v="2025-01-14T00:00:00" u="1"/>
        <d v="2025-01-19T00:00:00" u="1"/>
        <d v="2025-01-26T00:00:00" u="1"/>
        <d v="2025-02-02T00:00:00" u="1"/>
        <d v="2025-02-10T00:00:00" u="1"/>
        <d v="2025-02-14T00:00:00" u="1"/>
        <d v="2025-02-17T00:00:00" u="1"/>
        <d v="2025-02-22T00:00:00" u="1"/>
        <d v="2025-02-27T00:00:00" u="1"/>
        <d v="2025-02-28T00:00:00" u="1"/>
        <d v="2025-03-01T00:00:00" u="1"/>
        <d v="2025-03-04T00:00:00" u="1"/>
        <d v="2025-03-05T00:00:00" u="1"/>
        <d v="2025-03-08T00:00:00" u="1"/>
        <d v="2025-03-09T00:00:00" u="1"/>
        <d v="2025-03-10T00:00:00" u="1"/>
        <d v="2025-03-12T00:00:00" u="1"/>
        <d v="2025-03-13T00:00:00" u="1"/>
        <d v="2025-03-16T00:00:00" u="1"/>
        <d v="2025-03-19T00:00:00" u="1"/>
        <d v="2025-03-21T00:00:00" u="1"/>
        <d v="2025-04-06T00:00:00" u="1"/>
        <d v="2025-04-10T00:00:00" u="1"/>
        <d v="2025-04-19T00:00:00" u="1"/>
        <d v="2025-04-23T00:00:00" u="1"/>
        <d v="2025-04-27T00:00:00" u="1"/>
        <d v="2025-05-01T00:00:00" u="1"/>
        <d v="2025-05-03T00:00:00" u="1"/>
        <d v="2025-05-04T00:00:00" u="1"/>
        <d v="2025-05-16T00:00:00" u="1"/>
        <d v="2025-05-30T00:00:00" u="1"/>
        <d v="2025-05-31T00:00:00" u="1"/>
        <d v="2025-06-01T00:00:00" u="1"/>
        <d v="2025-06-03T00:00:00" u="1"/>
        <d v="2025-06-20T00:00:00" u="1"/>
        <d v="2025-06-22T00:00:00" u="1"/>
        <d v="2025-06-24T00:00:00" u="1"/>
      </sharedItems>
      <fieldGroup par="24"/>
    </cacheField>
    <cacheField name="Cenário_da_violação" numFmtId="0">
      <sharedItems/>
    </cacheField>
    <cacheField name="UF" numFmtId="0">
      <sharedItems count="31">
        <s v="DF"/>
        <s v="SP"/>
        <s v="RJ"/>
        <s v="BA"/>
        <s v="MG"/>
        <s v="MS"/>
        <s v="GO"/>
        <s v="ES"/>
        <s v="RO"/>
        <s v="SC"/>
        <s v="CE"/>
        <s v="TO"/>
        <s v="NÃO INFORMADO"/>
        <s v="PE"/>
        <s v="RN"/>
        <s v="PR"/>
        <s v="RS"/>
        <s v="PA"/>
        <s v="MA"/>
        <s v="PB"/>
        <s v="AM"/>
        <s v="PI"/>
        <s v="AL"/>
        <s v="SE"/>
        <s v="MT" u="1"/>
        <s v="AP" u="1"/>
        <s v="AC" u="1"/>
        <s v="RR" u="1"/>
        <s v="DENUNCIANTE NÃO SOUBE INFORMAR" u="1"/>
        <s v="NULL" u="1"/>
        <s v="ATENDIMENTO INTERROMPIDO" u="1"/>
      </sharedItems>
    </cacheField>
    <cacheField name="Início_das_violações" numFmtId="0">
      <sharedItems/>
    </cacheField>
    <cacheField name="Grupo_vulnerável" numFmtId="0">
      <sharedItems/>
    </cacheField>
    <cacheField name="Relação_vítima_suspeito" numFmtId="0">
      <sharedItems/>
    </cacheField>
    <cacheField name="Genero_da_vítima" numFmtId="0">
      <sharedItems count="4">
        <s v="MASCULINO"/>
        <s v="NÃO INFORMADO"/>
        <s v="INTERSEXO"/>
        <s v="NÃO SE APLICA - VÍTIMA COMUNIDADE/FAMÍLIA" u="1"/>
      </sharedItems>
    </cacheField>
    <cacheField name="Faixa_etária_da_vítima" numFmtId="0">
      <sharedItems count="10">
        <s v="40 A 44 ANOS"/>
        <s v="18 A 19 ANOS"/>
        <s v="25 A 29 ANOS"/>
        <s v="35 A 39 ANOS"/>
        <s v="20 A 24 ANOS"/>
        <s v="45 A 49 ANOS"/>
        <s v="50 A 54 ANOS"/>
        <s v="30 A 34 ANOS"/>
        <s v="NÃO INFORMADO"/>
        <s v="55 A 59 ANOS"/>
      </sharedItems>
    </cacheField>
    <cacheField name="UF_da_vítima" numFmtId="0">
      <sharedItems/>
    </cacheField>
    <cacheField name="Grau_de_instrução_da_vítima" numFmtId="0">
      <sharedItems count="10">
        <s v="NÃO INFORMADO"/>
        <s v="ENSINO FUNDAMENTAL INCOMPLETO"/>
        <s v="SUPERIOR INCOMPLETO"/>
        <s v="ENSINO MÉDIO COMPLETO"/>
        <s v="ANALFABETO/SEM INSTRUÇÃO"/>
        <s v="MESTRADO"/>
        <s v="ENSINO MÉDIO INCOMPLETO"/>
        <s v="SUPERIOR COMPLETO"/>
        <s v="PÓS-GRADUAÇÃO"/>
        <s v="ENSINO FUNDAMENTAL COMPLETO"/>
      </sharedItems>
    </cacheField>
    <cacheField name="Religião_da_vítima" numFmtId="0">
      <sharedItems count="25">
        <s v="AGNÓSTICO/ATEU/SEM RELIGIÃO"/>
        <s v="RELIGIOSIDADES AFROBRASILEIRA"/>
        <s v="CATÓLICA"/>
        <s v="UMBANDA E CANDOMBLÉ"/>
        <s v="EVANGÉLICA"/>
        <s v="JUDAÍSMO"/>
        <s v="ESPÍRITA"/>
        <s v="ISLAMISMO"/>
        <s v="OUTRAS RELIGIOSIDADES CRISTÃS"/>
        <s v="NÃO DETERMINADA E MULTIPLO PERTENCIMENTO"/>
        <s v="BUDISMO" u="1"/>
        <s v="OUTRAS RELIGIOSIDADES" u="1"/>
        <s v="TRADIÇÕES INDÍGENAS" u="1"/>
        <s v="OUTRAS DECLARAÇÕES DE RELIGIOSIDADES AFROBRASILEIRA" u="1"/>
        <s v="UMBANDA E CANDOMBLÉ E CANDOMBLÉ" u="1"/>
        <s v="UMBANDA E CANDOMBLÉ E UMBANDA E CANDOMBLÉ E CANDOMBLÉ" u="1"/>
        <s v="NULL" u="1"/>
        <s v="NÃO SABE" u="1"/>
        <s v="UMBANDA" u="1"/>
        <s v="CANDOMBLÉ" u="1"/>
        <s v="CATÓLICA APOSTÓLICA ROMANA" u="1"/>
        <s v="CATÓLICA APOSTÓLICA BRASILEIRA" u="1"/>
        <s v="TESTEMUNHAS DE JEOVÁ" u="1"/>
        <s v="IGREJA DE JESUS CRISTO DOS SANTOS DOS ÚLTIMOS DIAS" u="1"/>
        <s v="ESPIRITUALISTA" u="1"/>
      </sharedItems>
    </cacheField>
    <cacheField name="Raça_Cor_da_vítima" numFmtId="0">
      <sharedItems count="7">
        <s v="PARDA"/>
        <s v="NÃO INFORMADO"/>
        <s v="BRANCA"/>
        <s v="PRETA"/>
        <s v="AMARELA"/>
        <s v="INDÍGENA"/>
        <s v="NULL" u="1"/>
      </sharedItems>
    </cacheField>
    <cacheField name="Etnia_da_vítima" numFmtId="0">
      <sharedItems/>
    </cacheField>
    <cacheField name="Genero_do_suspeito" numFmtId="0">
      <sharedItems count="3">
        <s v="MASCULINO"/>
        <s v="NÃO INFORMADO"/>
        <s v="FEMININO"/>
      </sharedItems>
    </cacheField>
    <cacheField name="Faixa_etária_do_suspeito" numFmtId="0">
      <sharedItems count="20">
        <s v="NÃO INFORMADO"/>
        <s v="ACIMA DE 59 ANOS"/>
        <s v="50 A 54 ANOS"/>
        <s v="20 A 24 ANOS"/>
        <s v="40 A 44 ANOS"/>
        <s v="30 A 34 ANOS"/>
        <s v="35 A 39 ANOS"/>
        <s v="45 A 49 ANOS"/>
        <s v="55 A 59 ANOS"/>
        <s v="25 A 29 ANOS"/>
        <s v="18 A 19 ANOS"/>
        <s v="16 ANOS"/>
        <s v="17 ANOS"/>
        <s v="75 A 79 ANOS" u="1"/>
        <s v="85 A 89 ANOS" u="1"/>
        <s v="60 A 64 ANOS" u="1"/>
        <s v="70 A 74 ANOS" u="1"/>
        <s v="65 A 69 ANOS" u="1"/>
        <s v="80 A 84 ANOS" u="1"/>
        <s v="IDOSO IDADE NÃO INFORMADA" u="1"/>
      </sharedItems>
    </cacheField>
    <cacheField name="Suspeito_preso" numFmtId="0">
      <sharedItems/>
    </cacheField>
    <cacheField name="UF_do_suspeito" numFmtId="0">
      <sharedItems/>
    </cacheField>
    <cacheField name="Religião_do_suspeito" numFmtId="0">
      <sharedItems/>
    </cacheField>
    <cacheField name="Raça_Cor_do_suspeito" numFmtId="0">
      <sharedItems count="5">
        <s v="BRANCA"/>
        <s v="NÃO INFORMADO"/>
        <s v="PARDA"/>
        <s v="PRETA"/>
        <s v="INDÍGENA"/>
      </sharedItems>
    </cacheField>
    <cacheField name="sl_suspeito_ramo" numFmtId="0">
      <sharedItems/>
    </cacheField>
    <cacheField name="violacao" numFmtId="0">
      <sharedItems count="116">
        <s v="LIBERDADE&gt;DE RELIGIÃO ou CRENÇA&gt;DE CRENÇA"/>
        <s v="LIBERDADE&gt;DE RELIGIÃO ou CRENÇA&gt;NÃO CRENÇA"/>
        <s v="LIBERDADE&gt;DE RELIGIÃO ou CRENÇA&gt;DE CULTO"/>
        <s v="INTEGRIDADE&gt;NEGLIGÊNCIA" u="1"/>
        <s v="INTEGRIDADE&gt;FÍSICA&gt;MAUS TRATOS" u="1"/>
        <s v="INTEGRIDADE&gt;PSÍQUICA&gt;CONSTRANGIMENTO" u="1"/>
        <s v="INTEGRIDADE&gt;FÍSICA&gt;AGRESSÃO ou VIAS DE FATO" u="1"/>
        <s v="INTEGRIDADE&gt;PSÍQUICA&gt;AMEAÇA ou COAÇÃO" u="1"/>
        <s v="INTEGRIDADE&gt;PSÍQUICA&gt;DIFAMAÇÃO" u="1"/>
        <s v="INTEGRIDADE&gt;PATRIMONIAL&gt;INDIVIDUAL" u="1"/>
        <s v="INTEGRIDADE&gt;PSÍQUICA&gt;INJÚRIA" u="1"/>
        <s v="INTEGRIDADE&gt;PSÍQUICA&gt;CALÚNIA" u="1"/>
        <s v="INTEGRIDADE&gt;FÍSICA&gt;EXPOSIÇÃO DE RISCO À SAÚDE" u="1"/>
        <s v="IGUALDADE&gt;DISCRIMINAÇÃO" u="1"/>
        <s v="INTEGRIDADE&gt;PSÍQUICA&gt;TORTURA PSÍQUICA" u="1"/>
        <s v="DIREITOS SOCIAIS&gt;TRABALHO&gt;NEGLIGÊNCIA INTITUCIONAL&gt;CONDIÇÕES DE TRABALHO INDIGNAS OU DEGRADANTES" u="1"/>
        <s v="INTEGRIDADE&gt;FÍSICA&gt;TORTURA FÍSICA" u="1"/>
        <s v="INTEGRIDADE&gt;PSÍQUICA&gt;EXPOSIÇÃO" u="1"/>
        <s v="LIBERDADE&gt;LABORAL&gt;EXPLORAÇÃO DO TRABALHO" u="1"/>
        <s v="INTEGRIDADE&gt;FÍSICA&gt;LESÃO CORPORAL" u="1"/>
        <s v="INTEGRIDADE&gt;PSÍQUICA&gt;ASSÉDIO MORAL" u="1"/>
        <s v="LIBERDADE&gt;DIREITOS INDIVIDUAIS&gt;LIBERDADE DE IR VIR PERMANECER" u="1"/>
        <s v="LIBERDADE&gt;DIREITOS INDIVIDUAIS&gt;CONDIÇÃO ANÁLOGA À DE ESCRAVO&gt;SUBMETER TRABALHADOR A TRABALHOS FORÇADOS" u="1"/>
        <s v="INTEGRIDADE&gt;FÍSICA&gt;OUTROS" u="1"/>
        <s v="LIBERDADE&gt;DIREITOS INDIVIDUAIS&gt;CONDIÇÃO ANÁLOGA À DE ESCRAVO&gt;SUJEITAR TRABALHADOR A CONDIÇÕES DEGRADANTES" u="1"/>
        <s v="INTEGRIDADE&gt;FÍSICA&gt;INSUBSISTÊNCIA MATERIAL" u="1"/>
        <s v="DIREITOS SOCIAIS&gt;ASSISTÊNCIA AOS DESAMPARADOS" u="1"/>
        <s v="INTEGRIDADE&gt;PSÍQUICA&gt;INSUBSISTÊNCIA AFETIVA" u="1"/>
        <s v="DIREITOS CIVIS E POLÍTICOS&gt;LIVRE EXERCÍCIO DO PODER FAMILIAR" u="1"/>
        <s v="INTEGRIDADE&gt;FÍSICA&gt;ABANDONO" u="1"/>
        <s v="DIREITOS SOCIAIS&gt;SAÚDE" u="1"/>
        <s v="VIOLÊNCIA INSTITUCIONAL" u="1"/>
        <s v="DIREITOS SOCIAIS&gt;SEGURANÇA" u="1"/>
        <s v="VIOLÊNCIA INSTITUCIONAL&gt;EM RAZÃO DE SER POLICIAL/MILITAR/DEMAIS AGENTE DE SEGURANÇA PÚBLICA" u="1"/>
        <s v="INTEGRIDADE&gt;PATRIMONIAL&gt;COLETIVO" u="1"/>
        <s v="INTEGRIDADE&gt;PSÍQUICA&gt;BULLYING" u="1"/>
        <s v="LIBERDADE&gt;DIREITOS INDIVIDUAIS&gt;AUTONOMIA DE VONTADE" u="1"/>
        <s v="LIBERDADE&gt;DIREITOS INDIVIDUAIS&gt;CONDIÇÃO ANÁLOGA À DE ESCRAVO&gt;TRANSPORTAR TRABALHADOR PARA FINS DE EXPLORAÇÃO " u="1"/>
        <s v="LIBERDADE&gt;DIREITOS INDIVIDUAIS&gt;SEQUESTRO" u="1"/>
        <s v="LIBERDADE&gt;DIREITOS INDIVIDUAIS&gt;STALKING" u="1"/>
        <s v="LIBERDADE&gt;DIREITOS INDIVIDUAIS&gt;CONDIÇÃO ANÁLOGA À DE ESCRAVO&gt;SUBMETER TRABALHADOR A JORNADA EXAUSTIVA" u="1"/>
        <s v="MEIO AMBIENTE&gt;SOLO" u="1"/>
        <s v="MEIO AMBIENTE&gt;FAUNA" u="1"/>
        <s v="MEIO AMBIENTE&gt;FLORA" u="1"/>
        <s v="MEIO AMBIENTE&gt;ÁGUA" u="1"/>
        <s v="LIBERDADE&gt;SEXUAL&gt;ESTUPRO DE VULNERÁVEL" u="1"/>
        <s v="DIREITOS SOCIAIS&gt;TRABALHO&gt;NEGLIGÊNCIA INTITUCIONAL&gt;OMISSÃO DE ATENDIMENTO A DOENÇAS OCUPACIONAIS" u="1"/>
        <s v="LIBERDADE&gt;DIREITOS INDIVIDUAIS&gt;FALTA DE ACESSIBILIDADE&gt;NO ESPAÇO EDIFICADO" u="1"/>
        <s v="DIREITOS SOCIAIS&gt;ALIMENTAÇÃO" u="1"/>
        <s v="DIREITOS SOCIAIS&gt;TRABALHO&gt;CONSTRANGIMENTO NO AMBIENTE PROFISSIONAL/PUNIÇÃO POR MEIOS DISSIMULADOS" u="1"/>
        <s v="DIREITOS SOCIAIS&gt;PREVIDÊNCIA SOCIAL" u="1"/>
        <s v="DIREITOS SOCIAIS&gt;LAZER" u="1"/>
        <s v="IGUALDADE&gt;RACISMO" u="1"/>
        <s v="IGUALDADE&gt;INJÚRIA RACIAL E ÉTNICA" u="1"/>
        <s v="LIBERDADE&gt;EXPRESSÃO&gt;LIBERDADE ACADÊMICA (CÁTEDRA)" u="1"/>
        <s v="LIBERDADE&gt;DIREITOS INDIVIDUAIS&gt;CÁRCERE PRIVADO" u="1"/>
        <s v="LIBERDADE&gt;EXPRESSÃO&gt;LIBERDADE DE CONSCIÊNCIA E DE PENSAMENTO" u="1"/>
        <s v="LIBERDADE&gt;SEXUAL&gt;PSÍQUICA&gt;ABUSO SEXUAL PSÍQUICO" u="1"/>
        <s v="VIDA&gt;HOMICÍDIO" u="1"/>
        <s v="LIBERDADE&gt;SEXUAL&gt;FÍSICA&gt;ABUSO SEXUAL FÍSICO" u="1"/>
        <s v="LIBERDADE&gt;SEXUAL&gt;IMPORTUNAÇÃO SEXUAL" u="1"/>
        <s v="VIDA&gt;ABORTO" u="1"/>
        <s v="INTEGRIDADE&gt;FÍSICA&gt;INSUBSISTÊNCIA INTELECTUAL" u="1"/>
        <s v="DIREITOS CIVIS E POLÍTICOS&gt;PROPRIEDADE&gt;PATRIMÔNIO MATERIAL" u="1"/>
        <s v="DIREITOS CIVIS E POLÍTICOS&gt;ACESSO À INFORMAÇÃO" u="1"/>
        <s v="DIREITOS SOCIAIS&gt;TRABALHO&gt;PRÁTICAS INSTITUCIONAIS QUE VIOLAM DIREITOS HUMANOS&gt;INCITAÇÃO OU CONSTRANGIMENTO A COMPORTAMENTOS NÃO COERENTES COM OS DIREITOS HUMANOS" u="1"/>
        <s v="DIREITOS SOCIAIS&gt;TRABALHO&gt;PRÁTICAS INSTITUCIONAIS QUE VIOLAM DIREITOS HUMANOS&gt;PROCEDIMENTOS EXPLÍCITOS EM PROTOCOLOS OU MANUAIS NÃO COERENTES COM OS DIREITOS HUMANOS" u="1"/>
        <s v="DIREITOS CIVIS E POLÍTICOS&gt;RETENÇÃO DE DOCUMENTOS" u="1"/>
        <s v="DIREITOS SOCIAIS&gt;MORADIA" u="1"/>
        <s v="LIBERDADE&gt;SEXUAL&gt;PSÍQUICA&gt;ASSÉDIO SEXUAL" u="1"/>
        <s v="LIBERDADE&gt;SEXUAL&gt;FÍSICA&gt;ESTUPRO" u="1"/>
        <s v="VIDA&gt;INCITAÇÃO AO SUICÍDIO" u="1"/>
        <s v="INTEGRIDADE&gt;PSÍQUICA&gt;EXPOSIÇÃO (EROTIZAÇÃO)" u="1"/>
        <s v="LIBERDADE&gt;DIREITOS INDIVIDUAIS&gt;FALTA DE ACESSIBILIDADE&gt;NOS MEIOS DE TRANSPORTE" u="1"/>
        <s v="DIREITOS SOCIAIS&gt;TRABALHO&gt;NEGLIGÊNCIA INTITUCIONAL&gt;OMISSÃO DE ATENDIMENTO A SOFRIMENTO PSÍQUICO" u="1"/>
        <s v="LIBERDADE&gt;DIREITOS INDIVIDUAIS&gt;FALTA DE ACESSIBILIDADE&gt;NO ESPAÇO URBANO" u="1"/>
        <s v="INTEGRIDADE&gt;FÍSICA&gt;SITUAÇÃO DE RUA ou ABANDONO MATERIAL" u="1"/>
        <s v="DIREITOS CIVIS E POLÍTICOS&gt;MEMÓRIA E VERDADE" u="1"/>
        <s v="LIBERDADE&gt;DIREITOS INDIVIDUAIS&gt;FALTA DE ACESSIBILIDADE&gt;NOS SISTEMAS DE COMUNICAÇÃO OU DE TECNOLOGIA DA INFORMAÇÃO" u="1"/>
        <s v="DIREITOS SOCIAIS&gt;TRABALHO&gt;NEGLIGÊNCIA INTITUCIONAL&gt;EXPOSIÇÃO EXCESSIVA A RISCO DE INTEGRIDADE DO PROFISSIONAL OU DE SEUS FAMILIARES" u="1"/>
        <s v="LIBERDADE&gt;DIREITOS INDIVIDUAIS&gt;CONDIÇÃO ANÁLOGA À DE ESCRAVO&gt;RESTRINGIR A LOCOMOÇÃO DE TRABALHADOR EM RAZÃO DE DÍVIDA" u="1"/>
        <s v="INTEGRIDADE&gt;PATRIMONIAL&gt;CULTURAL" u="1"/>
        <s v="MEIO AMBIENTE&gt;AR" u="1"/>
        <s v="LIBERDADE&gt;LABORAL&gt;IMPEDIMENTO DE TRABALHO/OFÍCIO/PROFISSÃO" u="1"/>
        <s v="DIREITOS SOCIAIS&gt;PROTEÇÃO À INFÂNCIA" u="1"/>
        <s v="DIREITOS SOCIAIS&gt;EDUCAÇÃO" u="1"/>
        <s v="INTEGRIDADE&gt;PSÍQUICA&gt;ALIENAÇÃO PARENTAL" u="1"/>
        <s v="LIBERDADE&gt;DIREITOS INDIVIDUAIS&gt;FALTA DE ACESSIBILIDADE&gt;NA COMUNICAÇÃO" u="1"/>
        <s v="DIREITOS SOCIAIS&gt;TRANSPORTE" u="1"/>
        <s v="LIBERDADE&gt;DIREITOS INDIVIDUAIS&gt;TRABALHO INFANTIL" u="1"/>
        <s v="VIDA&gt;SUICÍDIO" u="1"/>
        <s v="DIREITOS CIVIS E POLÍTICOS&gt;PROPRIEDADE&gt;PATRIMÔNIO IMATERIAL" u="1"/>
        <s v="VIDA&gt;AUTOMUTILAÇAO" u="1"/>
        <s v="DIREITOS SOCIAIS&gt;TRABALHO&gt;NEGLIGÊNCIA INTITUCIONAL&gt;OMISSÃO DE ATENDIMENTO A IDEAÇÃO SUICIDA" u="1"/>
        <s v="LIBERDADE&gt;SEXUAL&gt;VIOLÊNCIA SEXUAL MEDIANTE FRAUDE" u="1"/>
        <s v="LIBERDADE&gt;SEXUAL&gt;FÍSICA&gt;EXPLORAÇÃO SEXUAL" u="1"/>
        <s v="DIREITOS CIVIS E POLÍTICOS&gt;CULTURAL" u="1"/>
        <s v="LIBERDADE&gt;SEXUAL&gt;ESTUPRO VIRTUAL" u="1"/>
        <s v="DIREITOS CIVIS E POLÍTICOS&gt;VIOLÊNCIA POLITÍCA ÉTNICO/RACIAL" u="1"/>
        <s v="LIBERDADE&gt;LABORAL&gt;PARA FINS DE EXPLORAÇÃO DO TRABALHO&gt;DOMÉSTICO" u="1"/>
        <s v="DIREITOS CIVIS E POLÍTICOS&gt;PARTICIPAÇÃO/DEMOCRACIA" u="1"/>
        <s v="DIREITOS CIVIS E POLÍTICOS&gt;VIOLÊNCIA POLITÍCA DE GÊNERO E CONTRA AS MULHERES" u="1"/>
        <s v="LIBERDADE&gt;DIREITOS INDIVIDUAIS&gt;TRÁFICO DE PESSOAS - INTERNACIONAL" u="1"/>
        <s v="LIBERDADE&gt;SEXUAL&gt;ESTUPRO CORRETIVO" u="1"/>
        <s v="LIBERDADE&gt;DIREITOS INDIVIDUAIS&gt;EXTORSÃO MEDIANTE SEQUESTRO" u="1"/>
        <s v="LIBERDADE&gt;EXPRESSÃO&gt;LIBERDADE DE IMPRENSA" u="1"/>
        <s v="DIREITOS SOCIAIS&gt;TRABALHO&gt;NEGLIGÊNCIA INTITUCIONAL&gt;OMISSÃO DE APOIO À FAMÍLIA EM CASO DE MORTE" u="1"/>
        <s v="LIBERDADE&gt;DIREITOS INDIVIDUAIS&gt;TRÁFICO DE PESSOAS - NACIONAL" u="1"/>
        <s v="DIREITOS CIVIS E POLÍTICOS&gt;VOTAR E SER VOTADO" u="1"/>
        <s v="DIREITOS CIVIS E POLÍTICOS&gt;NACIONALIDADE" u="1"/>
        <s v="LIBERDADE&gt;DIREITOS INDIVIDUAIS&gt;DIREITOS DE REPRODUÇÃO" u="1"/>
        <s v="VIDA&gt;GENOCÍDIO" u="1"/>
        <s v="LIBERDADE&gt;DIREITOS INDIVIDUAIS&gt;TRÁFICO DE MULHERES - NACIONAL" u="1"/>
        <s v="LIBERDADE&gt;DIREITOS INDIVIDUAIS&gt;TRÁFICO DE CRIANÇAS - NACIONAL" u="1"/>
        <s v="LIBERDADE&gt;DIREITOS INDIVIDUAIS&gt;TRÁFICO DE CRIANÇAS - INTERNACIONAL" u="1"/>
        <s v="LIBERDADE&gt;DIREITOS INDIVIDUAIS&gt;TRÁFICO DE MULHERES - INTERNACIONAL" u="1"/>
      </sharedItems>
    </cacheField>
    <cacheField name="Data_de_cadastro - Mês" numFmtId="0">
      <sharedItems containsMixedTypes="1" containsNumber="1" containsInteger="1" minValue="1" maxValue="6" count="12">
        <s v="Janeiro"/>
        <s v="Fevereiro"/>
        <s v="Março"/>
        <s v="Abril"/>
        <s v="Maio"/>
        <s v="Junho"/>
        <n v="1" u="1"/>
        <n v="2" u="1"/>
        <n v="3" u="1"/>
        <n v="4" u="1"/>
        <n v="5" u="1"/>
        <n v="6" u="1"/>
      </sharedItems>
    </cacheField>
    <cacheField name="Dias (Data_de_cadastro)" numFmtId="0" databaseField="0">
      <fieldGroup base="1">
        <rangePr groupBy="days" startDate="2025-01-01T00:00:00" endDate="2025-07-01T00:00:00"/>
        <groupItems count="368">
          <s v="&lt;01/01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07/2025"/>
        </groupItems>
      </fieldGroup>
    </cacheField>
    <cacheField name="Meses (Data_de_cadastro)" numFmtId="0" databaseField="0">
      <fieldGroup base="1">
        <rangePr groupBy="months" startDate="2025-01-01T00:00:00" endDate="2025-07-01T00:00:00"/>
        <groupItems count="14">
          <s v="&lt;01/0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8">
  <r>
    <s v="DB856AF5D5D4162C7529D18ED6CB4460DF45859311F02D50BFDF069F75F6F33D"/>
    <x v="0"/>
    <s v="CASA DA VÍTIMA"/>
    <x v="0"/>
    <s v="NÃO SE APLICA"/>
    <s v="VIOLÊNCIA CONTRA CIDADÃO, FAMÍLIA OU COMUNIDADE"/>
    <s v="OUTROS"/>
    <x v="0"/>
    <x v="0"/>
    <s v="DF"/>
    <x v="0"/>
    <x v="0"/>
    <x v="0"/>
    <s v="NULL"/>
    <x v="0"/>
    <x v="0"/>
    <s v="NÃO INFORMADO"/>
    <s v="MG"/>
    <s v="AGNÓSTICO/ATEU/SEM RELIGIÃO"/>
    <x v="0"/>
    <s v="NULL"/>
    <x v="0"/>
    <x v="0"/>
  </r>
  <r>
    <s v="7F34F1FB099D8957BC2713E9DAA625495BA9A56CC52ADAD5106284E40D51E1DD"/>
    <x v="1"/>
    <s v="OUTROS ESTABELECIMENTOS"/>
    <x v="1"/>
    <s v="HÁ MAIS DE UM ANO"/>
    <s v="VIOLÊNCIA CONTRA CIDADÃO, FAMÍLIA OU COMUNIDADE"/>
    <s v="NÃO SE APLICA"/>
    <x v="1"/>
    <x v="1"/>
    <s v="SP"/>
    <x v="0"/>
    <x v="0"/>
    <x v="1"/>
    <s v="NULL"/>
    <x v="1"/>
    <x v="0"/>
    <s v="NÃO INFORMADO"/>
    <s v="SP"/>
    <s v="AGNÓSTICO/ATEU/SEM RELIGIÃO"/>
    <x v="1"/>
    <s v="EDUCAÇÃO"/>
    <x v="0"/>
    <x v="0"/>
  </r>
  <r>
    <s v="FDBF8BF6206929A29013C04B20E72FC6E41ADCE21706424868D83128B9F79E9E"/>
    <x v="1"/>
    <s v="OUTROS ESTABELECIMENTOS"/>
    <x v="2"/>
    <s v="HÁ UM MÊS"/>
    <s v="VIOLÊNCIA CONTRA CIDADÃO, FAMÍLIA OU COMUNIDADE"/>
    <s v="OUTROS"/>
    <x v="1"/>
    <x v="2"/>
    <s v="RJ"/>
    <x v="0"/>
    <x v="1"/>
    <x v="1"/>
    <s v="NULL"/>
    <x v="2"/>
    <x v="0"/>
    <s v="NÃO INFORMADO"/>
    <s v="RJ"/>
    <s v="AGNÓSTICO/ATEU/SEM RELIGIÃO"/>
    <x v="1"/>
    <s v="NULL"/>
    <x v="1"/>
    <x v="0"/>
  </r>
  <r>
    <s v="FDBF8BF6206929A29013C04B20E72FC6E41ADCE21706424868D83128B9F79E9E"/>
    <x v="1"/>
    <s v="OUTROS ESTABELECIMENTOS"/>
    <x v="2"/>
    <s v="HÁ UM MÊS"/>
    <s v="VIOLÊNCIA CONTRA CIDADÃO, FAMÍLIA OU COMUNIDADE"/>
    <s v="OUTROS"/>
    <x v="1"/>
    <x v="2"/>
    <s v="RJ"/>
    <x v="0"/>
    <x v="1"/>
    <x v="1"/>
    <s v="NULL"/>
    <x v="2"/>
    <x v="0"/>
    <s v="NÃO INFORMADO"/>
    <s v="RJ"/>
    <s v="AGNÓSTICO/ATEU/SEM RELIGIÃO"/>
    <x v="1"/>
    <s v="NULL"/>
    <x v="0"/>
    <x v="0"/>
  </r>
  <r>
    <s v="B23FF7DFFE4AE12ED69833D76869EBB884A7C859B9062B54837C3EA943238464"/>
    <x v="2"/>
    <s v="OUTROS ESTABELECIMENTOS"/>
    <x v="3"/>
    <s v="HÁ MAIS DE CINCO ANOS"/>
    <s v="VIOLÊNCIA CONTRA CIDADÃO, FAMÍLIA OU COMUNIDADE"/>
    <s v="LÍDER RELIGIOSO(A)"/>
    <x v="0"/>
    <x v="3"/>
    <s v="BA"/>
    <x v="1"/>
    <x v="0"/>
    <x v="2"/>
    <s v="NULL"/>
    <x v="0"/>
    <x v="1"/>
    <s v="NÃO"/>
    <s v="BA"/>
    <s v="AGNÓSTICO/ATEU/SEM RELIGIÃO"/>
    <x v="0"/>
    <s v="NULL"/>
    <x v="2"/>
    <x v="0"/>
  </r>
  <r>
    <s v="6F0E10261FE871F34E880C90947BB0B31D68F6A40469320FA8CFC5B02D411B8D"/>
    <x v="3"/>
    <s v="CASA DA VÍTIMA"/>
    <x v="4"/>
    <s v="NÃO SABE INFORMAR"/>
    <s v="VIOLÊNCIA CONTRA CIDADÃO, FAMÍLIA OU COMUNIDADE"/>
    <s v="FUNCIONÁRIO, VOLUNTÁRIO OU PRESTADOR DE SERVIÇO PARA INSTITUIÇÃO"/>
    <x v="1"/>
    <x v="4"/>
    <s v="MG"/>
    <x v="0"/>
    <x v="0"/>
    <x v="1"/>
    <s v="NULL"/>
    <x v="1"/>
    <x v="0"/>
    <s v="NÃO INFORMADO"/>
    <s v="MG"/>
    <s v="AGNÓSTICO/ATEU/SEM RELIGIÃO"/>
    <x v="1"/>
    <s v="AGÊNCIA REGULADORA ? ESTADUAL/DISTRITO FEDERAL"/>
    <x v="0"/>
    <x v="0"/>
  </r>
  <r>
    <s v="4C84D676B07A50B642471AF20E306E63F4278C3EEC7FBA172E2A6483F07BCC2D"/>
    <x v="3"/>
    <s v="CASA DA VÍTIMA"/>
    <x v="5"/>
    <s v="HÁ MAIS DE CINCO ANOS"/>
    <s v="VIOLÊNCIA CONTRA CIDADÃO, FAMÍLIA OU COMUNIDADE"/>
    <s v="IRMÃO(Ã)"/>
    <x v="0"/>
    <x v="5"/>
    <s v="MS"/>
    <x v="0"/>
    <x v="2"/>
    <x v="0"/>
    <s v="NULL"/>
    <x v="2"/>
    <x v="2"/>
    <s v="NÃO"/>
    <s v="MS"/>
    <s v="EVANGÉLICA"/>
    <x v="1"/>
    <s v="NULL"/>
    <x v="0"/>
    <x v="0"/>
  </r>
  <r>
    <s v="8F76BFE890D916EB4DAB76AD708F9BAEDD2294B9F68CEC286797270A1D1B24DF"/>
    <x v="4"/>
    <s v="EVENTO PÚBLICO"/>
    <x v="1"/>
    <s v="NÃO SE APLICA"/>
    <s v="VIOLÊNCIA CONTRA CIDADÃO, FAMÍLIA OU COMUNIDADE"/>
    <s v="OUTROS"/>
    <x v="1"/>
    <x v="6"/>
    <s v="DENUNCIANTE NÃO SOUBE INFORMAR"/>
    <x v="0"/>
    <x v="0"/>
    <x v="1"/>
    <s v="NULL"/>
    <x v="1"/>
    <x v="3"/>
    <s v="NÃO"/>
    <s v="DENUNCIANTE NÃO SOUBE INFORMAR"/>
    <s v="AGNÓSTICO/ATEU/SEM RELIGIÃO"/>
    <x v="1"/>
    <s v="NULL"/>
    <x v="2"/>
    <x v="0"/>
  </r>
  <r>
    <s v="8F76BFE890D916EB4DAB76AD708F9BAEDD2294B9F68CEC286797270A1D1B24DF"/>
    <x v="4"/>
    <s v="EVENTO PÚBLICO"/>
    <x v="1"/>
    <s v="NÃO SE APLICA"/>
    <s v="VIOLÊNCIA CONTRA CIDADÃO, FAMÍLIA OU COMUNIDADE"/>
    <s v="OUTROS"/>
    <x v="1"/>
    <x v="6"/>
    <s v="DENUNCIANTE NÃO SOUBE INFORMAR"/>
    <x v="0"/>
    <x v="0"/>
    <x v="1"/>
    <s v="NULL"/>
    <x v="1"/>
    <x v="3"/>
    <s v="NÃO"/>
    <s v="DENUNCIANTE NÃO SOUBE INFORMAR"/>
    <s v="AGNÓSTICO/ATEU/SEM RELIGIÃO"/>
    <x v="1"/>
    <s v="NULL"/>
    <x v="0"/>
    <x v="0"/>
  </r>
  <r>
    <s v="35551411202D5882519B4491B33AFD767718DFF00B195F5CC774D3E6D0CE3373"/>
    <x v="5"/>
    <s v="CASA DO SUSPEITO"/>
    <x v="3"/>
    <s v="HÁ MAIS DE UM ANO"/>
    <s v="VIOLÊNCIA CONTRA CIDADÃO, FAMÍLIA OU COMUNIDADE"/>
    <s v="OUTROS"/>
    <x v="0"/>
    <x v="3"/>
    <s v="BA"/>
    <x v="1"/>
    <x v="0"/>
    <x v="2"/>
    <s v="NULL"/>
    <x v="1"/>
    <x v="0"/>
    <s v="NÃO INFORMADO"/>
    <s v="BA"/>
    <s v="AGNÓSTICO/ATEU/SEM RELIGIÃO"/>
    <x v="1"/>
    <s v="OUTRAS ATIVIDADES DE SERVIÇOS"/>
    <x v="0"/>
    <x v="0"/>
  </r>
  <r>
    <s v="9A241FA8033F47B1D07A8E03C3B246BBE725C59BB4B1AEE6EDBE582EB0DD9232"/>
    <x v="6"/>
    <s v="AMBIENTE VIRTUAL (NO ÂMBITO DA INTERNET)"/>
    <x v="1"/>
    <s v="NÃO SE APLICA"/>
    <s v="VIOLÊNCIA CONTRA CIDADÃO, FAMÍLIA OU COMUNIDADE"/>
    <s v="DESCONHECIDO(A)"/>
    <x v="0"/>
    <x v="3"/>
    <s v="SP"/>
    <x v="0"/>
    <x v="0"/>
    <x v="2"/>
    <s v="NULL"/>
    <x v="2"/>
    <x v="0"/>
    <s v="NÃO INFORMADO"/>
    <s v="SP"/>
    <s v="AGNÓSTICO/ATEU/SEM RELIGIÃO"/>
    <x v="1"/>
    <s v="NULL"/>
    <x v="2"/>
    <x v="0"/>
  </r>
  <r>
    <s v="9A241FA8033F47B1D07A8E03C3B246BBE725C59BB4B1AEE6EDBE582EB0DD9232"/>
    <x v="6"/>
    <s v="AMBIENTE VIRTUAL (NO ÂMBITO DA INTERNET)"/>
    <x v="1"/>
    <s v="NÃO SE APLICA"/>
    <s v="VIOLÊNCIA CONTRA CIDADÃO, FAMÍLIA OU COMUNIDADE"/>
    <s v="DESCONHECIDO(A)"/>
    <x v="0"/>
    <x v="3"/>
    <s v="SP"/>
    <x v="0"/>
    <x v="0"/>
    <x v="2"/>
    <s v="NULL"/>
    <x v="2"/>
    <x v="0"/>
    <s v="NÃO INFORMADO"/>
    <s v="SP"/>
    <s v="AGNÓSTICO/ATEU/SEM RELIGIÃO"/>
    <x v="1"/>
    <s v="NULL"/>
    <x v="0"/>
    <x v="0"/>
  </r>
  <r>
    <s v="B54B7763BD22802BF638E450A8181F7381CE89ED868BBC6E8144A1BC30AD7698"/>
    <x v="6"/>
    <s v="CASA DA VÍTIMA"/>
    <x v="6"/>
    <s v="HÁ UM MÊS"/>
    <s v="VIOLÊNCIA CONTRA CIDADÃO, FAMÍLIA OU COMUNIDADE"/>
    <s v="VIZINHO(A)"/>
    <x v="0"/>
    <x v="5"/>
    <s v="GO"/>
    <x v="0"/>
    <x v="3"/>
    <x v="0"/>
    <s v="NULL"/>
    <x v="0"/>
    <x v="4"/>
    <s v="NÃO"/>
    <s v="GO"/>
    <s v="EVANGÉLICA"/>
    <x v="2"/>
    <s v="NULL"/>
    <x v="2"/>
    <x v="0"/>
  </r>
  <r>
    <s v="B54B7763BD22802BF638E450A8181F7381CE89ED868BBC6E8144A1BC30AD7698"/>
    <x v="6"/>
    <s v="CASA DA VÍTIMA"/>
    <x v="6"/>
    <s v="HÁ UM MÊS"/>
    <s v="VIOLÊNCIA CONTRA CIDADÃO, FAMÍLIA OU COMUNIDADE"/>
    <s v="VIZINHO(A)"/>
    <x v="0"/>
    <x v="5"/>
    <s v="GO"/>
    <x v="0"/>
    <x v="3"/>
    <x v="0"/>
    <s v="NULL"/>
    <x v="0"/>
    <x v="4"/>
    <s v="NÃO"/>
    <s v="GO"/>
    <s v="EVANGÉLICA"/>
    <x v="2"/>
    <s v="NULL"/>
    <x v="0"/>
    <x v="0"/>
  </r>
  <r>
    <s v="421ED8D037D37B4A5C8677FF52F788841F822C5082CA715A40339EF43AB44B2E"/>
    <x v="6"/>
    <s v="CASA DA VÍTIMA"/>
    <x v="3"/>
    <s v="HÁ UM MÊS"/>
    <s v="VIOLÊNCIA CONTRA CIDADÃO, FAMÍLIA OU COMUNIDADE"/>
    <s v="EX-COMPANHEIRO(A)"/>
    <x v="0"/>
    <x v="5"/>
    <s v="BA"/>
    <x v="2"/>
    <x v="3"/>
    <x v="0"/>
    <s v="NULL"/>
    <x v="2"/>
    <x v="5"/>
    <s v="NÃO"/>
    <s v="BA"/>
    <s v="AGNÓSTICO/ATEU/SEM RELIGIÃO"/>
    <x v="2"/>
    <s v="NULL"/>
    <x v="0"/>
    <x v="0"/>
  </r>
  <r>
    <s v="0C094294E76A944A727DE891D67AF73F0F7E4C2E6F7AFDA8E79746033793EBE3"/>
    <x v="7"/>
    <s v="CASA DA VÍTIMA"/>
    <x v="7"/>
    <s v="HÁ MAIS DE UM ANO"/>
    <s v="VIOLÊNCIA CONTRA CIDADÃO, FAMÍLIA OU COMUNIDADE"/>
    <s v="VIZINHO(A)"/>
    <x v="0"/>
    <x v="3"/>
    <s v="ES"/>
    <x v="3"/>
    <x v="0"/>
    <x v="0"/>
    <s v="NULL"/>
    <x v="2"/>
    <x v="2"/>
    <s v="NÃO"/>
    <s v="ES"/>
    <s v="AGNÓSTICO/ATEU/SEM RELIGIÃO"/>
    <x v="2"/>
    <s v="NULL"/>
    <x v="0"/>
    <x v="0"/>
  </r>
  <r>
    <s v="A5B718E8AA173B43EA07633AD2A72E044D10F9FB01CAF078E8C348C546DFAD30"/>
    <x v="8"/>
    <s v="AMBIENTE VIRTUAL (NO ÂMBITO DA INTERNET)"/>
    <x v="8"/>
    <s v="NÃO SABE INFORMAR"/>
    <s v="VIOLÊNCIA CONTRA CIDADÃO, FAMÍLIA OU COMUNIDADE"/>
    <s v="OUTROS"/>
    <x v="1"/>
    <x v="4"/>
    <s v="RO"/>
    <x v="0"/>
    <x v="0"/>
    <x v="1"/>
    <s v="NULL"/>
    <x v="0"/>
    <x v="0"/>
    <s v="NÃO INFORMADO"/>
    <s v="RO"/>
    <s v="AGNÓSTICO/ATEU/SEM RELIGIÃO"/>
    <x v="1"/>
    <s v="NULL"/>
    <x v="2"/>
    <x v="0"/>
  </r>
  <r>
    <s v="A5B718E8AA173B43EA07633AD2A72E044D10F9FB01CAF078E8C348C546DFAD30"/>
    <x v="8"/>
    <s v="AMBIENTE VIRTUAL (NO ÂMBITO DA INTERNET)"/>
    <x v="8"/>
    <s v="NÃO SABE INFORMAR"/>
    <s v="VIOLÊNCIA CONTRA CIDADÃO, FAMÍLIA OU COMUNIDADE"/>
    <s v="OUTROS"/>
    <x v="1"/>
    <x v="4"/>
    <s v="RO"/>
    <x v="0"/>
    <x v="0"/>
    <x v="1"/>
    <s v="NULL"/>
    <x v="0"/>
    <x v="0"/>
    <s v="NÃO INFORMADO"/>
    <s v="RO"/>
    <s v="AGNÓSTICO/ATEU/SEM RELIGIÃO"/>
    <x v="1"/>
    <s v="NULL"/>
    <x v="0"/>
    <x v="0"/>
  </r>
  <r>
    <s v="76A593D88F299BC5A94A685B0B4762E98B386BF88B979F346F49F705D4F2D99D"/>
    <x v="9"/>
    <s v="CASA DO SUSPEITO"/>
    <x v="6"/>
    <s v="NÃO SE APLICA"/>
    <s v="VIOLÊNCIA CONTRA CIDADÃO, FAMÍLIA OU COMUNIDADE"/>
    <s v="OUTROS"/>
    <x v="1"/>
    <x v="4"/>
    <s v="GO"/>
    <x v="0"/>
    <x v="0"/>
    <x v="1"/>
    <s v="NULL"/>
    <x v="0"/>
    <x v="2"/>
    <s v="NÃO"/>
    <s v="GO"/>
    <s v="AGNÓSTICO/ATEU/SEM RELIGIÃO"/>
    <x v="2"/>
    <s v="NULL"/>
    <x v="2"/>
    <x v="0"/>
  </r>
  <r>
    <s v="5CBE0B701E2215C145674FB38ECBB8D6A103BAEAE4728557CC0ED94804B4949E"/>
    <x v="9"/>
    <s v="CASA DA VÍTIMA"/>
    <x v="9"/>
    <s v="NÃO SE APLICA"/>
    <s v="VIOLÊNCIA CONTRA CIDADÃO, FAMÍLIA OU COMUNIDADE"/>
    <s v="OUTROS"/>
    <x v="1"/>
    <x v="5"/>
    <s v="SC"/>
    <x v="0"/>
    <x v="0"/>
    <x v="1"/>
    <s v="NULL"/>
    <x v="1"/>
    <x v="0"/>
    <s v="NÃO INFORMADO"/>
    <s v="SC"/>
    <s v="AGNÓSTICO/ATEU/SEM RELIGIÃO"/>
    <x v="1"/>
    <s v="NULL"/>
    <x v="0"/>
    <x v="0"/>
  </r>
  <r>
    <s v="5CBE0B701E2215C145674FB38ECBB8D6A103BAEAE4728557CC0ED94804B4949E"/>
    <x v="9"/>
    <s v="CASA DA VÍTIMA"/>
    <x v="9"/>
    <s v="NÃO SE APLICA"/>
    <s v="VIOLÊNCIA CONTRA CIDADÃO, FAMÍLIA OU COMUNIDADE"/>
    <s v="OUTROS"/>
    <x v="1"/>
    <x v="5"/>
    <s v="SC"/>
    <x v="0"/>
    <x v="0"/>
    <x v="1"/>
    <s v="NULL"/>
    <x v="1"/>
    <x v="0"/>
    <s v="NÃO INFORMADO"/>
    <s v="SC"/>
    <s v="AGNÓSTICO/ATEU/SEM RELIGIÃO"/>
    <x v="1"/>
    <s v="NULL"/>
    <x v="2"/>
    <x v="0"/>
  </r>
  <r>
    <s v="5CBE0B701E2215C145674FB38ECBB8D6A103BAEAE4728557CC0ED94804B4949E"/>
    <x v="9"/>
    <s v="CASA DA VÍTIMA"/>
    <x v="9"/>
    <s v="NÃO SE APLICA"/>
    <s v="VIOLÊNCIA CONTRA CIDADÃO, FAMÍLIA OU COMUNIDADE"/>
    <s v="OUTROS"/>
    <x v="1"/>
    <x v="5"/>
    <s v="SC"/>
    <x v="0"/>
    <x v="0"/>
    <x v="1"/>
    <s v="NULL"/>
    <x v="1"/>
    <x v="0"/>
    <s v="NÃO INFORMADO"/>
    <s v="SC"/>
    <s v="AGNÓSTICO/ATEU/SEM RELIGIÃO"/>
    <x v="1"/>
    <s v="NULL"/>
    <x v="1"/>
    <x v="0"/>
  </r>
  <r>
    <s v="FBD7D0133C427F56FBA45D92A45ED76A6D6E4D23F5A674DB29118C927B079D31"/>
    <x v="10"/>
    <s v="OUTROS ESTABELECIMENTOS"/>
    <x v="1"/>
    <s v="NÃO SE APLICA"/>
    <s v="VIOLÊNCIA CONTRA CIDADÃO, FAMÍLIA OU COMUNIDADE"/>
    <s v="OUTROS"/>
    <x v="0"/>
    <x v="3"/>
    <s v="SP"/>
    <x v="0"/>
    <x v="0"/>
    <x v="1"/>
    <s v="NULL"/>
    <x v="1"/>
    <x v="0"/>
    <s v="NÃO INFORMADO"/>
    <s v="SP"/>
    <s v="AGNÓSTICO/ATEU/SEM RELIGIÃO"/>
    <x v="1"/>
    <s v="MINISTÉRIO PÚBLICO - FEDERAL"/>
    <x v="0"/>
    <x v="0"/>
  </r>
  <r>
    <s v="F3AF44C1660C8BAFA54642872AB2BEEED5E3313C9871A41E1B93612C117514E0"/>
    <x v="10"/>
    <s v="OUTROS ESTABELECIMENTOS"/>
    <x v="1"/>
    <s v="NÃO SE APLICA"/>
    <s v="VIOLÊNCIA CONTRA CIDADÃO, FAMÍLIA OU COMUNIDADE"/>
    <s v="OUTROS"/>
    <x v="0"/>
    <x v="7"/>
    <s v="SP"/>
    <x v="0"/>
    <x v="0"/>
    <x v="0"/>
    <s v="NULL"/>
    <x v="1"/>
    <x v="0"/>
    <s v="NÃO INFORMADO"/>
    <s v="SP"/>
    <s v="AGNÓSTICO/ATEU/SEM RELIGIÃO"/>
    <x v="1"/>
    <s v="COMÉRCIO, REPARAÇÃO DE VEÍCULOS AUTOMOTORES E MOTOCICLETAS"/>
    <x v="0"/>
    <x v="0"/>
  </r>
  <r>
    <s v="F738CED08D42CF4AFBB9A8399808B7A1169846CA34819258C95F672DEE8256AC"/>
    <x v="10"/>
    <s v="OUTROS ESTABELECIMENTOS"/>
    <x v="1"/>
    <s v="HÁ MAIS DE SEIS MESES"/>
    <s v="VIOLÊNCIA CONTRA CIDADÃO, FAMÍLIA OU COMUNIDADE"/>
    <s v="DIRETOR(A) DE UNIDADE PRISIONAL"/>
    <x v="0"/>
    <x v="3"/>
    <s v="SP"/>
    <x v="4"/>
    <x v="0"/>
    <x v="1"/>
    <s v="NULL"/>
    <x v="1"/>
    <x v="0"/>
    <s v="NÃO INFORMADO"/>
    <s v="SP"/>
    <s v="AGNÓSTICO/ATEU/SEM RELIGIÃO"/>
    <x v="1"/>
    <s v="PODER EXECUTIVO EM GERAL ? ESTADUAL/DISTRITO FEDERAL"/>
    <x v="1"/>
    <x v="0"/>
  </r>
  <r>
    <s v="0FB849FB818153236FE7D274EF4F8F40EE9CE705167ABE622E5A35110C48DF6E"/>
    <x v="10"/>
    <s v="OUTROS ESTABELECIMENTOS"/>
    <x v="1"/>
    <s v="HÁ MAIS DE UM ANO"/>
    <s v="VIOLÊNCIA CONTRA CIDADÃO, FAMÍLIA OU COMUNIDADE"/>
    <s v="EX-COMPANHEIRO(A)"/>
    <x v="0"/>
    <x v="7"/>
    <s v="SP"/>
    <x v="0"/>
    <x v="0"/>
    <x v="1"/>
    <s v="NULL"/>
    <x v="2"/>
    <x v="6"/>
    <s v="NÃO"/>
    <s v="SP"/>
    <s v="AGNÓSTICO/ATEU/SEM RELIGIÃO"/>
    <x v="0"/>
    <s v="NULL"/>
    <x v="0"/>
    <x v="0"/>
  </r>
  <r>
    <s v="788EC03DC583CC024E23A1AC83C1EB8CC0DFBBEFCF674172BBB1219E15D44EE0"/>
    <x v="11"/>
    <s v="OUTROS ESTABELECIMENTOS"/>
    <x v="3"/>
    <s v="HÁ UM MÊS"/>
    <s v="VIOLÊNCIA CONTRA CIDADÃO, FAMÍLIA OU COMUNIDADE"/>
    <s v="VIZINHO(A)"/>
    <x v="1"/>
    <x v="7"/>
    <s v="BA"/>
    <x v="0"/>
    <x v="0"/>
    <x v="1"/>
    <s v="NULL"/>
    <x v="0"/>
    <x v="4"/>
    <s v="NÃO"/>
    <s v="BA"/>
    <s v="AGNÓSTICO/ATEU/SEM RELIGIÃO"/>
    <x v="2"/>
    <s v="NULL"/>
    <x v="2"/>
    <x v="0"/>
  </r>
  <r>
    <s v="21D71F4C14093952BC92D20423A34F92878DD157A76F2244F1AC5BC095385E28"/>
    <x v="12"/>
    <s v="CASA DA VÍTIMA"/>
    <x v="10"/>
    <s v="HÁ MAIS DE UM ANO"/>
    <s v="VIOLÊNCIA CONTRA CIDADÃO, FAMÍLIA OU COMUNIDADE"/>
    <s v="VIZINHO(A)"/>
    <x v="0"/>
    <x v="6"/>
    <s v="CE"/>
    <x v="4"/>
    <x v="4"/>
    <x v="0"/>
    <s v="DEMAIS COMUNIDADES TRADICIONAIS"/>
    <x v="0"/>
    <x v="1"/>
    <s v="NÃO"/>
    <s v="CE"/>
    <s v="AGNÓSTICO/ATEU/SEM RELIGIÃO"/>
    <x v="1"/>
    <s v="NULL"/>
    <x v="2"/>
    <x v="0"/>
  </r>
  <r>
    <s v="4BDCE2CD60FC8E00BC0AC0EC2ACA1A7DABBA99671047BB25AB810FB2C20D62E6"/>
    <x v="12"/>
    <s v="CASA DA VÍTIMA"/>
    <x v="11"/>
    <s v="HÁ MAIS DE UM ANO"/>
    <s v="VIOLÊNCIA CONTRA CIDADÃO, FAMÍLIA OU COMUNIDADE"/>
    <s v="VIZINHO(A)"/>
    <x v="0"/>
    <x v="3"/>
    <s v="TO"/>
    <x v="5"/>
    <x v="3"/>
    <x v="2"/>
    <s v="NULL"/>
    <x v="2"/>
    <x v="2"/>
    <s v="NÃO"/>
    <s v="TO"/>
    <s v="EVANGÉLICA"/>
    <x v="0"/>
    <s v="NULL"/>
    <x v="2"/>
    <x v="0"/>
  </r>
  <r>
    <s v="6D19A2940D19A410BF6E5D29513A10AE8E62F5E154EF694E23D7B68F2A620726"/>
    <x v="12"/>
    <s v="CASA DA VÍTIMA"/>
    <x v="11"/>
    <s v="HÁ MAIS DE UM ANO"/>
    <s v="VIOLÊNCIA CONTRA CIDADÃO, FAMÍLIA OU COMUNIDADE"/>
    <s v="VIZINHO(A)"/>
    <x v="0"/>
    <x v="3"/>
    <s v="TO"/>
    <x v="5"/>
    <x v="3"/>
    <x v="2"/>
    <s v="NULL"/>
    <x v="0"/>
    <x v="1"/>
    <s v="NÃO"/>
    <s v="TO"/>
    <s v="EVANGÉLICA"/>
    <x v="0"/>
    <s v="NULL"/>
    <x v="2"/>
    <x v="0"/>
  </r>
  <r>
    <s v="773A0AAAE486FEFBB75F60C51CAE5F528BE46034E8EF9513C0EC36FBD0B30B95"/>
    <x v="12"/>
    <s v="CASA DA VÍTIMA"/>
    <x v="11"/>
    <s v="HÁ MAIS DE UM ANO"/>
    <s v="VIOLÊNCIA CONTRA CIDADÃO, FAMÍLIA OU COMUNIDADE"/>
    <s v="VIZINHO(A)"/>
    <x v="0"/>
    <x v="3"/>
    <s v="TO"/>
    <x v="5"/>
    <x v="3"/>
    <x v="2"/>
    <s v="NULL"/>
    <x v="0"/>
    <x v="4"/>
    <s v="NÃO"/>
    <s v="TO"/>
    <s v="EVANGÉLICA"/>
    <x v="0"/>
    <s v="NULL"/>
    <x v="2"/>
    <x v="0"/>
  </r>
  <r>
    <s v="8FE85A064B1761358E1972AE637A2ED895FAB127A38495962FA480BE18E711DB"/>
    <x v="12"/>
    <s v="CASA DA VÍTIMA"/>
    <x v="11"/>
    <s v="HÁ MAIS DE UM ANO"/>
    <s v="VIOLÊNCIA CONTRA CIDADÃO, FAMÍLIA OU COMUNIDADE"/>
    <s v="VIZINHO(A)"/>
    <x v="0"/>
    <x v="3"/>
    <s v="TO"/>
    <x v="5"/>
    <x v="3"/>
    <x v="2"/>
    <s v="NULL"/>
    <x v="2"/>
    <x v="6"/>
    <s v="NÃO"/>
    <s v="TO"/>
    <s v="EVANGÉLICA"/>
    <x v="0"/>
    <s v="NULL"/>
    <x v="2"/>
    <x v="0"/>
  </r>
  <r>
    <s v="795FD9598A5C25A9A94E3721B880B095CAC42FA465246D24AC168F812739E548"/>
    <x v="12"/>
    <s v="LOCAL DE TRABALHO DA VÍTIMA"/>
    <x v="2"/>
    <s v="HÁ MAIS DE SEIS MESES"/>
    <s v="VIOLÊNCIA CONTRA CIDADÃO, FAMÍLIA OU COMUNIDADE"/>
    <s v="OUTROS"/>
    <x v="0"/>
    <x v="2"/>
    <s v="RJ"/>
    <x v="0"/>
    <x v="0"/>
    <x v="0"/>
    <s v="NULL"/>
    <x v="2"/>
    <x v="5"/>
    <s v="NÃO"/>
    <s v="RJ"/>
    <s v="AGNÓSTICO/ATEU/SEM RELIGIÃO"/>
    <x v="3"/>
    <s v="NULL"/>
    <x v="0"/>
    <x v="0"/>
  </r>
  <r>
    <s v="9A96F812C8AB244F317BC47C95FC0A65C3086C96D18D3161477EBF2FC2C84CC1"/>
    <x v="12"/>
    <s v="CASA DA VÍTIMA"/>
    <x v="4"/>
    <s v="NÃO SE APLICA"/>
    <s v="VIOLÊNCIA CONTRA CIDADÃO, FAMÍLIA OU COMUNIDADE"/>
    <s v="OUTROS"/>
    <x v="0"/>
    <x v="6"/>
    <s v="MG"/>
    <x v="0"/>
    <x v="5"/>
    <x v="0"/>
    <s v="NULL"/>
    <x v="1"/>
    <x v="0"/>
    <s v="NÃO INFORMADO"/>
    <s v="MG"/>
    <s v="AGNÓSTICO/ATEU/SEM RELIGIÃO"/>
    <x v="1"/>
    <s v="NULL"/>
    <x v="0"/>
    <x v="0"/>
  </r>
  <r>
    <s v="DF61D89FB04901BBFE871D94981741ED83CB766DE6B4C72C1857B98930B97F42"/>
    <x v="12"/>
    <s v="AMBIENTE VIRTUAL (NO ÂMBITO DA INTERNET)"/>
    <x v="12"/>
    <s v="HÁ MAIS DE UM ANO"/>
    <s v="VIOLÊNCIA CONTRA CIDADÃO, FAMÍLIA OU COMUNIDADE"/>
    <s v="EX-COMPANHEIRO(A)"/>
    <x v="0"/>
    <x v="5"/>
    <s v="BA"/>
    <x v="3"/>
    <x v="3"/>
    <x v="3"/>
    <s v="NULL"/>
    <x v="2"/>
    <x v="6"/>
    <s v="NÃO"/>
    <s v="BA"/>
    <s v="AGNÓSTICO/ATEU/SEM RELIGIÃO"/>
    <x v="3"/>
    <s v="NULL"/>
    <x v="0"/>
    <x v="0"/>
  </r>
  <r>
    <s v="906F92CE1682BED8B0CAC6038A0AF04AF5AA2CD5AD30A2569BF86BE520ACAD52"/>
    <x v="12"/>
    <s v="OUTROS ESTABELECIMENTOS"/>
    <x v="6"/>
    <s v="HÁ MAIS DE UM ANO"/>
    <s v="VIOLÊNCIA CONTRA CIDADÃO, FAMÍLIA OU COMUNIDADE"/>
    <s v="DIRETOR(A) DE ESCOLA"/>
    <x v="1"/>
    <x v="0"/>
    <s v="DENUNCIANTE NÃO SOUBE INFORMAR"/>
    <x v="0"/>
    <x v="0"/>
    <x v="0"/>
    <s v="NULL"/>
    <x v="1"/>
    <x v="0"/>
    <s v="NÃO INFORMADO"/>
    <s v="GO"/>
    <s v="AGNÓSTICO/ATEU/SEM RELIGIÃO"/>
    <x v="1"/>
    <s v="PODER EXECUTIVO EM GERAL ? ESTADUAL/DISTRITO FEDERAL"/>
    <x v="0"/>
    <x v="0"/>
  </r>
  <r>
    <s v="B78C94F9E63340CB5F68A26104C036A654DC4414176ABEB8BD645168DB926DAA"/>
    <x v="13"/>
    <s v="OUTROS ESTABELECIMENTOS"/>
    <x v="1"/>
    <s v="HÁ UM MÊS"/>
    <s v="VIOLÊNCIA CONTRA CIDADÃO, FAMÍLIA OU COMUNIDADE"/>
    <s v="DESCONHECIDO(A)"/>
    <x v="1"/>
    <x v="0"/>
    <s v="SP"/>
    <x v="0"/>
    <x v="0"/>
    <x v="1"/>
    <s v="NULL"/>
    <x v="2"/>
    <x v="4"/>
    <s v="NÃO INFORMADO"/>
    <s v="SP"/>
    <s v="AGNÓSTICO/ATEU/SEM RELIGIÃO"/>
    <x v="0"/>
    <s v="NULL"/>
    <x v="0"/>
    <x v="0"/>
  </r>
  <r>
    <s v="7B9007ECDA0F1777C54F7871A0AE8AF5EFAA38156571E4EAB09C71C4524AD1DB"/>
    <x v="13"/>
    <s v="CASA DA VÍTIMA"/>
    <x v="3"/>
    <s v="HÁ MAIS DE UM ANO"/>
    <s v="VIOLÊNCIA CONTRA CIDADÃO, FAMÍLIA OU COMUNIDADE"/>
    <s v="VIZINHO(A)"/>
    <x v="0"/>
    <x v="4"/>
    <s v="BA"/>
    <x v="0"/>
    <x v="0"/>
    <x v="3"/>
    <s v="NULL"/>
    <x v="0"/>
    <x v="4"/>
    <s v="NÃO"/>
    <s v="BA"/>
    <s v="UMBANDA E CANDOMBLÉ"/>
    <x v="3"/>
    <s v="NULL"/>
    <x v="2"/>
    <x v="0"/>
  </r>
  <r>
    <s v="7B9007ECDA0F1777C54F7871A0AE8AF5EFAA38156571E4EAB09C71C4524AD1DB"/>
    <x v="13"/>
    <s v="CASA DA VÍTIMA"/>
    <x v="3"/>
    <s v="HÁ MAIS DE UM ANO"/>
    <s v="VIOLÊNCIA CONTRA CIDADÃO, FAMÍLIA OU COMUNIDADE"/>
    <s v="VIZINHO(A)"/>
    <x v="0"/>
    <x v="4"/>
    <s v="BA"/>
    <x v="0"/>
    <x v="0"/>
    <x v="3"/>
    <s v="NULL"/>
    <x v="0"/>
    <x v="4"/>
    <s v="NÃO"/>
    <s v="BA"/>
    <s v="UMBANDA E CANDOMBLÉ"/>
    <x v="3"/>
    <s v="NULL"/>
    <x v="0"/>
    <x v="0"/>
  </r>
  <r>
    <s v="4AE3702C3CF675FF3F413581A915618132D003B59F5ACD6FEC9B39DD6BAEECA8"/>
    <x v="14"/>
    <s v="OUTROS ESTABELECIMENTOS"/>
    <x v="13"/>
    <s v="NÃO SABE INFORMAR"/>
    <s v="VIOLÊNCIA CONTRA CIDADÃO, FAMÍLIA OU COMUNIDADE"/>
    <s v="LÍDER RELIGIOSO(A)"/>
    <x v="1"/>
    <x v="2"/>
    <s v="PE"/>
    <x v="0"/>
    <x v="0"/>
    <x v="1"/>
    <s v="NULL"/>
    <x v="0"/>
    <x v="0"/>
    <s v="NÃO INFORMADO"/>
    <s v="PE"/>
    <s v="AGNÓSTICO/ATEU/SEM RELIGIÃO"/>
    <x v="1"/>
    <s v="NULL"/>
    <x v="2"/>
    <x v="0"/>
  </r>
  <r>
    <s v="EB38F23C6D28256B210021446BC2C87D371D55B032EBCE5001F42FFD5B7BA87F"/>
    <x v="14"/>
    <s v="OUTROS ESTABELECIMENTOS"/>
    <x v="14"/>
    <s v="NÃO SE APLICA"/>
    <s v="VIOLÊNCIA CONTRA CIDADÃO, FAMÍLIA OU COMUNIDADE"/>
    <s v="MÃE"/>
    <x v="0"/>
    <x v="4"/>
    <s v="RN"/>
    <x v="0"/>
    <x v="0"/>
    <x v="0"/>
    <s v="NULL"/>
    <x v="2"/>
    <x v="7"/>
    <s v="NÃO"/>
    <s v="RN"/>
    <s v="AGNÓSTICO/ATEU/SEM RELIGIÃO"/>
    <x v="0"/>
    <s v="NULL"/>
    <x v="2"/>
    <x v="0"/>
  </r>
  <r>
    <s v="20AD402E2AD65F638F89A8E067EFF1005C67162CFA33B526FD5FC1B8A5907791"/>
    <x v="14"/>
    <s v="OUTROS ESTABELECIMENTOS"/>
    <x v="14"/>
    <s v="NÃO SE APLICA"/>
    <s v="VIOLÊNCIA CONTRA CIDADÃO, FAMÍLIA OU COMUNIDADE"/>
    <s v="MÃE"/>
    <x v="0"/>
    <x v="4"/>
    <s v="RN"/>
    <x v="0"/>
    <x v="0"/>
    <x v="0"/>
    <s v="NULL"/>
    <x v="0"/>
    <x v="8"/>
    <s v="NÃO"/>
    <s v="RN"/>
    <s v="AGNÓSTICO/ATEU/SEM RELIGIÃO"/>
    <x v="2"/>
    <s v="NULL"/>
    <x v="2"/>
    <x v="0"/>
  </r>
  <r>
    <s v="20AD402E2AD65F638F89A8E067EFF1005C67162CFA33B526FD5FC1B8A5907791"/>
    <x v="14"/>
    <s v="OUTROS ESTABELECIMENTOS"/>
    <x v="14"/>
    <s v="NÃO SE APLICA"/>
    <s v="VIOLÊNCIA CONTRA CIDADÃO, FAMÍLIA OU COMUNIDADE"/>
    <s v="MÃE"/>
    <x v="0"/>
    <x v="4"/>
    <s v="RN"/>
    <x v="0"/>
    <x v="0"/>
    <x v="0"/>
    <s v="NULL"/>
    <x v="0"/>
    <x v="8"/>
    <s v="NÃO"/>
    <s v="RN"/>
    <s v="AGNÓSTICO/ATEU/SEM RELIGIÃO"/>
    <x v="2"/>
    <s v="NULL"/>
    <x v="1"/>
    <x v="0"/>
  </r>
  <r>
    <s v="EB38F23C6D28256B210021446BC2C87D371D55B032EBCE5001F42FFD5B7BA87F"/>
    <x v="14"/>
    <s v="OUTROS ESTABELECIMENTOS"/>
    <x v="14"/>
    <s v="NÃO SE APLICA"/>
    <s v="VIOLÊNCIA CONTRA CIDADÃO, FAMÍLIA OU COMUNIDADE"/>
    <s v="MÃE"/>
    <x v="0"/>
    <x v="4"/>
    <s v="RN"/>
    <x v="0"/>
    <x v="0"/>
    <x v="0"/>
    <s v="NULL"/>
    <x v="2"/>
    <x v="7"/>
    <s v="NÃO"/>
    <s v="RN"/>
    <s v="AGNÓSTICO/ATEU/SEM RELIGIÃO"/>
    <x v="0"/>
    <s v="NULL"/>
    <x v="1"/>
    <x v="0"/>
  </r>
  <r>
    <s v="DC9463AEC30C10E0B4E7EE97D84197C0A08461648E6E884234C5D3F1BDC61DB4"/>
    <x v="15"/>
    <s v="OUTROS ESTABELECIMENTOS"/>
    <x v="3"/>
    <s v="HÁ UM MÊS"/>
    <s v="VIOLÊNCIA CONTRA CIDADÃO, FAMÍLIA OU COMUNIDADE"/>
    <s v="DIRETOR(A) DE UNIDADE PRISIONAL"/>
    <x v="0"/>
    <x v="2"/>
    <s v="BA"/>
    <x v="6"/>
    <x v="0"/>
    <x v="0"/>
    <s v="NULL"/>
    <x v="1"/>
    <x v="0"/>
    <s v="NÃO INFORMADO"/>
    <s v="BA"/>
    <s v="AGNÓSTICO/ATEU/SEM RELIGIÃO"/>
    <x v="1"/>
    <s v="SEGURANÇA PÚBLICA, FORÇAS ARMADAS, DEFESA CIVIL, BOMBEIROS E ASSEMELHADOS ? ESTADUAL/DISTRITO FEDERAL"/>
    <x v="2"/>
    <x v="0"/>
  </r>
  <r>
    <s v="916618A7E714EF20FEA22DBACAFE09F42520AEFB7A14EBF090EEE7080E481001"/>
    <x v="15"/>
    <s v="OUTROS ESTABELECIMENTOS"/>
    <x v="2"/>
    <s v="NÃO SE APLICA"/>
    <s v="VIOLÊNCIA CONTRA CIDADÃO, FAMÍLIA OU COMUNIDADE"/>
    <s v="OUTROS"/>
    <x v="0"/>
    <x v="0"/>
    <s v="RJ"/>
    <x v="7"/>
    <x v="0"/>
    <x v="0"/>
    <s v="NULL"/>
    <x v="1"/>
    <x v="0"/>
    <s v="NÃO INFORMADO"/>
    <s v="RJ"/>
    <s v="AGNÓSTICO/ATEU/SEM RELIGIÃO"/>
    <x v="1"/>
    <s v="OUTRAS ATIVIDADES DE SERVIÇOS"/>
    <x v="2"/>
    <x v="0"/>
  </r>
  <r>
    <s v="19DDE4FB80F95A9E6E0F1883711F22DFD8E60FA16CA75A32F1E2E9FAD4701FC0"/>
    <x v="15"/>
    <s v="CASA DA VÍTIMA"/>
    <x v="1"/>
    <s v="HÁ UM MÊS"/>
    <s v="VIOLÊNCIA CONTRA CIDADÃO, FAMÍLIA OU COMUNIDADE"/>
    <s v="VIZINHO(A)"/>
    <x v="1"/>
    <x v="7"/>
    <s v="SP"/>
    <x v="0"/>
    <x v="3"/>
    <x v="1"/>
    <s v="NULL"/>
    <x v="0"/>
    <x v="6"/>
    <s v="NÃO"/>
    <s v="SP"/>
    <s v="AGNÓSTICO/ATEU/SEM RELIGIÃO"/>
    <x v="1"/>
    <s v="NULL"/>
    <x v="0"/>
    <x v="0"/>
  </r>
  <r>
    <s v="19DDE4FB80F95A9E6E0F1883711F22DFD8E60FA16CA75A32F1E2E9FAD4701FC0"/>
    <x v="15"/>
    <s v="CASA DA VÍTIMA"/>
    <x v="1"/>
    <s v="HÁ UM MÊS"/>
    <s v="VIOLÊNCIA CONTRA CIDADÃO, FAMÍLIA OU COMUNIDADE"/>
    <s v="VIZINHO(A)"/>
    <x v="1"/>
    <x v="7"/>
    <s v="SP"/>
    <x v="0"/>
    <x v="3"/>
    <x v="1"/>
    <s v="NULL"/>
    <x v="0"/>
    <x v="6"/>
    <s v="NÃO"/>
    <s v="SP"/>
    <s v="AGNÓSTICO/ATEU/SEM RELIGIÃO"/>
    <x v="1"/>
    <s v="NULL"/>
    <x v="2"/>
    <x v="0"/>
  </r>
  <r>
    <s v="26AF34CD365E4FCEF8A64DADDC658A9927C4AC56D559C96AE97F8BB71016F1AB"/>
    <x v="16"/>
    <s v="CASA DA VÍTIMA"/>
    <x v="2"/>
    <s v="NÃO SE APLICA"/>
    <s v="VIOLÊNCIA CONTRA CIDADÃO, FAMÍLIA OU COMUNIDADE"/>
    <s v="OUTROS"/>
    <x v="0"/>
    <x v="2"/>
    <s v="RJ"/>
    <x v="0"/>
    <x v="0"/>
    <x v="3"/>
    <s v="NULL"/>
    <x v="0"/>
    <x v="0"/>
    <s v="NÃO INFORMADO"/>
    <s v="RJ"/>
    <s v="AGNÓSTICO/ATEU/SEM RELIGIÃO"/>
    <x v="1"/>
    <s v="NULL"/>
    <x v="2"/>
    <x v="0"/>
  </r>
  <r>
    <s v="BEF8913CBDE26D7545F6D0E0D5F516CCD855A515A678865A3991E9E7B0763E43"/>
    <x v="17"/>
    <s v="OUTROS ESTABELECIMENTOS"/>
    <x v="0"/>
    <s v="HÁ UMA SEMANA"/>
    <s v="VIOLÊNCIA CONTRA CIDADÃO, FAMÍLIA OU COMUNIDADE"/>
    <s v="OUTROS"/>
    <x v="1"/>
    <x v="0"/>
    <s v="DF"/>
    <x v="0"/>
    <x v="0"/>
    <x v="1"/>
    <s v="DEMAIS COMUNIDADES TRADICIONAIS"/>
    <x v="1"/>
    <x v="0"/>
    <s v="NÃO INFORMADO"/>
    <s v="DF"/>
    <s v="AGNÓSTICO/ATEU/SEM RELIGIÃO"/>
    <x v="1"/>
    <s v="OUTRAS ATIVIDADES DE SERVIÇOS"/>
    <x v="0"/>
    <x v="0"/>
  </r>
  <r>
    <s v="88DA3F52CD87F35D3B875F9C04E1CB51FE2C7EAED2FEAD84D5F4CB820BEB88BF"/>
    <x v="17"/>
    <s v="CASA DA VÍTIMA"/>
    <x v="2"/>
    <s v="HÁ MAIS DE UM ANO"/>
    <s v="VIOLÊNCIA CONTRA CIDADÃO, FAMÍLIA OU COMUNIDADE"/>
    <s v="VIZINHO(A)"/>
    <x v="0"/>
    <x v="0"/>
    <s v="RJ"/>
    <x v="0"/>
    <x v="0"/>
    <x v="1"/>
    <s v="NULL"/>
    <x v="2"/>
    <x v="0"/>
    <s v="NÃO INFORMADO"/>
    <s v="RJ"/>
    <s v="AGNÓSTICO/ATEU/SEM RELIGIÃO"/>
    <x v="1"/>
    <s v="NULL"/>
    <x v="2"/>
    <x v="0"/>
  </r>
  <r>
    <s v="4B6D617958201D1C6D939872F27F671A77587611DB161E8DC9A3AF45F363659B"/>
    <x v="17"/>
    <s v="CASA DA VÍTIMA"/>
    <x v="2"/>
    <s v="HÁ MAIS DE UM ANO"/>
    <s v="VIOLÊNCIA CONTRA CIDADÃO, FAMÍLIA OU COMUNIDADE"/>
    <s v="VIZINHO(A)"/>
    <x v="0"/>
    <x v="0"/>
    <s v="RJ"/>
    <x v="0"/>
    <x v="0"/>
    <x v="1"/>
    <s v="NULL"/>
    <x v="0"/>
    <x v="0"/>
    <s v="NÃO INFORMADO"/>
    <s v="RJ"/>
    <s v="AGNÓSTICO/ATEU/SEM RELIGIÃO"/>
    <x v="1"/>
    <s v="NULL"/>
    <x v="0"/>
    <x v="0"/>
  </r>
  <r>
    <s v="2843702881E0086AC03282BD9CD7817A334556A7C7CA3E1F4CBE539BFFB20E5B"/>
    <x v="17"/>
    <s v="CASA DA VÍTIMA"/>
    <x v="2"/>
    <s v="HÁ MAIS DE UM ANO"/>
    <s v="VIOLÊNCIA CONTRA CIDADÃO, FAMÍLIA OU COMUNIDADE"/>
    <s v="VIZINHO(A)"/>
    <x v="0"/>
    <x v="0"/>
    <s v="RJ"/>
    <x v="0"/>
    <x v="0"/>
    <x v="1"/>
    <s v="NULL"/>
    <x v="2"/>
    <x v="0"/>
    <s v="NÃO INFORMADO"/>
    <s v="RJ"/>
    <s v="AGNÓSTICO/ATEU/SEM RELIGIÃO"/>
    <x v="1"/>
    <s v="NULL"/>
    <x v="0"/>
    <x v="0"/>
  </r>
  <r>
    <s v="4B6D617958201D1C6D939872F27F671A77587611DB161E8DC9A3AF45F363659B"/>
    <x v="17"/>
    <s v="CASA DA VÍTIMA"/>
    <x v="2"/>
    <s v="HÁ MAIS DE UM ANO"/>
    <s v="VIOLÊNCIA CONTRA CIDADÃO, FAMÍLIA OU COMUNIDADE"/>
    <s v="VIZINHO(A)"/>
    <x v="0"/>
    <x v="0"/>
    <s v="RJ"/>
    <x v="0"/>
    <x v="0"/>
    <x v="1"/>
    <s v="NULL"/>
    <x v="0"/>
    <x v="0"/>
    <s v="NÃO INFORMADO"/>
    <s v="RJ"/>
    <s v="AGNÓSTICO/ATEU/SEM RELIGIÃO"/>
    <x v="1"/>
    <s v="NULL"/>
    <x v="2"/>
    <x v="0"/>
  </r>
  <r>
    <s v="88DA3F52CD87F35D3B875F9C04E1CB51FE2C7EAED2FEAD84D5F4CB820BEB88BF"/>
    <x v="17"/>
    <s v="CASA DA VÍTIMA"/>
    <x v="2"/>
    <s v="HÁ MAIS DE UM ANO"/>
    <s v="VIOLÊNCIA CONTRA CIDADÃO, FAMÍLIA OU COMUNIDADE"/>
    <s v="VIZINHO(A)"/>
    <x v="0"/>
    <x v="0"/>
    <s v="RJ"/>
    <x v="0"/>
    <x v="0"/>
    <x v="1"/>
    <s v="NULL"/>
    <x v="2"/>
    <x v="0"/>
    <s v="NÃO INFORMADO"/>
    <s v="RJ"/>
    <s v="AGNÓSTICO/ATEU/SEM RELIGIÃO"/>
    <x v="1"/>
    <s v="NULL"/>
    <x v="0"/>
    <x v="0"/>
  </r>
  <r>
    <s v="2843702881E0086AC03282BD9CD7817A334556A7C7CA3E1F4CBE539BFFB20E5B"/>
    <x v="17"/>
    <s v="CASA DA VÍTIMA"/>
    <x v="2"/>
    <s v="HÁ MAIS DE UM ANO"/>
    <s v="VIOLÊNCIA CONTRA CIDADÃO, FAMÍLIA OU COMUNIDADE"/>
    <s v="VIZINHO(A)"/>
    <x v="0"/>
    <x v="0"/>
    <s v="RJ"/>
    <x v="0"/>
    <x v="0"/>
    <x v="1"/>
    <s v="NULL"/>
    <x v="2"/>
    <x v="0"/>
    <s v="NÃO INFORMADO"/>
    <s v="RJ"/>
    <s v="AGNÓSTICO/ATEU/SEM RELIGIÃO"/>
    <x v="1"/>
    <s v="NULL"/>
    <x v="2"/>
    <x v="0"/>
  </r>
  <r>
    <s v="A0DFD030C33F99E8E5D30A9FDB2D9783346BA725210EDDC9CE0108CA04753951"/>
    <x v="17"/>
    <s v="CASA DA VÍTIMA"/>
    <x v="5"/>
    <s v="HÁ MAIS DE UM ANO"/>
    <s v="VIOLÊNCIA CONTRA CIDADÃO, FAMÍLIA OU COMUNIDADE"/>
    <s v="VIZINHO(A)"/>
    <x v="0"/>
    <x v="3"/>
    <s v="MS"/>
    <x v="0"/>
    <x v="0"/>
    <x v="0"/>
    <s v="NULL"/>
    <x v="1"/>
    <x v="0"/>
    <s v="NÃO INFORMADO"/>
    <s v="MS"/>
    <s v="AGNÓSTICO/ATEU/SEM RELIGIÃO"/>
    <x v="1"/>
    <s v="NULL"/>
    <x v="0"/>
    <x v="0"/>
  </r>
  <r>
    <s v="A0DFD030C33F99E8E5D30A9FDB2D9783346BA725210EDDC9CE0108CA04753951"/>
    <x v="17"/>
    <s v="CASA DA VÍTIMA"/>
    <x v="5"/>
    <s v="HÁ MAIS DE UM ANO"/>
    <s v="VIOLÊNCIA CONTRA CIDADÃO, FAMÍLIA OU COMUNIDADE"/>
    <s v="VIZINHO(A)"/>
    <x v="0"/>
    <x v="3"/>
    <s v="MS"/>
    <x v="0"/>
    <x v="0"/>
    <x v="0"/>
    <s v="NULL"/>
    <x v="1"/>
    <x v="0"/>
    <s v="NÃO INFORMADO"/>
    <s v="MS"/>
    <s v="AGNÓSTICO/ATEU/SEM RELIGIÃO"/>
    <x v="1"/>
    <s v="NULL"/>
    <x v="2"/>
    <x v="0"/>
  </r>
  <r>
    <s v="8F7DDCC3CAA8DA3B71AEEEB89B3DD6BDA463D4C778FCAA9E21015CEF54EF0BC7"/>
    <x v="18"/>
    <s v="CASA DO SUSPEITO"/>
    <x v="0"/>
    <s v="HÁ MAIS DE UM ANO"/>
    <s v="VIOLÊNCIA CONTRA CIDADÃO, FAMÍLIA OU COMUNIDADE"/>
    <s v="OUTROS"/>
    <x v="1"/>
    <x v="7"/>
    <s v="DF"/>
    <x v="0"/>
    <x v="0"/>
    <x v="1"/>
    <s v="NULL"/>
    <x v="1"/>
    <x v="0"/>
    <s v="NÃO INFORMADO"/>
    <s v="DF"/>
    <s v="AGNÓSTICO/ATEU/SEM RELIGIÃO"/>
    <x v="1"/>
    <s v="SERVIÇOS DOMÉSTICOS"/>
    <x v="2"/>
    <x v="0"/>
  </r>
  <r>
    <s v="8F7DDCC3CAA8DA3B71AEEEB89B3DD6BDA463D4C778FCAA9E21015CEF54EF0BC7"/>
    <x v="18"/>
    <s v="CASA DO SUSPEITO"/>
    <x v="0"/>
    <s v="HÁ MAIS DE UM ANO"/>
    <s v="VIOLÊNCIA CONTRA CIDADÃO, FAMÍLIA OU COMUNIDADE"/>
    <s v="OUTROS"/>
    <x v="1"/>
    <x v="7"/>
    <s v="DF"/>
    <x v="0"/>
    <x v="0"/>
    <x v="1"/>
    <s v="NULL"/>
    <x v="1"/>
    <x v="0"/>
    <s v="NÃO INFORMADO"/>
    <s v="DF"/>
    <s v="AGNÓSTICO/ATEU/SEM RELIGIÃO"/>
    <x v="1"/>
    <s v="SERVIÇOS DOMÉSTICOS"/>
    <x v="0"/>
    <x v="0"/>
  </r>
  <r>
    <s v="E060F402E193D4E61A02C088E1A12A6FB4CAA23FF323D86D188D3FC4F173517A"/>
    <x v="19"/>
    <s v="OUTROS ESTABELECIMENTOS"/>
    <x v="4"/>
    <s v="HÁ MAIS DE SEIS MESES"/>
    <s v="VIOLÊNCIA CONTRA CIDADÃO, FAMÍLIA OU COMUNIDADE"/>
    <s v="VIZINHO(A)"/>
    <x v="0"/>
    <x v="2"/>
    <s v="MG"/>
    <x v="0"/>
    <x v="0"/>
    <x v="2"/>
    <s v="NULL"/>
    <x v="0"/>
    <x v="0"/>
    <s v="NÃO INFORMADO"/>
    <s v="MG"/>
    <s v="AGNÓSTICO/ATEU/SEM RELIGIÃO"/>
    <x v="1"/>
    <s v="NULL"/>
    <x v="2"/>
    <x v="0"/>
  </r>
  <r>
    <s v="E060F402E193D4E61A02C088E1A12A6FB4CAA23FF323D86D188D3FC4F173517A"/>
    <x v="19"/>
    <s v="OUTROS ESTABELECIMENTOS"/>
    <x v="4"/>
    <s v="HÁ MAIS DE SEIS MESES"/>
    <s v="VIOLÊNCIA CONTRA CIDADÃO, FAMÍLIA OU COMUNIDADE"/>
    <s v="VIZINHO(A)"/>
    <x v="0"/>
    <x v="2"/>
    <s v="MG"/>
    <x v="0"/>
    <x v="0"/>
    <x v="2"/>
    <s v="NULL"/>
    <x v="0"/>
    <x v="0"/>
    <s v="NÃO INFORMADO"/>
    <s v="MG"/>
    <s v="AGNÓSTICO/ATEU/SEM RELIGIÃO"/>
    <x v="1"/>
    <s v="NULL"/>
    <x v="0"/>
    <x v="0"/>
  </r>
  <r>
    <s v="E060F402E193D4E61A02C088E1A12A6FB4CAA23FF323D86D188D3FC4F173517A"/>
    <x v="19"/>
    <s v="OUTROS ESTABELECIMENTOS"/>
    <x v="4"/>
    <s v="HÁ MAIS DE SEIS MESES"/>
    <s v="VIOLÊNCIA CONTRA CIDADÃO, FAMÍLIA OU COMUNIDADE"/>
    <s v="VIZINHO(A)"/>
    <x v="0"/>
    <x v="2"/>
    <s v="MG"/>
    <x v="0"/>
    <x v="0"/>
    <x v="2"/>
    <s v="NULL"/>
    <x v="0"/>
    <x v="0"/>
    <s v="NÃO INFORMADO"/>
    <s v="MG"/>
    <s v="AGNÓSTICO/ATEU/SEM RELIGIÃO"/>
    <x v="1"/>
    <s v="NULL"/>
    <x v="1"/>
    <x v="0"/>
  </r>
  <r>
    <s v="5BE2C44EFA0F62143E484AA3C6C2F5017AD5CBE5E0021774075EC75775E1C7CF"/>
    <x v="20"/>
    <s v="CASA DA VÍTIMA"/>
    <x v="13"/>
    <s v="NÃO SE APLICA"/>
    <s v="VIOLÊNCIA CONTRA CIDADÃO, FAMÍLIA OU COMUNIDADE"/>
    <s v="DESCONHECIDO(A)"/>
    <x v="0"/>
    <x v="4"/>
    <s v="PE"/>
    <x v="3"/>
    <x v="0"/>
    <x v="3"/>
    <s v="NULL"/>
    <x v="0"/>
    <x v="5"/>
    <s v="NÃO INFORMADO"/>
    <s v="DENUNCIANTE NÃO SOUBE INFORMAR"/>
    <s v="AGNÓSTICO/ATEU/SEM RELIGIÃO"/>
    <x v="1"/>
    <s v="NULL"/>
    <x v="2"/>
    <x v="0"/>
  </r>
  <r>
    <s v="BD7633642CA70419CA4E8648725762299035DC3B812077B2F9316BFF284F0BF9"/>
    <x v="20"/>
    <s v="OUTROS ESTABELECIMENTOS"/>
    <x v="2"/>
    <s v="NÃO SE APLICA"/>
    <s v="VIOLÊNCIA CONTRA CIDADÃO, FAMÍLIA OU COMUNIDADE"/>
    <s v="DESCONHECIDO(A)"/>
    <x v="1"/>
    <x v="5"/>
    <s v="RJ"/>
    <x v="0"/>
    <x v="0"/>
    <x v="1"/>
    <s v="NULL"/>
    <x v="0"/>
    <x v="4"/>
    <s v="NÃO INFORMADO"/>
    <s v="RJ"/>
    <s v="AGNÓSTICO/ATEU/SEM RELIGIÃO"/>
    <x v="2"/>
    <s v="NULL"/>
    <x v="2"/>
    <x v="0"/>
  </r>
  <r>
    <s v="AD0C7063D56267A5AD288F07352C44BDB4529248F7DFF6B290A7A03F9DF32962"/>
    <x v="20"/>
    <s v="LOCAL DE TRABALHO DA VÍTIMA"/>
    <x v="1"/>
    <s v="NÃO SE APLICA"/>
    <s v="VIOLÊNCIA CONTRA CIDADÃO, FAMÍLIA OU COMUNIDADE"/>
    <s v="EMPREGADOR/PATRÃO (HIERARQUICAMENTE SUPERIOR)"/>
    <x v="0"/>
    <x v="4"/>
    <s v="SP"/>
    <x v="0"/>
    <x v="0"/>
    <x v="3"/>
    <s v="NULL"/>
    <x v="1"/>
    <x v="0"/>
    <s v="NÃO INFORMADO"/>
    <s v="SP"/>
    <s v="AGNÓSTICO/ATEU/SEM RELIGIÃO"/>
    <x v="1"/>
    <s v="COMÉRCIO, REPARAÇÃO DE VEÍCULOS AUTOMOTORES E MOTOCICLETAS"/>
    <x v="0"/>
    <x v="0"/>
  </r>
  <r>
    <s v="9007DD29132CCD1D4B158D188F5D0EADA502639D8040866CD381AA7FE5E8F8DC"/>
    <x v="20"/>
    <s v="OUTRAS CASAS"/>
    <x v="1"/>
    <s v="HÁ UM MÊS"/>
    <s v="VIOLÊNCIA CONTRA CIDADÃO, FAMÍLIA OU COMUNIDADE"/>
    <s v="TIO(A)"/>
    <x v="0"/>
    <x v="2"/>
    <s v="SP"/>
    <x v="0"/>
    <x v="0"/>
    <x v="2"/>
    <s v="NULL"/>
    <x v="2"/>
    <x v="4"/>
    <s v="NÃO"/>
    <s v="SP"/>
    <s v="EVANGÉLICA"/>
    <x v="0"/>
    <s v="NULL"/>
    <x v="0"/>
    <x v="0"/>
  </r>
  <r>
    <s v="2A88B580C9E73DB8382345D50F55C60529A2AE8E6334AFFEE836F3CA28B1E55C"/>
    <x v="20"/>
    <s v="CASA ONDE RESIDE A VÍTIMA E O SUSPEITO"/>
    <x v="14"/>
    <s v="HÁ UMA SEMANA"/>
    <s v="VIOLÊNCIA CONTRA CIDADÃO, FAMÍLIA OU COMUNIDADE"/>
    <s v="PAI"/>
    <x v="0"/>
    <x v="2"/>
    <s v="RN"/>
    <x v="0"/>
    <x v="0"/>
    <x v="0"/>
    <s v="NULL"/>
    <x v="0"/>
    <x v="8"/>
    <s v="NÃO"/>
    <s v="RN"/>
    <s v="AGNÓSTICO/ATEU/SEM RELIGIÃO"/>
    <x v="1"/>
    <s v="NULL"/>
    <x v="1"/>
    <x v="0"/>
  </r>
  <r>
    <s v="0AC813460F87B512E1B3518F8D09DE6C4AF32797F1EFB8657D43DD47F1F1B9DE"/>
    <x v="20"/>
    <s v="CASA ONDE RESIDE A VÍTIMA E O SUSPEITO"/>
    <x v="14"/>
    <s v="HÁ UMA SEMANA"/>
    <s v="VIOLÊNCIA CONTRA CIDADÃO, FAMÍLIA OU COMUNIDADE"/>
    <s v="PAI"/>
    <x v="0"/>
    <x v="2"/>
    <s v="RN"/>
    <x v="0"/>
    <x v="0"/>
    <x v="0"/>
    <s v="NULL"/>
    <x v="2"/>
    <x v="0"/>
    <s v="NÃO INFORMADO"/>
    <s v="RN"/>
    <s v="AGNÓSTICO/ATEU/SEM RELIGIÃO"/>
    <x v="1"/>
    <s v="NULL"/>
    <x v="1"/>
    <x v="0"/>
  </r>
  <r>
    <s v="2511E5BE777DBC5393C894D7388F906BD94EBE4099709999D68083D7F3064B38"/>
    <x v="21"/>
    <s v="LOCAL DE TRABALHO DA VÍTIMA"/>
    <x v="10"/>
    <s v="HÁ MAIS DE CINCO ANOS"/>
    <s v="VIOLÊNCIA CONTRA CIDADÃO, FAMÍLIA OU COMUNIDADE"/>
    <s v="EMPREGADO (HIERARQUICAMENTE INFERIOR)"/>
    <x v="0"/>
    <x v="5"/>
    <s v="CE"/>
    <x v="0"/>
    <x v="0"/>
    <x v="0"/>
    <s v="NULL"/>
    <x v="1"/>
    <x v="0"/>
    <s v="NÃO INFORMADO"/>
    <s v="CE"/>
    <s v="AGNÓSTICO/ATEU/SEM RELIGIÃO"/>
    <x v="1"/>
    <s v="OUTRAS ATIVIDADES DE SERVIÇOS"/>
    <x v="0"/>
    <x v="0"/>
  </r>
  <r>
    <s v="51B36F840D7405A82C763B9EA2D844143817772C6D5FB1191AEF9CBF20CAE3D5"/>
    <x v="21"/>
    <s v="LOCAL DE TRABALHO DA VÍTIMA"/>
    <x v="10"/>
    <s v="HÁ MAIS DE CINCO ANOS"/>
    <s v="VIOLÊNCIA CONTRA CIDADÃO, FAMÍLIA OU COMUNIDADE"/>
    <s v="EMPREGADO (HIERARQUICAMENTE INFERIOR)"/>
    <x v="0"/>
    <x v="5"/>
    <s v="CE"/>
    <x v="0"/>
    <x v="0"/>
    <x v="0"/>
    <s v="NULL"/>
    <x v="1"/>
    <x v="0"/>
    <s v="NÃO INFORMADO"/>
    <s v="CE"/>
    <s v="AGNÓSTICO/ATEU/SEM RELIGIÃO"/>
    <x v="1"/>
    <s v="OUTRAS ATIVIDADES DE SERVIÇOS"/>
    <x v="0"/>
    <x v="0"/>
  </r>
  <r>
    <s v="D883144E64AE25E9811FDF17AC28E618248C8AFEDFE09B184E9063F08D81D26E"/>
    <x v="21"/>
    <s v="LOCAL DE TRABALHO DA VÍTIMA"/>
    <x v="10"/>
    <s v="HÁ MAIS DE CINCO ANOS"/>
    <s v="VIOLÊNCIA CONTRA CIDADÃO, FAMÍLIA OU COMUNIDADE"/>
    <s v="EMPREGADO (HIERARQUICAMENTE INFERIOR)"/>
    <x v="0"/>
    <x v="5"/>
    <s v="CE"/>
    <x v="0"/>
    <x v="0"/>
    <x v="0"/>
    <s v="NULL"/>
    <x v="2"/>
    <x v="6"/>
    <s v="NÃO INFORMADO"/>
    <s v="CE"/>
    <s v="AGNÓSTICO/ATEU/SEM RELIGIÃO"/>
    <x v="0"/>
    <s v="NULL"/>
    <x v="0"/>
    <x v="0"/>
  </r>
  <r>
    <s v="F17EEF065115B0F1086BFDF3D2EF6FA734D6BCF5597F1F23D13719C5E6C875B0"/>
    <x v="22"/>
    <s v="CASA DA VÍTIMA"/>
    <x v="2"/>
    <s v="HÁ MAIS DE UM ANO"/>
    <s v="VIOLÊNCIA CONTRA CIDADÃO, FAMÍLIA OU COMUNIDADE"/>
    <s v="MÃE"/>
    <x v="0"/>
    <x v="4"/>
    <s v="RJ"/>
    <x v="3"/>
    <x v="3"/>
    <x v="2"/>
    <s v="NULL"/>
    <x v="2"/>
    <x v="8"/>
    <s v="NÃO"/>
    <s v="RJ"/>
    <s v="AGNÓSTICO/ATEU/SEM RELIGIÃO"/>
    <x v="0"/>
    <s v="NULL"/>
    <x v="0"/>
    <x v="0"/>
  </r>
  <r>
    <s v="2A963D2506BC7A9FB77F9C1C75B87053CD5D8F5CA07197B98A7C62104BAE33C8"/>
    <x v="22"/>
    <s v="OUTROS ESTABELECIMENTOS"/>
    <x v="15"/>
    <s v="HÁ UM MÊS"/>
    <s v="VIOLÊNCIA CONTRA CIDADÃO, FAMÍLIA OU COMUNIDADE"/>
    <s v="OUTROS"/>
    <x v="1"/>
    <x v="1"/>
    <s v="PR"/>
    <x v="0"/>
    <x v="0"/>
    <x v="1"/>
    <s v="NULL"/>
    <x v="1"/>
    <x v="0"/>
    <s v="NÃO INFORMADO"/>
    <s v="PR"/>
    <s v="AGNÓSTICO/ATEU/SEM RELIGIÃO"/>
    <x v="1"/>
    <s v="PODER EXECUTIVO EM GERAL - MUNICIPAL"/>
    <x v="1"/>
    <x v="0"/>
  </r>
  <r>
    <s v="E64C5312C8B1BB366D339EF945D382756EBE08CCB8FB65180C88330E0E72C6A4"/>
    <x v="23"/>
    <s v="OUTROS ESTABELECIMENTOS"/>
    <x v="2"/>
    <s v="NÃO SE APLICA"/>
    <s v="VIOLÊNCIA CONTRA CIDADÃO, FAMÍLIA OU COMUNIDADE"/>
    <s v="OUTROS"/>
    <x v="0"/>
    <x v="6"/>
    <s v="RJ"/>
    <x v="3"/>
    <x v="0"/>
    <x v="2"/>
    <s v="NULL"/>
    <x v="1"/>
    <x v="0"/>
    <s v="NÃO INFORMADO"/>
    <s v="RJ"/>
    <s v="AGNÓSTICO/ATEU/SEM RELIGIÃO"/>
    <x v="1"/>
    <s v="OUTRAS ATIVIDADES DE SERVIÇOS"/>
    <x v="0"/>
    <x v="0"/>
  </r>
  <r>
    <s v="E64C5312C8B1BB366D339EF945D382756EBE08CCB8FB65180C88330E0E72C6A4"/>
    <x v="23"/>
    <s v="OUTROS ESTABELECIMENTOS"/>
    <x v="2"/>
    <s v="NÃO SE APLICA"/>
    <s v="VIOLÊNCIA CONTRA CIDADÃO, FAMÍLIA OU COMUNIDADE"/>
    <s v="OUTROS"/>
    <x v="0"/>
    <x v="6"/>
    <s v="RJ"/>
    <x v="3"/>
    <x v="0"/>
    <x v="2"/>
    <s v="NULL"/>
    <x v="1"/>
    <x v="0"/>
    <s v="NÃO INFORMADO"/>
    <s v="RJ"/>
    <s v="AGNÓSTICO/ATEU/SEM RELIGIÃO"/>
    <x v="1"/>
    <s v="OUTRAS ATIVIDADES DE SERVIÇOS"/>
    <x v="2"/>
    <x v="0"/>
  </r>
  <r>
    <s v="FD85A75260D3AD281A26A252EA8C4C89A64A33B3E65BB3DC51EA2B080AEFC534"/>
    <x v="23"/>
    <s v="OUTROS ESTABELECIMENTOS"/>
    <x v="0"/>
    <s v="HÁ MAIS DE DEZ ANOS"/>
    <s v="VIOLÊNCIA CONTRA CIDADÃO, FAMÍLIA OU COMUNIDADE"/>
    <s v="OUTROS"/>
    <x v="0"/>
    <x v="0"/>
    <s v="DF"/>
    <x v="0"/>
    <x v="0"/>
    <x v="0"/>
    <s v="NULL"/>
    <x v="1"/>
    <x v="0"/>
    <s v="NÃO INFORMADO"/>
    <s v="DF"/>
    <s v="AGNÓSTICO/ATEU/SEM RELIGIÃO"/>
    <x v="1"/>
    <s v="OUTRAS ATIVIDADES DE SERVIÇOS"/>
    <x v="0"/>
    <x v="0"/>
  </r>
  <r>
    <s v="3FEF8D3F491A5A6F8EF4A17425C3B0B597E27162F929FE8FE30BF31B78100765"/>
    <x v="24"/>
    <s v="CASA DA VÍTIMA"/>
    <x v="2"/>
    <s v="NÃO SE APLICA"/>
    <s v="VIOLÊNCIA CONTRA CIDADÃO, FAMÍLIA OU COMUNIDADE"/>
    <s v="TIO(A)"/>
    <x v="0"/>
    <x v="1"/>
    <s v="RJ"/>
    <x v="3"/>
    <x v="0"/>
    <x v="0"/>
    <s v="NULL"/>
    <x v="2"/>
    <x v="3"/>
    <s v="NÃO"/>
    <s v="RJ"/>
    <s v="AGNÓSTICO/ATEU/SEM RELIGIÃO"/>
    <x v="0"/>
    <s v="NULL"/>
    <x v="0"/>
    <x v="0"/>
  </r>
  <r>
    <s v="A04E07DB74EF680C99B78BA0580C5CF139B0A0F79FCD76851EBE1A424DEE9784"/>
    <x v="25"/>
    <s v="CASA DA VÍTIMA"/>
    <x v="1"/>
    <s v="NÃO SE APLICA"/>
    <s v="VIOLÊNCIA CONTRA CIDADÃO, FAMÍLIA OU COMUNIDADE"/>
    <s v="OUTROS"/>
    <x v="0"/>
    <x v="2"/>
    <s v="SP"/>
    <x v="0"/>
    <x v="0"/>
    <x v="2"/>
    <s v="NULL"/>
    <x v="2"/>
    <x v="2"/>
    <s v="NÃO"/>
    <s v="SP"/>
    <s v="AGNÓSTICO/ATEU/SEM RELIGIÃO"/>
    <x v="0"/>
    <s v="NULL"/>
    <x v="0"/>
    <x v="1"/>
  </r>
  <r>
    <s v="0201FD258CAD1C6F0107692B50CC91C45419F8E5686C4758EFE0D011E3BEABA4"/>
    <x v="26"/>
    <s v="CASA DA VÍTIMA"/>
    <x v="6"/>
    <s v="HÁ UM MÊS"/>
    <s v="VIOLÊNCIA CONTRA CIDADÃO, FAMÍLIA OU COMUNIDADE"/>
    <s v="OUTROS"/>
    <x v="0"/>
    <x v="5"/>
    <s v="GO"/>
    <x v="0"/>
    <x v="3"/>
    <x v="0"/>
    <s v="NULL"/>
    <x v="2"/>
    <x v="9"/>
    <s v="NÃO"/>
    <s v="GO"/>
    <s v="EVANGÉLICA"/>
    <x v="2"/>
    <s v="NULL"/>
    <x v="2"/>
    <x v="1"/>
  </r>
  <r>
    <s v="8896C40EBCB3B990F102CB98306F043C3E4D7E3ED7B47CEA7E4C75B80FC8D52B"/>
    <x v="26"/>
    <s v="CASA DA VÍTIMA"/>
    <x v="12"/>
    <s v="NÃO SABE INFORMAR"/>
    <s v="VIOLÊNCIA CONTRA CIDADÃO, FAMÍLIA OU COMUNIDADE"/>
    <s v="NÃO SE APLICA"/>
    <x v="0"/>
    <x v="0"/>
    <s v="ATENDIMENTO INTERROMPIDO"/>
    <x v="0"/>
    <x v="0"/>
    <x v="2"/>
    <s v="NULL"/>
    <x v="2"/>
    <x v="0"/>
    <s v="NÃO INFORMADO"/>
    <s v="RS"/>
    <s v="AGNÓSTICO/ATEU/SEM RELIGIÃO"/>
    <x v="1"/>
    <s v="NULL"/>
    <x v="0"/>
    <x v="1"/>
  </r>
  <r>
    <s v="8896C40EBCB3B990F102CB98306F043C3E4D7E3ED7B47CEA7E4C75B80FC8D52B"/>
    <x v="26"/>
    <s v="CASA DA VÍTIMA"/>
    <x v="12"/>
    <s v="NÃO SABE INFORMAR"/>
    <s v="VIOLÊNCIA CONTRA CIDADÃO, FAMÍLIA OU COMUNIDADE"/>
    <s v="NÃO SE APLICA"/>
    <x v="0"/>
    <x v="0"/>
    <s v="ATENDIMENTO INTERROMPIDO"/>
    <x v="0"/>
    <x v="0"/>
    <x v="2"/>
    <s v="NULL"/>
    <x v="2"/>
    <x v="0"/>
    <s v="NÃO INFORMADO"/>
    <s v="RS"/>
    <s v="AGNÓSTICO/ATEU/SEM RELIGIÃO"/>
    <x v="1"/>
    <s v="NULL"/>
    <x v="2"/>
    <x v="1"/>
  </r>
  <r>
    <s v="08DE7EF9B763552E7054793FF1AF0F65C739CE7534EE06549D508B4A10DD0BA4"/>
    <x v="27"/>
    <s v="OUTROS ESTABELECIMENTOS"/>
    <x v="9"/>
    <s v="NÃO SE APLICA"/>
    <s v="VIOLÊNCIA CONTRA CIDADÃO, FAMÍLIA OU COMUNIDADE"/>
    <s v="OUTROS"/>
    <x v="1"/>
    <x v="7"/>
    <s v="SC"/>
    <x v="0"/>
    <x v="0"/>
    <x v="1"/>
    <s v="NULL"/>
    <x v="1"/>
    <x v="0"/>
    <s v="NÃO INFORMADO"/>
    <s v="SC"/>
    <s v="AGNÓSTICO/ATEU/SEM RELIGIÃO"/>
    <x v="1"/>
    <s v="AGÊNCIA REGULADORA ? MUNICIPAL"/>
    <x v="0"/>
    <x v="1"/>
  </r>
  <r>
    <s v="9C21D068C88EA54BF4ECB5D4EF792D6F6397277849AD66DD2B33D2E6E8E8A197"/>
    <x v="28"/>
    <s v="CASA ONDE RESIDE A VÍTIMA E O SUSPEITO"/>
    <x v="15"/>
    <s v="HÁ MAIS DE UM ANO"/>
    <s v="VIOLÊNCIA CONTRA CIDADÃO, FAMÍLIA OU COMUNIDADE"/>
    <s v="OUTROS"/>
    <x v="1"/>
    <x v="4"/>
    <s v="PR"/>
    <x v="0"/>
    <x v="0"/>
    <x v="1"/>
    <s v="NULL"/>
    <x v="0"/>
    <x v="2"/>
    <s v="NÃO"/>
    <s v="PR"/>
    <s v="OUTRAS RELIGIOSIDADES"/>
    <x v="0"/>
    <s v="NULL"/>
    <x v="1"/>
    <x v="1"/>
  </r>
  <r>
    <s v="9C21D068C88EA54BF4ECB5D4EF792D6F6397277849AD66DD2B33D2E6E8E8A197"/>
    <x v="28"/>
    <s v="CASA ONDE RESIDE A VÍTIMA E O SUSPEITO"/>
    <x v="15"/>
    <s v="HÁ MAIS DE UM ANO"/>
    <s v="VIOLÊNCIA CONTRA CIDADÃO, FAMÍLIA OU COMUNIDADE"/>
    <s v="OUTROS"/>
    <x v="1"/>
    <x v="4"/>
    <s v="PR"/>
    <x v="0"/>
    <x v="0"/>
    <x v="1"/>
    <s v="NULL"/>
    <x v="0"/>
    <x v="2"/>
    <s v="NÃO"/>
    <s v="PR"/>
    <s v="OUTRAS RELIGIOSIDADES"/>
    <x v="0"/>
    <s v="NULL"/>
    <x v="2"/>
    <x v="1"/>
  </r>
  <r>
    <s v="9C21D068C88EA54BF4ECB5D4EF792D6F6397277849AD66DD2B33D2E6E8E8A197"/>
    <x v="28"/>
    <s v="CASA ONDE RESIDE A VÍTIMA E O SUSPEITO"/>
    <x v="15"/>
    <s v="HÁ MAIS DE UM ANO"/>
    <s v="VIOLÊNCIA CONTRA CIDADÃO, FAMÍLIA OU COMUNIDADE"/>
    <s v="OUTROS"/>
    <x v="1"/>
    <x v="4"/>
    <s v="PR"/>
    <x v="0"/>
    <x v="0"/>
    <x v="1"/>
    <s v="NULL"/>
    <x v="0"/>
    <x v="2"/>
    <s v="NÃO"/>
    <s v="PR"/>
    <s v="OUTRAS RELIGIOSIDADES"/>
    <x v="0"/>
    <s v="NULL"/>
    <x v="0"/>
    <x v="1"/>
  </r>
  <r>
    <s v="BF23814A22537FB086D307D794B905F215F82A39A080953F421F77110C56BCCA"/>
    <x v="29"/>
    <s v="CASA DA VÍTIMA"/>
    <x v="16"/>
    <s v="HÁ UM MÊS"/>
    <s v="VIOLÊNCIA CONTRA CIDADÃO, FAMÍLIA OU COMUNIDADE"/>
    <s v="OUTROS"/>
    <x v="0"/>
    <x v="1"/>
    <s v="RS"/>
    <x v="0"/>
    <x v="0"/>
    <x v="1"/>
    <s v="NULL"/>
    <x v="1"/>
    <x v="0"/>
    <s v="NÃO INFORMADO"/>
    <s v="RS"/>
    <s v="AGNÓSTICO/ATEU/SEM RELIGIÃO"/>
    <x v="1"/>
    <s v="NULL"/>
    <x v="2"/>
    <x v="1"/>
  </r>
  <r>
    <s v="BF23814A22537FB086D307D794B905F215F82A39A080953F421F77110C56BCCA"/>
    <x v="29"/>
    <s v="CASA DA VÍTIMA"/>
    <x v="16"/>
    <s v="HÁ UM MÊS"/>
    <s v="VIOLÊNCIA CONTRA CIDADÃO, FAMÍLIA OU COMUNIDADE"/>
    <s v="OUTROS"/>
    <x v="0"/>
    <x v="1"/>
    <s v="RS"/>
    <x v="0"/>
    <x v="0"/>
    <x v="1"/>
    <s v="NULL"/>
    <x v="1"/>
    <x v="0"/>
    <s v="NÃO INFORMADO"/>
    <s v="RS"/>
    <s v="AGNÓSTICO/ATEU/SEM RELIGIÃO"/>
    <x v="1"/>
    <s v="NULL"/>
    <x v="0"/>
    <x v="1"/>
  </r>
  <r>
    <s v="BBFB3A91721D3AC3073D3D318CD4B6564EFC0C40465E2F7C45A258E06F7045DC"/>
    <x v="29"/>
    <s v="CASA DA VÍTIMA"/>
    <x v="16"/>
    <s v="HÁ UM MÊS"/>
    <s v="VIOLÊNCIA CONTRA CIDADÃO, FAMÍLIA OU COMUNIDADE"/>
    <s v="OUTROS"/>
    <x v="0"/>
    <x v="1"/>
    <s v="RS"/>
    <x v="0"/>
    <x v="0"/>
    <x v="1"/>
    <s v="NULL"/>
    <x v="0"/>
    <x v="0"/>
    <s v="NÃO INFORMADO"/>
    <s v="RS"/>
    <s v="AGNÓSTICO/ATEU/SEM RELIGIÃO"/>
    <x v="1"/>
    <s v="NULL"/>
    <x v="2"/>
    <x v="1"/>
  </r>
  <r>
    <s v="BF23814A22537FB086D307D794B905F215F82A39A080953F421F77110C56BCCA"/>
    <x v="29"/>
    <s v="CASA DA VÍTIMA"/>
    <x v="16"/>
    <s v="HÁ UM MÊS"/>
    <s v="VIOLÊNCIA CONTRA CIDADÃO, FAMÍLIA OU COMUNIDADE"/>
    <s v="OUTROS"/>
    <x v="0"/>
    <x v="1"/>
    <s v="RS"/>
    <x v="0"/>
    <x v="0"/>
    <x v="1"/>
    <s v="NULL"/>
    <x v="1"/>
    <x v="0"/>
    <s v="NÃO INFORMADO"/>
    <s v="RS"/>
    <s v="AGNÓSTICO/ATEU/SEM RELIGIÃO"/>
    <x v="1"/>
    <s v="NULL"/>
    <x v="1"/>
    <x v="1"/>
  </r>
  <r>
    <s v="BBFB3A91721D3AC3073D3D318CD4B6564EFC0C40465E2F7C45A258E06F7045DC"/>
    <x v="29"/>
    <s v="CASA DA VÍTIMA"/>
    <x v="16"/>
    <s v="HÁ UM MÊS"/>
    <s v="VIOLÊNCIA CONTRA CIDADÃO, FAMÍLIA OU COMUNIDADE"/>
    <s v="OUTROS"/>
    <x v="0"/>
    <x v="1"/>
    <s v="RS"/>
    <x v="0"/>
    <x v="0"/>
    <x v="1"/>
    <s v="NULL"/>
    <x v="0"/>
    <x v="0"/>
    <s v="NÃO INFORMADO"/>
    <s v="RS"/>
    <s v="AGNÓSTICO/ATEU/SEM RELIGIÃO"/>
    <x v="1"/>
    <s v="NULL"/>
    <x v="1"/>
    <x v="1"/>
  </r>
  <r>
    <s v="BBFB3A91721D3AC3073D3D318CD4B6564EFC0C40465E2F7C45A258E06F7045DC"/>
    <x v="29"/>
    <s v="CASA DA VÍTIMA"/>
    <x v="16"/>
    <s v="HÁ UM MÊS"/>
    <s v="VIOLÊNCIA CONTRA CIDADÃO, FAMÍLIA OU COMUNIDADE"/>
    <s v="OUTROS"/>
    <x v="0"/>
    <x v="1"/>
    <s v="RS"/>
    <x v="0"/>
    <x v="0"/>
    <x v="1"/>
    <s v="NULL"/>
    <x v="0"/>
    <x v="0"/>
    <s v="NÃO INFORMADO"/>
    <s v="RS"/>
    <s v="AGNÓSTICO/ATEU/SEM RELIGIÃO"/>
    <x v="1"/>
    <s v="NULL"/>
    <x v="0"/>
    <x v="1"/>
  </r>
  <r>
    <s v="7B2DDF2578E2E06D59F59153D9E84F7A56E89D712070D6B9FD68A9F2BB998EEF"/>
    <x v="30"/>
    <s v="AMBIENTE VIRTUAL (NO ÂMBITO DA INTERNET)"/>
    <x v="1"/>
    <s v="HÁ UM MÊS"/>
    <s v="VIOLÊNCIA CONTRA CIDADÃO, FAMÍLIA OU COMUNIDADE"/>
    <s v="OUTROS"/>
    <x v="0"/>
    <x v="4"/>
    <s v="SP"/>
    <x v="0"/>
    <x v="0"/>
    <x v="0"/>
    <s v="NULL"/>
    <x v="0"/>
    <x v="3"/>
    <s v="NÃO"/>
    <s v="SP"/>
    <s v="AGNÓSTICO/ATEU/SEM RELIGIÃO"/>
    <x v="0"/>
    <s v="NULL"/>
    <x v="0"/>
    <x v="1"/>
  </r>
  <r>
    <s v="483E10C9BA6EAEB1D706B843E289F3C37473743FD01728FC1BDA957BA148E3E0"/>
    <x v="31"/>
    <s v="CASA ONDE RESIDE A VÍTIMA E O SUSPEITO"/>
    <x v="6"/>
    <s v="HÁ MAIS DE UM ANO"/>
    <s v="VIOLÊNCIA CONTRA CIDADÃO, FAMÍLIA OU COMUNIDADE"/>
    <s v="MÃE"/>
    <x v="0"/>
    <x v="7"/>
    <s v="GO"/>
    <x v="0"/>
    <x v="0"/>
    <x v="3"/>
    <s v="NULL"/>
    <x v="0"/>
    <x v="8"/>
    <s v="NÃO INFORMADO"/>
    <s v="GO"/>
    <s v="AGNÓSTICO/ATEU/SEM RELIGIÃO"/>
    <x v="3"/>
    <s v="NULL"/>
    <x v="1"/>
    <x v="1"/>
  </r>
  <r>
    <s v="38F01D9ABB7D821E7DE9066B641FA0CBC8948E4CFA7860B9EF0D9E978F1E38F6"/>
    <x v="31"/>
    <s v="CASA ONDE RESIDE A VÍTIMA E O SUSPEITO"/>
    <x v="6"/>
    <s v="HÁ MAIS DE UM ANO"/>
    <s v="VIOLÊNCIA CONTRA CIDADÃO, FAMÍLIA OU COMUNIDADE"/>
    <s v="MÃE"/>
    <x v="0"/>
    <x v="7"/>
    <s v="GO"/>
    <x v="0"/>
    <x v="0"/>
    <x v="3"/>
    <s v="NULL"/>
    <x v="2"/>
    <x v="2"/>
    <s v="NÃO INFORMADO"/>
    <s v="GO"/>
    <s v="AGNÓSTICO/ATEU/SEM RELIGIÃO"/>
    <x v="2"/>
    <s v="NULL"/>
    <x v="1"/>
    <x v="1"/>
  </r>
  <r>
    <s v="0CA5B74FF007947BAE6C00B9432C926EE619B21392069A63C3DA6B625CA66797"/>
    <x v="31"/>
    <s v="OUTROS ESTABELECIMENTOS"/>
    <x v="1"/>
    <s v="HÁ MAIS DE DEZ ANOS"/>
    <s v="VIOLÊNCIA CONTRA CIDADÃO, FAMÍLIA OU COMUNIDADE"/>
    <s v="LÍDER RELIGIOSO(A)"/>
    <x v="1"/>
    <x v="7"/>
    <s v="DENUNCIANTE NÃO SOUBE INFORMAR"/>
    <x v="0"/>
    <x v="0"/>
    <x v="1"/>
    <s v="NULL"/>
    <x v="2"/>
    <x v="0"/>
    <s v="NÃO INFORMADO"/>
    <s v="SP"/>
    <s v="AGNÓSTICO/ATEU/SEM RELIGIÃO"/>
    <x v="1"/>
    <s v="NULL"/>
    <x v="2"/>
    <x v="1"/>
  </r>
  <r>
    <s v="0CA5B74FF007947BAE6C00B9432C926EE619B21392069A63C3DA6B625CA66797"/>
    <x v="31"/>
    <s v="OUTROS ESTABELECIMENTOS"/>
    <x v="1"/>
    <s v="HÁ MAIS DE DEZ ANOS"/>
    <s v="VIOLÊNCIA CONTRA CIDADÃO, FAMÍLIA OU COMUNIDADE"/>
    <s v="LÍDER RELIGIOSO(A)"/>
    <x v="1"/>
    <x v="7"/>
    <s v="DENUNCIANTE NÃO SOUBE INFORMAR"/>
    <x v="0"/>
    <x v="0"/>
    <x v="1"/>
    <s v="NULL"/>
    <x v="2"/>
    <x v="0"/>
    <s v="NÃO INFORMADO"/>
    <s v="SP"/>
    <s v="AGNÓSTICO/ATEU/SEM RELIGIÃO"/>
    <x v="1"/>
    <s v="NULL"/>
    <x v="0"/>
    <x v="1"/>
  </r>
  <r>
    <s v="0CA5B74FF007947BAE6C00B9432C926EE619B21392069A63C3DA6B625CA66797"/>
    <x v="31"/>
    <s v="OUTROS ESTABELECIMENTOS"/>
    <x v="1"/>
    <s v="HÁ MAIS DE DEZ ANOS"/>
    <s v="VIOLÊNCIA CONTRA CIDADÃO, FAMÍLIA OU COMUNIDADE"/>
    <s v="LÍDER RELIGIOSO(A)"/>
    <x v="1"/>
    <x v="7"/>
    <s v="DENUNCIANTE NÃO SOUBE INFORMAR"/>
    <x v="0"/>
    <x v="0"/>
    <x v="1"/>
    <s v="NULL"/>
    <x v="2"/>
    <x v="0"/>
    <s v="NÃO INFORMADO"/>
    <s v="SP"/>
    <s v="AGNÓSTICO/ATEU/SEM RELIGIÃO"/>
    <x v="1"/>
    <s v="NULL"/>
    <x v="1"/>
    <x v="1"/>
  </r>
  <r>
    <s v="0A2F2724D9972E8A215873175ACF9BE5AFBD918FCE854C6AAEB886EDABB3ECB5"/>
    <x v="32"/>
    <s v="AMBIENTE VIRTUAL (NO ÂMBITO DA INTERNET)"/>
    <x v="12"/>
    <s v="HÁ UMA SEMANA"/>
    <s v="VIOLÊNCIA CONTRA CIDADÃO, FAMÍLIA OU COMUNIDADE"/>
    <s v="DESCONHECIDO(A)"/>
    <x v="1"/>
    <x v="0"/>
    <s v="DENUNCIANTE NÃO SOUBE INFORMAR"/>
    <x v="0"/>
    <x v="0"/>
    <x v="1"/>
    <s v="NULL"/>
    <x v="0"/>
    <x v="10"/>
    <s v="NÃO"/>
    <s v="GO"/>
    <s v="AGNÓSTICO/ATEU/SEM RELIGIÃO"/>
    <x v="0"/>
    <s v="NULL"/>
    <x v="0"/>
    <x v="1"/>
  </r>
  <r>
    <s v="BB2748D49103A5CF2539C529626B9564FE7F1301A7CDEB354DAF5B74E89532F3"/>
    <x v="33"/>
    <s v="CASA DA VÍTIMA"/>
    <x v="1"/>
    <s v="HÁ MAIS DE CINCO ANOS"/>
    <s v="VIOLÊNCIA CONTRA CIDADÃO, FAMÍLIA OU COMUNIDADE"/>
    <s v="VIZINHO(A)"/>
    <x v="0"/>
    <x v="6"/>
    <s v="SP"/>
    <x v="0"/>
    <x v="0"/>
    <x v="4"/>
    <s v="NULL"/>
    <x v="0"/>
    <x v="9"/>
    <s v="NÃO"/>
    <s v="SP"/>
    <s v="AGNÓSTICO/ATEU/SEM RELIGIÃO"/>
    <x v="0"/>
    <s v="NULL"/>
    <x v="0"/>
    <x v="1"/>
  </r>
  <r>
    <s v="B43AE7CE852D2055BBFD42D36A0BC3C80F56C277371F56BE3D8AB242834EFBDA"/>
    <x v="33"/>
    <s v="CASA DA VÍTIMA"/>
    <x v="2"/>
    <s v="NÃO SE APLICA"/>
    <s v="VIOLÊNCIA CONTRA CIDADÃO, FAMÍLIA OU COMUNIDADE"/>
    <s v="OUTROS"/>
    <x v="0"/>
    <x v="3"/>
    <s v="RJ"/>
    <x v="0"/>
    <x v="0"/>
    <x v="0"/>
    <s v="NULL"/>
    <x v="0"/>
    <x v="5"/>
    <s v="NÃO"/>
    <s v="SP"/>
    <s v="AGNÓSTICO/ATEU/SEM RELIGIÃO"/>
    <x v="1"/>
    <s v="NULL"/>
    <x v="1"/>
    <x v="1"/>
  </r>
  <r>
    <s v="4B3985A8929A7B30594EC2A2516CBD49CE1E47420A5001F8ACE1FA0B1853C71E"/>
    <x v="33"/>
    <s v="CASA DA VÍTIMA"/>
    <x v="2"/>
    <s v="NÃO SE APLICA"/>
    <s v="VIOLÊNCIA CONTRA CIDADÃO, FAMÍLIA OU COMUNIDADE"/>
    <s v="OUTROS"/>
    <x v="0"/>
    <x v="3"/>
    <s v="RJ"/>
    <x v="0"/>
    <x v="0"/>
    <x v="0"/>
    <s v="NULL"/>
    <x v="0"/>
    <x v="5"/>
    <s v="PREVENTIVA"/>
    <s v="DENUNCIANTE NÃO SOUBE INFORMAR"/>
    <s v="AGNÓSTICO/ATEU/SEM RELIGIÃO"/>
    <x v="2"/>
    <s v="NULL"/>
    <x v="1"/>
    <x v="1"/>
  </r>
  <r>
    <s v="4B3985A8929A7B30594EC2A2516CBD49CE1E47420A5001F8ACE1FA0B1853C71E"/>
    <x v="33"/>
    <s v="CASA DA VÍTIMA"/>
    <x v="2"/>
    <s v="NÃO SE APLICA"/>
    <s v="VIOLÊNCIA CONTRA CIDADÃO, FAMÍLIA OU COMUNIDADE"/>
    <s v="OUTROS"/>
    <x v="0"/>
    <x v="3"/>
    <s v="RJ"/>
    <x v="0"/>
    <x v="0"/>
    <x v="0"/>
    <s v="NULL"/>
    <x v="0"/>
    <x v="5"/>
    <s v="PREVENTIVA"/>
    <s v="DENUNCIANTE NÃO SOUBE INFORMAR"/>
    <s v="AGNÓSTICO/ATEU/SEM RELIGIÃO"/>
    <x v="2"/>
    <s v="NULL"/>
    <x v="2"/>
    <x v="1"/>
  </r>
  <r>
    <s v="0C8E208CE3BACB8B6947F2EE8D1829674B80003DF032729790C14111999D625A"/>
    <x v="33"/>
    <s v="OUTROS ESTABELECIMENTOS"/>
    <x v="2"/>
    <s v="NÃO SABE INFORMAR"/>
    <s v="VIOLÊNCIA CONTRA CIDADÃO, FAMÍLIA OU COMUNIDADE"/>
    <s v="DESCONHECIDO(A)"/>
    <x v="1"/>
    <x v="7"/>
    <s v="DENUNCIANTE NÃO SOUBE INFORMAR"/>
    <x v="0"/>
    <x v="1"/>
    <x v="1"/>
    <s v="NULL"/>
    <x v="0"/>
    <x v="5"/>
    <s v="NÃO"/>
    <s v="DENUNCIANTE NÃO SOUBE INFORMAR"/>
    <s v="AGNÓSTICO/ATEU/SEM RELIGIÃO"/>
    <x v="2"/>
    <s v="NULL"/>
    <x v="0"/>
    <x v="1"/>
  </r>
  <r>
    <s v="D9D11E21B2A9E0BA27DA416A12068AE949806D480E44B022A527514E23B6BA45"/>
    <x v="33"/>
    <s v="CASA ONDE RESIDE A VÍTIMA E O SUSPEITO"/>
    <x v="2"/>
    <s v="NÃO SE APLICA"/>
    <s v="VIOLÊNCIA CONTRA CIDADÃO, FAMÍLIA OU COMUNIDADE"/>
    <s v="NÃO SE APLICA"/>
    <x v="1"/>
    <x v="1"/>
    <s v="RJ"/>
    <x v="0"/>
    <x v="1"/>
    <x v="1"/>
    <s v="NULL"/>
    <x v="0"/>
    <x v="5"/>
    <s v="NÃO"/>
    <s v="RJ"/>
    <s v="AGNÓSTICO/ATEU/SEM RELIGIÃO"/>
    <x v="2"/>
    <s v="NULL"/>
    <x v="0"/>
    <x v="1"/>
  </r>
  <r>
    <s v="D9D11E21B2A9E0BA27DA416A12068AE949806D480E44B022A527514E23B6BA45"/>
    <x v="33"/>
    <s v="CASA ONDE RESIDE A VÍTIMA E O SUSPEITO"/>
    <x v="2"/>
    <s v="NÃO SE APLICA"/>
    <s v="VIOLÊNCIA CONTRA CIDADÃO, FAMÍLIA OU COMUNIDADE"/>
    <s v="NÃO SE APLICA"/>
    <x v="1"/>
    <x v="1"/>
    <s v="RJ"/>
    <x v="0"/>
    <x v="1"/>
    <x v="1"/>
    <s v="NULL"/>
    <x v="0"/>
    <x v="5"/>
    <s v="NÃO"/>
    <s v="RJ"/>
    <s v="AGNÓSTICO/ATEU/SEM RELIGIÃO"/>
    <x v="2"/>
    <s v="NULL"/>
    <x v="2"/>
    <x v="1"/>
  </r>
  <r>
    <s v="F8E432DBEE545E76B82860C8AD2C68E4A23989BEC85FA631B14DD0FD0F78C318"/>
    <x v="33"/>
    <s v="OUTROS ESTABELECIMENTOS"/>
    <x v="2"/>
    <s v="NÃO SABE INFORMAR"/>
    <s v="VIOLÊNCIA CONTRA CIDADÃO, FAMÍLIA OU COMUNIDADE"/>
    <s v="DESCONHECIDO(A)"/>
    <x v="0"/>
    <x v="7"/>
    <s v="RJ"/>
    <x v="0"/>
    <x v="0"/>
    <x v="2"/>
    <s v="NULL"/>
    <x v="0"/>
    <x v="10"/>
    <s v="NÃO INFORMADO"/>
    <s v="RJ"/>
    <s v="AGNÓSTICO/ATEU/SEM RELIGIÃO"/>
    <x v="1"/>
    <s v="NULL"/>
    <x v="2"/>
    <x v="1"/>
  </r>
  <r>
    <s v="F8E432DBEE545E76B82860C8AD2C68E4A23989BEC85FA631B14DD0FD0F78C318"/>
    <x v="33"/>
    <s v="OUTROS ESTABELECIMENTOS"/>
    <x v="2"/>
    <s v="NÃO SABE INFORMAR"/>
    <s v="VIOLÊNCIA CONTRA CIDADÃO, FAMÍLIA OU COMUNIDADE"/>
    <s v="DESCONHECIDO(A)"/>
    <x v="0"/>
    <x v="7"/>
    <s v="RJ"/>
    <x v="0"/>
    <x v="0"/>
    <x v="2"/>
    <s v="NULL"/>
    <x v="0"/>
    <x v="10"/>
    <s v="NÃO INFORMADO"/>
    <s v="RJ"/>
    <s v="AGNÓSTICO/ATEU/SEM RELIGIÃO"/>
    <x v="1"/>
    <s v="NULL"/>
    <x v="0"/>
    <x v="1"/>
  </r>
  <r>
    <s v="F8E432DBEE545E76B82860C8AD2C68E4A23989BEC85FA631B14DD0FD0F78C318"/>
    <x v="33"/>
    <s v="OUTROS ESTABELECIMENTOS"/>
    <x v="2"/>
    <s v="NÃO SABE INFORMAR"/>
    <s v="VIOLÊNCIA CONTRA CIDADÃO, FAMÍLIA OU COMUNIDADE"/>
    <s v="DESCONHECIDO(A)"/>
    <x v="0"/>
    <x v="7"/>
    <s v="RJ"/>
    <x v="0"/>
    <x v="0"/>
    <x v="2"/>
    <s v="NULL"/>
    <x v="0"/>
    <x v="10"/>
    <s v="NÃO INFORMADO"/>
    <s v="RJ"/>
    <s v="AGNÓSTICO/ATEU/SEM RELIGIÃO"/>
    <x v="1"/>
    <s v="NULL"/>
    <x v="1"/>
    <x v="1"/>
  </r>
  <r>
    <s v="EA33BD4192761DECE3578B7F4A4FFC84FB9DEFED2E2A969ED6088F11EF2DAFED"/>
    <x v="33"/>
    <s v="CASA DA VÍTIMA"/>
    <x v="2"/>
    <s v="NÃO SE APLICA"/>
    <s v="VIOLÊNCIA CONTRA CIDADÃO, FAMÍLIA OU COMUNIDADE"/>
    <s v="OUTROS"/>
    <x v="0"/>
    <x v="7"/>
    <s v="RJ"/>
    <x v="0"/>
    <x v="0"/>
    <x v="2"/>
    <s v="NULL"/>
    <x v="0"/>
    <x v="5"/>
    <s v="NÃO"/>
    <s v="SP"/>
    <s v="AGNÓSTICO/ATEU/SEM RELIGIÃO"/>
    <x v="2"/>
    <s v="NULL"/>
    <x v="0"/>
    <x v="1"/>
  </r>
  <r>
    <s v="DE3C2FB1FE395859BEF13197A765CCDCA474BBB30BA30519B152B3299E3DFA7D"/>
    <x v="33"/>
    <s v="OUTROS ESTABELECIMENTOS"/>
    <x v="2"/>
    <s v="NÃO SABE INFORMAR"/>
    <s v="VIOLÊNCIA CONTRA CIDADÃO, FAMÍLIA OU COMUNIDADE"/>
    <s v="OUTROS"/>
    <x v="0"/>
    <x v="7"/>
    <s v="RJ"/>
    <x v="0"/>
    <x v="0"/>
    <x v="0"/>
    <s v="NULL"/>
    <x v="0"/>
    <x v="5"/>
    <s v="NÃO"/>
    <s v="SP"/>
    <s v="AGNÓSTICO/ATEU/SEM RELIGIÃO"/>
    <x v="2"/>
    <s v="NULL"/>
    <x v="0"/>
    <x v="1"/>
  </r>
  <r>
    <s v="42698E772260035FD94CE456DF5030C59107469B4CADAB80AF1EC721241A7D40"/>
    <x v="33"/>
    <s v="OUTROS ESTABELECIMENTOS"/>
    <x v="2"/>
    <s v="NÃO SABE INFORMAR"/>
    <s v="VIOLÊNCIA CONTRA CIDADÃO, FAMÍLIA OU COMUNIDADE"/>
    <s v="NÃO SE APLICA"/>
    <x v="0"/>
    <x v="7"/>
    <s v="DENUNCIANTE NÃO SOUBE INFORMAR"/>
    <x v="0"/>
    <x v="0"/>
    <x v="1"/>
    <s v="NULL"/>
    <x v="1"/>
    <x v="0"/>
    <s v="NÃO INFORMADO"/>
    <s v="DENUNCIANTE NÃO SOUBE INFORMAR"/>
    <s v="AGNÓSTICO/ATEU/SEM RELIGIÃO"/>
    <x v="1"/>
    <s v="NULL"/>
    <x v="2"/>
    <x v="1"/>
  </r>
  <r>
    <s v="42698E772260035FD94CE456DF5030C59107469B4CADAB80AF1EC721241A7D40"/>
    <x v="33"/>
    <s v="OUTROS ESTABELECIMENTOS"/>
    <x v="2"/>
    <s v="NÃO SABE INFORMAR"/>
    <s v="VIOLÊNCIA CONTRA CIDADÃO, FAMÍLIA OU COMUNIDADE"/>
    <s v="NÃO SE APLICA"/>
    <x v="0"/>
    <x v="7"/>
    <s v="DENUNCIANTE NÃO SOUBE INFORMAR"/>
    <x v="0"/>
    <x v="0"/>
    <x v="1"/>
    <s v="NULL"/>
    <x v="1"/>
    <x v="0"/>
    <s v="NÃO INFORMADO"/>
    <s v="DENUNCIANTE NÃO SOUBE INFORMAR"/>
    <s v="AGNÓSTICO/ATEU/SEM RELIGIÃO"/>
    <x v="1"/>
    <s v="NULL"/>
    <x v="0"/>
    <x v="1"/>
  </r>
  <r>
    <s v="65284B9CCEB4E9221A469B7CF6CC35A244EBDC3A94371252F49D9EDBF11EF6AE"/>
    <x v="33"/>
    <s v="OUTROS ESTABELECIMENTOS"/>
    <x v="2"/>
    <s v="NÃO SABE INFORMAR"/>
    <s v="VIOLÊNCIA CONTRA CIDADÃO, FAMÍLIA OU COMUNIDADE"/>
    <s v="NÃO SABE INFORMAR"/>
    <x v="0"/>
    <x v="5"/>
    <s v="RJ"/>
    <x v="0"/>
    <x v="0"/>
    <x v="1"/>
    <s v="NULL"/>
    <x v="0"/>
    <x v="0"/>
    <s v="NÃO INFORMADO"/>
    <s v="DENUNCIANTE NÃO SOUBE INFORMAR"/>
    <s v="AGNÓSTICO/ATEU/SEM RELIGIÃO"/>
    <x v="2"/>
    <s v="NULL"/>
    <x v="0"/>
    <x v="1"/>
  </r>
  <r>
    <s v="2EC6172CE28864AE4F745FA60A7790BB470289FB0CF45D8535ED04F9ABF9B60C"/>
    <x v="33"/>
    <s v="OUTROS ESTABELECIMENTOS"/>
    <x v="2"/>
    <s v="NÃO SABE INFORMAR"/>
    <s v="VIOLÊNCIA CONTRA CIDADÃO, FAMÍLIA OU COMUNIDADE"/>
    <s v="NÃO SE APLICA"/>
    <x v="0"/>
    <x v="7"/>
    <s v="RJ"/>
    <x v="0"/>
    <x v="0"/>
    <x v="0"/>
    <s v="NULL"/>
    <x v="0"/>
    <x v="0"/>
    <s v="NÃO"/>
    <s v="DENUNCIANTE NÃO SOUBE INFORMAR"/>
    <s v="AGNÓSTICO/ATEU/SEM RELIGIÃO"/>
    <x v="1"/>
    <s v="NULL"/>
    <x v="1"/>
    <x v="1"/>
  </r>
  <r>
    <s v="2EC6172CE28864AE4F745FA60A7790BB470289FB0CF45D8535ED04F9ABF9B60C"/>
    <x v="33"/>
    <s v="OUTROS ESTABELECIMENTOS"/>
    <x v="2"/>
    <s v="NÃO SABE INFORMAR"/>
    <s v="VIOLÊNCIA CONTRA CIDADÃO, FAMÍLIA OU COMUNIDADE"/>
    <s v="NÃO SE APLICA"/>
    <x v="0"/>
    <x v="7"/>
    <s v="RJ"/>
    <x v="0"/>
    <x v="0"/>
    <x v="0"/>
    <s v="NULL"/>
    <x v="0"/>
    <x v="0"/>
    <s v="NÃO"/>
    <s v="DENUNCIANTE NÃO SOUBE INFORMAR"/>
    <s v="AGNÓSTICO/ATEU/SEM RELIGIÃO"/>
    <x v="1"/>
    <s v="NULL"/>
    <x v="2"/>
    <x v="1"/>
  </r>
  <r>
    <s v="2EC6172CE28864AE4F745FA60A7790BB470289FB0CF45D8535ED04F9ABF9B60C"/>
    <x v="33"/>
    <s v="OUTROS ESTABELECIMENTOS"/>
    <x v="2"/>
    <s v="NÃO SABE INFORMAR"/>
    <s v="VIOLÊNCIA CONTRA CIDADÃO, FAMÍLIA OU COMUNIDADE"/>
    <s v="NÃO SE APLICA"/>
    <x v="0"/>
    <x v="7"/>
    <s v="RJ"/>
    <x v="0"/>
    <x v="0"/>
    <x v="0"/>
    <s v="NULL"/>
    <x v="0"/>
    <x v="0"/>
    <s v="NÃO"/>
    <s v="DENUNCIANTE NÃO SOUBE INFORMAR"/>
    <s v="AGNÓSTICO/ATEU/SEM RELIGIÃO"/>
    <x v="1"/>
    <s v="NULL"/>
    <x v="0"/>
    <x v="1"/>
  </r>
  <r>
    <s v="0DBE474BA89C185DE39493EDBF4784B7FBEDFEA6DF02E351D2CBB03AE3B1E56C"/>
    <x v="33"/>
    <s v="OUTROS ESTABELECIMENTOS"/>
    <x v="2"/>
    <s v="NÃO SE APLICA"/>
    <s v="VIOLÊNCIA CONTRA CIDADÃO, FAMÍLIA OU COMUNIDADE"/>
    <s v="DESCONHECIDO(A)"/>
    <x v="0"/>
    <x v="7"/>
    <s v="RJ"/>
    <x v="0"/>
    <x v="0"/>
    <x v="1"/>
    <s v="NULL"/>
    <x v="0"/>
    <x v="5"/>
    <s v="NÃO"/>
    <s v="SP"/>
    <s v="AGNÓSTICO/ATEU/SEM RELIGIÃO"/>
    <x v="2"/>
    <s v="NULL"/>
    <x v="0"/>
    <x v="1"/>
  </r>
  <r>
    <s v="0DBE474BA89C185DE39493EDBF4784B7FBEDFEA6DF02E351D2CBB03AE3B1E56C"/>
    <x v="33"/>
    <s v="OUTROS ESTABELECIMENTOS"/>
    <x v="2"/>
    <s v="NÃO SE APLICA"/>
    <s v="VIOLÊNCIA CONTRA CIDADÃO, FAMÍLIA OU COMUNIDADE"/>
    <s v="DESCONHECIDO(A)"/>
    <x v="0"/>
    <x v="7"/>
    <s v="RJ"/>
    <x v="0"/>
    <x v="0"/>
    <x v="1"/>
    <s v="NULL"/>
    <x v="0"/>
    <x v="5"/>
    <s v="NÃO"/>
    <s v="SP"/>
    <s v="AGNÓSTICO/ATEU/SEM RELIGIÃO"/>
    <x v="2"/>
    <s v="NULL"/>
    <x v="2"/>
    <x v="1"/>
  </r>
  <r>
    <s v="029FB9DC49F809A65201C42B1EF051A4C131E2B3448B20B76DDA930ED0DF30C0"/>
    <x v="33"/>
    <s v="OUTROS ESTABELECIMENTOS"/>
    <x v="2"/>
    <s v="NÃO SE APLICA"/>
    <s v="VIOLÊNCIA CONTRA CIDADÃO, FAMÍLIA OU COMUNIDADE"/>
    <s v="DESCONHECIDO(A)"/>
    <x v="1"/>
    <x v="1"/>
    <s v="RJ"/>
    <x v="0"/>
    <x v="0"/>
    <x v="1"/>
    <s v="NULL"/>
    <x v="0"/>
    <x v="5"/>
    <s v="NÃO INFORMADO"/>
    <s v="RJ"/>
    <s v="AGNÓSTICO/ATEU/SEM RELIGIÃO"/>
    <x v="0"/>
    <s v="NULL"/>
    <x v="2"/>
    <x v="1"/>
  </r>
  <r>
    <s v="029FB9DC49F809A65201C42B1EF051A4C131E2B3448B20B76DDA930ED0DF30C0"/>
    <x v="33"/>
    <s v="OUTROS ESTABELECIMENTOS"/>
    <x v="2"/>
    <s v="NÃO SE APLICA"/>
    <s v="VIOLÊNCIA CONTRA CIDADÃO, FAMÍLIA OU COMUNIDADE"/>
    <s v="DESCONHECIDO(A)"/>
    <x v="1"/>
    <x v="1"/>
    <s v="RJ"/>
    <x v="0"/>
    <x v="0"/>
    <x v="1"/>
    <s v="NULL"/>
    <x v="0"/>
    <x v="5"/>
    <s v="NÃO INFORMADO"/>
    <s v="RJ"/>
    <s v="AGNÓSTICO/ATEU/SEM RELIGIÃO"/>
    <x v="0"/>
    <s v="NULL"/>
    <x v="1"/>
    <x v="1"/>
  </r>
  <r>
    <s v="029FB9DC49F809A65201C42B1EF051A4C131E2B3448B20B76DDA930ED0DF30C0"/>
    <x v="33"/>
    <s v="OUTROS ESTABELECIMENTOS"/>
    <x v="2"/>
    <s v="NÃO SE APLICA"/>
    <s v="VIOLÊNCIA CONTRA CIDADÃO, FAMÍLIA OU COMUNIDADE"/>
    <s v="DESCONHECIDO(A)"/>
    <x v="1"/>
    <x v="1"/>
    <s v="RJ"/>
    <x v="0"/>
    <x v="0"/>
    <x v="1"/>
    <s v="NULL"/>
    <x v="0"/>
    <x v="5"/>
    <s v="NÃO INFORMADO"/>
    <s v="RJ"/>
    <s v="AGNÓSTICO/ATEU/SEM RELIGIÃO"/>
    <x v="0"/>
    <s v="NULL"/>
    <x v="0"/>
    <x v="1"/>
  </r>
  <r>
    <s v="6DB33A1C4EDACCD9D340B56C6C5CE58DB17486C4101838046BE73A4498F91F74"/>
    <x v="33"/>
    <s v="OUTROS ESTABELECIMENTOS"/>
    <x v="2"/>
    <s v="NÃO SE APLICA"/>
    <s v="VIOLÊNCIA CONTRA CIDADÃO, FAMÍLIA OU COMUNIDADE"/>
    <s v="DESCONHECIDO(A)"/>
    <x v="0"/>
    <x v="7"/>
    <s v="RJ"/>
    <x v="0"/>
    <x v="1"/>
    <x v="0"/>
    <s v="NULL"/>
    <x v="0"/>
    <x v="0"/>
    <s v="NÃO"/>
    <s v="DENUNCIANTE NÃO SOUBE INFORMAR"/>
    <s v="AGNÓSTICO/ATEU/SEM RELIGIÃO"/>
    <x v="3"/>
    <s v="NULL"/>
    <x v="0"/>
    <x v="1"/>
  </r>
  <r>
    <s v="BE72F5047D5AAF27C2CFF38EBD6D960000C3F273B7D9A1824579745BA6138E28"/>
    <x v="33"/>
    <s v="OUTROS ESTABELECIMENTOS"/>
    <x v="2"/>
    <s v="NÃO SE APLICA"/>
    <s v="VIOLÊNCIA CONTRA CIDADÃO, FAMÍLIA OU COMUNIDADE"/>
    <s v="OUTROS"/>
    <x v="0"/>
    <x v="7"/>
    <s v="RJ"/>
    <x v="0"/>
    <x v="0"/>
    <x v="0"/>
    <s v="NULL"/>
    <x v="0"/>
    <x v="5"/>
    <s v="NÃO"/>
    <s v="DENUNCIANTE NÃO SOUBE INFORMAR"/>
    <s v="EVANGÉLICA"/>
    <x v="2"/>
    <s v="NULL"/>
    <x v="2"/>
    <x v="1"/>
  </r>
  <r>
    <s v="92A6B313C8DDAA4A091EDB6BC290A2438E8BD2A657A6F85213F6BEB33DED781C"/>
    <x v="33"/>
    <s v="OUTROS ESTABELECIMENTOS"/>
    <x v="2"/>
    <s v="NÃO SE APLICA"/>
    <s v="VIOLÊNCIA CONTRA CIDADÃO, FAMÍLIA OU COMUNIDADE"/>
    <s v="OUTROS"/>
    <x v="0"/>
    <x v="7"/>
    <s v="RJ"/>
    <x v="0"/>
    <x v="0"/>
    <x v="0"/>
    <s v="NULL"/>
    <x v="1"/>
    <x v="0"/>
    <s v="NÃO INFORMADO"/>
    <s v="RJ"/>
    <s v="AGNÓSTICO/ATEU/SEM RELIGIÃO"/>
    <x v="1"/>
    <s v="SEGURANÇA PÚBLICA, FORÇAS ARMADAS, DEFESA CIVIL, BOMBEIROS E ASSEMELHADOS ? FEDERAL"/>
    <x v="0"/>
    <x v="1"/>
  </r>
  <r>
    <s v="422E8FD6195EF5434B9D05172E1EA4A399DF54E7D07344434478B0AF85240A09"/>
    <x v="33"/>
    <s v="OUTROS ESTABELECIMENTOS"/>
    <x v="2"/>
    <s v="NÃO SE APLICA"/>
    <s v="VIOLÊNCIA CONTRA CIDADÃO, FAMÍLIA OU COMUNIDADE"/>
    <s v="OUTROS"/>
    <x v="0"/>
    <x v="7"/>
    <s v="RJ"/>
    <x v="0"/>
    <x v="0"/>
    <x v="0"/>
    <s v="NULL"/>
    <x v="0"/>
    <x v="5"/>
    <s v="NÃO"/>
    <s v="DENUNCIANTE NÃO SOUBE INFORMAR"/>
    <s v="AGNÓSTICO/ATEU/SEM RELIGIÃO"/>
    <x v="2"/>
    <s v="NULL"/>
    <x v="0"/>
    <x v="1"/>
  </r>
  <r>
    <s v="533A2A215BE1403DAB7E58A76088D2ABC4E03ABA7AEDBB19D9AE5BC8615FB5E7"/>
    <x v="33"/>
    <s v="CASA DA VÍTIMA"/>
    <x v="2"/>
    <s v="NÃO SE APLICA"/>
    <s v="VIOLÊNCIA CONTRA CIDADÃO, FAMÍLIA OU COMUNIDADE"/>
    <s v="DESCONHECIDO(A)"/>
    <x v="0"/>
    <x v="7"/>
    <s v="RJ"/>
    <x v="0"/>
    <x v="1"/>
    <x v="0"/>
    <s v="NULL"/>
    <x v="0"/>
    <x v="5"/>
    <s v="NÃO"/>
    <s v="DENUNCIANTE NÃO SOUBE INFORMAR"/>
    <s v="AGNÓSTICO/ATEU/SEM RELIGIÃO"/>
    <x v="2"/>
    <s v="NULL"/>
    <x v="0"/>
    <x v="1"/>
  </r>
  <r>
    <s v="02C9E2BD4321669162E47434B3E2CC73BF59F2AA298D573C3CFBCD2AA7708D1F"/>
    <x v="33"/>
    <s v="OUTROS ESTABELECIMENTOS"/>
    <x v="2"/>
    <s v="NÃO SE APLICA"/>
    <s v="VIOLÊNCIA CONTRA CIDADÃO, FAMÍLIA OU COMUNIDADE"/>
    <s v="DESCONHECIDO(A)"/>
    <x v="0"/>
    <x v="7"/>
    <s v="RJ"/>
    <x v="0"/>
    <x v="0"/>
    <x v="0"/>
    <s v="NULL"/>
    <x v="0"/>
    <x v="0"/>
    <s v="NÃO INFORMADO"/>
    <s v="DENUNCIANTE NÃO SOUBE INFORMAR"/>
    <s v="AGNÓSTICO/ATEU/SEM RELIGIÃO"/>
    <x v="1"/>
    <s v="NULL"/>
    <x v="0"/>
    <x v="1"/>
  </r>
  <r>
    <s v="F5E3F3A96BB80D666E7CEB308BEC8D7AC439E9A54B2A52261BDBCB86707FED50"/>
    <x v="33"/>
    <s v="CASA DA VÍTIMA"/>
    <x v="2"/>
    <s v="NÃO SABE INFORMAR"/>
    <s v="VIOLÊNCIA CONTRA CIDADÃO, FAMÍLIA OU COMUNIDADE"/>
    <s v="DESCONHECIDO(A)"/>
    <x v="0"/>
    <x v="7"/>
    <s v="RJ"/>
    <x v="0"/>
    <x v="0"/>
    <x v="0"/>
    <s v="NULL"/>
    <x v="0"/>
    <x v="5"/>
    <s v="NÃO INFORMADO"/>
    <s v="DENUNCIANTE NÃO SOUBE INFORMAR"/>
    <s v="AGNÓSTICO/ATEU/SEM RELIGIÃO"/>
    <x v="2"/>
    <s v="NULL"/>
    <x v="0"/>
    <x v="1"/>
  </r>
  <r>
    <s v="E6ECDE3357254CDA989318532494C0A360ABC77C4B9AD70E7CAF8CEEC7968874"/>
    <x v="34"/>
    <s v="CASA DA VÍTIMA"/>
    <x v="2"/>
    <s v="NÃO SE APLICA"/>
    <s v="VIOLÊNCIA CONTRA CIDADÃO, FAMÍLIA OU COMUNIDADE"/>
    <s v="DESCONHECIDO(A)"/>
    <x v="0"/>
    <x v="7"/>
    <s v="RJ"/>
    <x v="0"/>
    <x v="0"/>
    <x v="0"/>
    <s v="NULL"/>
    <x v="0"/>
    <x v="5"/>
    <s v="NÃO"/>
    <s v="DENUNCIANTE NÃO SOUBE INFORMAR"/>
    <s v="AGNÓSTICO/ATEU/SEM RELIGIÃO"/>
    <x v="2"/>
    <s v="NULL"/>
    <x v="2"/>
    <x v="1"/>
  </r>
  <r>
    <s v="51A5FA9C3FD0EA79DDB038C320D9B12614BCFCF0E034AD7FC8F93F4B88F87D73"/>
    <x v="34"/>
    <s v="CASA ONDE RESIDE A VÍTIMA E O SUSPEITO"/>
    <x v="2"/>
    <s v="NÃO SE APLICA"/>
    <s v="VIOLÊNCIA CONTRA CIDADÃO, FAMÍLIA OU COMUNIDADE"/>
    <s v="OUTROS"/>
    <x v="0"/>
    <x v="7"/>
    <s v="RJ"/>
    <x v="0"/>
    <x v="0"/>
    <x v="0"/>
    <s v="NULL"/>
    <x v="0"/>
    <x v="5"/>
    <s v="NÃO INFORMADO"/>
    <s v="RJ"/>
    <s v="AGNÓSTICO/ATEU/SEM RELIGIÃO"/>
    <x v="2"/>
    <s v="NULL"/>
    <x v="1"/>
    <x v="1"/>
  </r>
  <r>
    <s v="66E76C364AA965D6CC9F1B69490AF75711BA8EB210A1448A231E8A7ADBB91BBB"/>
    <x v="34"/>
    <s v="CASA ONDE RESIDE A VÍTIMA E O SUSPEITO"/>
    <x v="2"/>
    <s v="NÃO SE APLICA"/>
    <s v="VIOLÊNCIA CONTRA CIDADÃO, FAMÍLIA OU COMUNIDADE"/>
    <s v="OUTROS"/>
    <x v="0"/>
    <x v="7"/>
    <s v="RJ"/>
    <x v="0"/>
    <x v="0"/>
    <x v="0"/>
    <s v="NULL"/>
    <x v="0"/>
    <x v="5"/>
    <s v="NÃO INFORMADO"/>
    <s v="RJ"/>
    <s v="AGNÓSTICO/ATEU/SEM RELIGIÃO"/>
    <x v="2"/>
    <s v="NULL"/>
    <x v="0"/>
    <x v="1"/>
  </r>
  <r>
    <s v="66E76C364AA965D6CC9F1B69490AF75711BA8EB210A1448A231E8A7ADBB91BBB"/>
    <x v="34"/>
    <s v="CASA ONDE RESIDE A VÍTIMA E O SUSPEITO"/>
    <x v="2"/>
    <s v="NÃO SE APLICA"/>
    <s v="VIOLÊNCIA CONTRA CIDADÃO, FAMÍLIA OU COMUNIDADE"/>
    <s v="OUTROS"/>
    <x v="0"/>
    <x v="7"/>
    <s v="RJ"/>
    <x v="0"/>
    <x v="0"/>
    <x v="0"/>
    <s v="NULL"/>
    <x v="0"/>
    <x v="5"/>
    <s v="NÃO INFORMADO"/>
    <s v="RJ"/>
    <s v="AGNÓSTICO/ATEU/SEM RELIGIÃO"/>
    <x v="2"/>
    <s v="NULL"/>
    <x v="2"/>
    <x v="1"/>
  </r>
  <r>
    <s v="06607B13B7B7DAAF0FB538D18FF3B1A0F27BC08C5F017CFB731086A611C8EB35"/>
    <x v="34"/>
    <s v="OUTROS ESTABELECIMENTOS"/>
    <x v="15"/>
    <s v="HÁ UMA SEMANA"/>
    <s v="VIOLÊNCIA CONTRA CIDADÃO, FAMÍLIA OU COMUNIDADE"/>
    <s v="DESCONHECIDO(A)"/>
    <x v="1"/>
    <x v="4"/>
    <s v="PR"/>
    <x v="0"/>
    <x v="0"/>
    <x v="3"/>
    <s v="NULL"/>
    <x v="0"/>
    <x v="4"/>
    <s v="NÃO"/>
    <s v="PR"/>
    <s v="AGNÓSTICO/ATEU/SEM RELIGIÃO"/>
    <x v="1"/>
    <s v="NULL"/>
    <x v="0"/>
    <x v="1"/>
  </r>
  <r>
    <s v="8E6212A0681D3BE59B4550296455D4938DA280EF68F622A5AD6ECD92277CDF76"/>
    <x v="34"/>
    <s v="CASA DA VÍTIMA"/>
    <x v="2"/>
    <s v="NÃO SE APLICA"/>
    <s v="VIOLÊNCIA CONTRA CIDADÃO, FAMÍLIA OU COMUNIDADE"/>
    <s v="OUTROS"/>
    <x v="0"/>
    <x v="7"/>
    <s v="RJ"/>
    <x v="0"/>
    <x v="0"/>
    <x v="2"/>
    <s v="NULL"/>
    <x v="0"/>
    <x v="5"/>
    <s v="NÃO"/>
    <s v="SP"/>
    <s v="AGNÓSTICO/ATEU/SEM RELIGIÃO"/>
    <x v="2"/>
    <s v="NULL"/>
    <x v="2"/>
    <x v="1"/>
  </r>
  <r>
    <s v="8E6212A0681D3BE59B4550296455D4938DA280EF68F622A5AD6ECD92277CDF76"/>
    <x v="34"/>
    <s v="CASA DA VÍTIMA"/>
    <x v="2"/>
    <s v="NÃO SE APLICA"/>
    <s v="VIOLÊNCIA CONTRA CIDADÃO, FAMÍLIA OU COMUNIDADE"/>
    <s v="OUTROS"/>
    <x v="0"/>
    <x v="7"/>
    <s v="RJ"/>
    <x v="0"/>
    <x v="0"/>
    <x v="2"/>
    <s v="NULL"/>
    <x v="0"/>
    <x v="5"/>
    <s v="NÃO"/>
    <s v="SP"/>
    <s v="AGNÓSTICO/ATEU/SEM RELIGIÃO"/>
    <x v="2"/>
    <s v="NULL"/>
    <x v="0"/>
    <x v="1"/>
  </r>
  <r>
    <s v="4FB1163833975D5A43E1CD71B0261A19C615C5595C9260453D55A060621E3750"/>
    <x v="34"/>
    <s v="CASA DA VÍTIMA"/>
    <x v="2"/>
    <s v="NÃO SE APLICA"/>
    <s v="VIOLÊNCIA CONTRA CIDADÃO, FAMÍLIA OU COMUNIDADE"/>
    <s v="OUTROS"/>
    <x v="0"/>
    <x v="7"/>
    <s v="RJ"/>
    <x v="0"/>
    <x v="0"/>
    <x v="0"/>
    <s v="NULL"/>
    <x v="0"/>
    <x v="0"/>
    <s v="NÃO INFORMADO"/>
    <s v="DENUNCIANTE NÃO SOUBE INFORMAR"/>
    <s v="AGNÓSTICO/ATEU/SEM RELIGIÃO"/>
    <x v="2"/>
    <s v="NULL"/>
    <x v="1"/>
    <x v="1"/>
  </r>
  <r>
    <s v="CF788AC9CBB02F97E681C20B2A4984D158A7DE5EB6CD828C11942168F83A6C2C"/>
    <x v="34"/>
    <s v="CASA DA VÍTIMA"/>
    <x v="1"/>
    <s v="HÁ MAIS DE SEIS MESES"/>
    <s v="VIOLÊNCIA CONTRA CIDADÃO, FAMÍLIA OU COMUNIDADE"/>
    <s v="VIZINHO(A)"/>
    <x v="0"/>
    <x v="2"/>
    <s v="SP"/>
    <x v="0"/>
    <x v="0"/>
    <x v="2"/>
    <s v="NULL"/>
    <x v="2"/>
    <x v="1"/>
    <s v="NÃO INFORMADO"/>
    <s v="SP"/>
    <s v="AGNÓSTICO/ATEU/SEM RELIGIÃO"/>
    <x v="1"/>
    <s v="NULL"/>
    <x v="0"/>
    <x v="1"/>
  </r>
  <r>
    <s v="EA8E10CB34FE0DD90DFE62FEF3ED5BEDA2AB2B37576F617966492DAC344DC6A6"/>
    <x v="34"/>
    <s v="CASA DA VÍTIMA"/>
    <x v="2"/>
    <s v="HÁ MAIS DE SEIS MESES"/>
    <s v="VIOLÊNCIA CONTRA CIDADÃO, FAMÍLIA OU COMUNIDADE"/>
    <s v="DESCONHECIDO(A)"/>
    <x v="0"/>
    <x v="7"/>
    <s v="RJ"/>
    <x v="0"/>
    <x v="0"/>
    <x v="0"/>
    <s v="NULL"/>
    <x v="0"/>
    <x v="0"/>
    <s v="NÃO INFORMADO"/>
    <s v="DENUNCIANTE NÃO SOUBE INFORMAR"/>
    <s v="AGNÓSTICO/ATEU/SEM RELIGIÃO"/>
    <x v="2"/>
    <s v="NULL"/>
    <x v="2"/>
    <x v="1"/>
  </r>
  <r>
    <s v="195830964D46B5E16D407082B60C26CC75ACBE6A553DF3AA658340E1B9999761"/>
    <x v="34"/>
    <s v="CASA DA VÍTIMA"/>
    <x v="2"/>
    <s v="NÃO SE APLICA"/>
    <s v="VIOLÊNCIA CONTRA CIDADÃO, FAMÍLIA OU COMUNIDADE"/>
    <s v="DESCONHECIDO(A)"/>
    <x v="0"/>
    <x v="7"/>
    <s v="RJ"/>
    <x v="0"/>
    <x v="3"/>
    <x v="0"/>
    <s v="NULL"/>
    <x v="0"/>
    <x v="5"/>
    <s v="NÃO"/>
    <s v="SP"/>
    <s v="AGNÓSTICO/ATEU/SEM RELIGIÃO"/>
    <x v="2"/>
    <s v="NULL"/>
    <x v="0"/>
    <x v="1"/>
  </r>
  <r>
    <s v="A0E581F71F7FC4D818350E95DD4FB1F824E077160A126EBBA8D6CBDB295BA77C"/>
    <x v="35"/>
    <s v="OUTROS ESTABELECIMENTOS"/>
    <x v="2"/>
    <s v="NÃO SE APLICA"/>
    <s v="VIOLÊNCIA CONTRA CIDADÃO, FAMÍLIA OU COMUNIDADE"/>
    <s v="DESCONHECIDO(A)"/>
    <x v="0"/>
    <x v="7"/>
    <s v="DENUNCIANTE NÃO SOUBE INFORMAR"/>
    <x v="0"/>
    <x v="0"/>
    <x v="1"/>
    <s v="NULL"/>
    <x v="0"/>
    <x v="5"/>
    <s v="NÃO INFORMADO"/>
    <s v="DENUNCIANTE NÃO SOUBE INFORMAR"/>
    <s v="AGNÓSTICO/ATEU/SEM RELIGIÃO"/>
    <x v="0"/>
    <s v="NULL"/>
    <x v="0"/>
    <x v="1"/>
  </r>
  <r>
    <s v="A0E581F71F7FC4D818350E95DD4FB1F824E077160A126EBBA8D6CBDB295BA77C"/>
    <x v="35"/>
    <s v="OUTROS ESTABELECIMENTOS"/>
    <x v="2"/>
    <s v="NÃO SE APLICA"/>
    <s v="VIOLÊNCIA CONTRA CIDADÃO, FAMÍLIA OU COMUNIDADE"/>
    <s v="DESCONHECIDO(A)"/>
    <x v="0"/>
    <x v="7"/>
    <s v="DENUNCIANTE NÃO SOUBE INFORMAR"/>
    <x v="0"/>
    <x v="0"/>
    <x v="1"/>
    <s v="NULL"/>
    <x v="0"/>
    <x v="5"/>
    <s v="NÃO INFORMADO"/>
    <s v="DENUNCIANTE NÃO SOUBE INFORMAR"/>
    <s v="AGNÓSTICO/ATEU/SEM RELIGIÃO"/>
    <x v="0"/>
    <s v="NULL"/>
    <x v="2"/>
    <x v="1"/>
  </r>
  <r>
    <s v="F8EDA3E4D99B241C6BBD62CE880785BF1723E3F52ACE1141F4B7309B00F1C44D"/>
    <x v="35"/>
    <s v="CASA DA VÍTIMA"/>
    <x v="2"/>
    <s v="HÁ UMA SEMANA"/>
    <s v="VIOLÊNCIA CONTRA CIDADÃO, FAMÍLIA OU COMUNIDADE"/>
    <s v="DESCONHECIDO(A)"/>
    <x v="0"/>
    <x v="7"/>
    <s v="RJ"/>
    <x v="0"/>
    <x v="6"/>
    <x v="0"/>
    <s v="NULL"/>
    <x v="0"/>
    <x v="0"/>
    <s v="NÃO"/>
    <s v="DENUNCIANTE NÃO SOUBE INFORMAR"/>
    <s v="AGNÓSTICO/ATEU/SEM RELIGIÃO"/>
    <x v="2"/>
    <s v="NULL"/>
    <x v="2"/>
    <x v="1"/>
  </r>
  <r>
    <s v="CBB7AF5CD83326518AF0AF254CD375884460D356574EAB1491FF5226A7D89235"/>
    <x v="35"/>
    <s v="OUTROS ESTABELECIMENTOS"/>
    <x v="2"/>
    <s v="HÁ MAIS DE UM ANO"/>
    <s v="VIOLÊNCIA CONTRA CIDADÃO, FAMÍLIA OU COMUNIDADE"/>
    <s v="EMPREGADOR/PATRÃO (HIERARQUICAMENTE SUPERIOR)"/>
    <x v="1"/>
    <x v="4"/>
    <s v="RJ"/>
    <x v="0"/>
    <x v="0"/>
    <x v="1"/>
    <s v="NULL"/>
    <x v="1"/>
    <x v="0"/>
    <s v="NÃO INFORMADO"/>
    <s v="RJ"/>
    <s v="AGNÓSTICO/ATEU/SEM RELIGIÃO"/>
    <x v="1"/>
    <s v="PODER EXECUTIVO EM GERAL - MUNICIPAL"/>
    <x v="0"/>
    <x v="1"/>
  </r>
  <r>
    <s v="985894242FA3E17C83A8D571A9D41D8B30E19FD77AAAD266A50C4543C7001866"/>
    <x v="36"/>
    <s v="CASA ONDE RESIDE A VÍTIMA E O SUSPEITO"/>
    <x v="3"/>
    <s v="HÁ MAIS DE SEIS MESES"/>
    <s v="VIOLÊNCIA CONTRA CIDADÃO, FAMÍLIA OU COMUNIDADE"/>
    <s v="VIZINHO(A)"/>
    <x v="0"/>
    <x v="2"/>
    <s v="BA"/>
    <x v="0"/>
    <x v="0"/>
    <x v="3"/>
    <s v="NULL"/>
    <x v="2"/>
    <x v="1"/>
    <s v="NÃO"/>
    <s v="BA"/>
    <s v="AGNÓSTICO/ATEU/SEM RELIGIÃO"/>
    <x v="3"/>
    <s v="NULL"/>
    <x v="0"/>
    <x v="1"/>
  </r>
  <r>
    <s v="0C4CFD6525E8D3201A7E9219818AEB3B85A4470036E08154EC033559B9ABACD7"/>
    <x v="37"/>
    <s v="CASA DA VÍTIMA"/>
    <x v="1"/>
    <s v="HÁ UM MÊS"/>
    <s v="VIOLÊNCIA CONTRA CIDADÃO, FAMÍLIA OU COMUNIDADE"/>
    <s v="VIZINHO(A)"/>
    <x v="0"/>
    <x v="3"/>
    <s v="SP"/>
    <x v="8"/>
    <x v="3"/>
    <x v="2"/>
    <s v="NULL"/>
    <x v="1"/>
    <x v="0"/>
    <s v="NÃO INFORMADO"/>
    <s v="SP"/>
    <s v="AGNÓSTICO/ATEU/SEM RELIGIÃO"/>
    <x v="1"/>
    <s v="NULL"/>
    <x v="1"/>
    <x v="1"/>
  </r>
  <r>
    <s v="0C4CFD6525E8D3201A7E9219818AEB3B85A4470036E08154EC033559B9ABACD7"/>
    <x v="37"/>
    <s v="CASA DA VÍTIMA"/>
    <x v="1"/>
    <s v="HÁ UM MÊS"/>
    <s v="VIOLÊNCIA CONTRA CIDADÃO, FAMÍLIA OU COMUNIDADE"/>
    <s v="VIZINHO(A)"/>
    <x v="0"/>
    <x v="3"/>
    <s v="SP"/>
    <x v="8"/>
    <x v="3"/>
    <x v="2"/>
    <s v="NULL"/>
    <x v="1"/>
    <x v="0"/>
    <s v="NÃO INFORMADO"/>
    <s v="SP"/>
    <s v="AGNÓSTICO/ATEU/SEM RELIGIÃO"/>
    <x v="1"/>
    <s v="NULL"/>
    <x v="0"/>
    <x v="1"/>
  </r>
  <r>
    <s v="0C4CFD6525E8D3201A7E9219818AEB3B85A4470036E08154EC033559B9ABACD7"/>
    <x v="37"/>
    <s v="CASA DA VÍTIMA"/>
    <x v="1"/>
    <s v="HÁ UM MÊS"/>
    <s v="VIOLÊNCIA CONTRA CIDADÃO, FAMÍLIA OU COMUNIDADE"/>
    <s v="VIZINHO(A)"/>
    <x v="0"/>
    <x v="3"/>
    <s v="SP"/>
    <x v="8"/>
    <x v="3"/>
    <x v="2"/>
    <s v="NULL"/>
    <x v="1"/>
    <x v="0"/>
    <s v="NÃO INFORMADO"/>
    <s v="SP"/>
    <s v="AGNÓSTICO/ATEU/SEM RELIGIÃO"/>
    <x v="1"/>
    <s v="NULL"/>
    <x v="2"/>
    <x v="1"/>
  </r>
  <r>
    <s v="61F8EAAE6D7B54F305B5BB759320EF01179D287BD4E434C4EDA0A2CA33864C04"/>
    <x v="37"/>
    <s v="OUTROS ESTABELECIMENTOS"/>
    <x v="1"/>
    <s v="HÁ MAIS DE UM ANO"/>
    <s v="VIOLÊNCIA CONTRA CIDADÃO, FAMÍLIA OU COMUNIDADE"/>
    <s v="FUNCIONÁRIO, VOLUNTÁRIO OU PRESTADOR DE SERVIÇO PARA INSTITUIÇÃO"/>
    <x v="1"/>
    <x v="1"/>
    <s v="DENUNCIANTE NÃO SOUBE INFORMAR"/>
    <x v="0"/>
    <x v="0"/>
    <x v="1"/>
    <s v="NULL"/>
    <x v="1"/>
    <x v="0"/>
    <s v="NÃO INFORMADO"/>
    <s v="SP"/>
    <s v="AGNÓSTICO/ATEU/SEM RELIGIÃO"/>
    <x v="1"/>
    <s v="PODER EXECUTIVO EM GERAL - MUNICIPAL"/>
    <x v="0"/>
    <x v="1"/>
  </r>
  <r>
    <s v="8DF9768B4503E7E8B904F4E910BBC76D8B07A749C1B0BB0A6A310ACE0FA0A484"/>
    <x v="38"/>
    <s v="OUTROS ESTABELECIMENTOS"/>
    <x v="4"/>
    <s v="HÁ MAIS DE SEIS MESES"/>
    <s v="VIOLÊNCIA CONTRA CIDADÃO, FAMÍLIA OU COMUNIDADE"/>
    <s v="DIRETOR(A) DE UNIDADE PRISIONAL"/>
    <x v="1"/>
    <x v="3"/>
    <s v="MG"/>
    <x v="0"/>
    <x v="0"/>
    <x v="1"/>
    <s v="NULL"/>
    <x v="1"/>
    <x v="0"/>
    <s v="NÃO INFORMADO"/>
    <s v="MG"/>
    <s v="AGNÓSTICO/ATEU/SEM RELIGIÃO"/>
    <x v="1"/>
    <s v="SEGURANÇA PÚBLICA, FORÇAS ARMADAS, DEFESA CIVIL, BOMBEIROS E ASSEMELHADOS ? FEDERAL"/>
    <x v="0"/>
    <x v="1"/>
  </r>
  <r>
    <s v="8DF9768B4503E7E8B904F4E910BBC76D8B07A749C1B0BB0A6A310ACE0FA0A484"/>
    <x v="38"/>
    <s v="OUTROS ESTABELECIMENTOS"/>
    <x v="4"/>
    <s v="HÁ MAIS DE SEIS MESES"/>
    <s v="VIOLÊNCIA CONTRA CIDADÃO, FAMÍLIA OU COMUNIDADE"/>
    <s v="DIRETOR(A) DE UNIDADE PRISIONAL"/>
    <x v="1"/>
    <x v="3"/>
    <s v="MG"/>
    <x v="0"/>
    <x v="0"/>
    <x v="1"/>
    <s v="NULL"/>
    <x v="1"/>
    <x v="0"/>
    <s v="NÃO INFORMADO"/>
    <s v="MG"/>
    <s v="AGNÓSTICO/ATEU/SEM RELIGIÃO"/>
    <x v="1"/>
    <s v="SEGURANÇA PÚBLICA, FORÇAS ARMADAS, DEFESA CIVIL, BOMBEIROS E ASSEMELHADOS ? FEDERAL"/>
    <x v="2"/>
    <x v="1"/>
  </r>
  <r>
    <s v="BBFC7F195084E9514356A891B512E9E5AA27DF82027A99D66BAD9EE52CADDAD0"/>
    <x v="38"/>
    <s v="OUTROS ESTABELECIMENTOS"/>
    <x v="4"/>
    <s v="HÁ MAIS DE SEIS MESES"/>
    <s v="VIOLÊNCIA CONTRA CIDADÃO, FAMÍLIA OU COMUNIDADE"/>
    <s v="DIRETOR(A) DE UNIDADE PRISIONAL"/>
    <x v="1"/>
    <x v="3"/>
    <s v="MG"/>
    <x v="0"/>
    <x v="0"/>
    <x v="1"/>
    <s v="NULL"/>
    <x v="1"/>
    <x v="0"/>
    <s v="NÃO INFORMADO"/>
    <s v="MG"/>
    <s v="AGNÓSTICO/ATEU/SEM RELIGIÃO"/>
    <x v="1"/>
    <s v="SEGURANÇA PÚBLICA, FORÇAS ARMADAS, DEFESA CIVIL, BOMBEIROS E ASSEMELHADOS ? FEDERAL"/>
    <x v="0"/>
    <x v="1"/>
  </r>
  <r>
    <s v="BBFC7F195084E9514356A891B512E9E5AA27DF82027A99D66BAD9EE52CADDAD0"/>
    <x v="38"/>
    <s v="OUTROS ESTABELECIMENTOS"/>
    <x v="4"/>
    <s v="HÁ MAIS DE SEIS MESES"/>
    <s v="VIOLÊNCIA CONTRA CIDADÃO, FAMÍLIA OU COMUNIDADE"/>
    <s v="DIRETOR(A) DE UNIDADE PRISIONAL"/>
    <x v="1"/>
    <x v="3"/>
    <s v="MG"/>
    <x v="0"/>
    <x v="0"/>
    <x v="1"/>
    <s v="NULL"/>
    <x v="1"/>
    <x v="0"/>
    <s v="NÃO INFORMADO"/>
    <s v="MG"/>
    <s v="AGNÓSTICO/ATEU/SEM RELIGIÃO"/>
    <x v="1"/>
    <s v="SEGURANÇA PÚBLICA, FORÇAS ARMADAS, DEFESA CIVIL, BOMBEIROS E ASSEMELHADOS ? FEDERAL"/>
    <x v="2"/>
    <x v="1"/>
  </r>
  <r>
    <s v="0126F941054061E6861E1D48A830D9EB1A6061F67694DA7FA9518E7143B7366F"/>
    <x v="39"/>
    <s v="OUTROS ESTABELECIMENTOS"/>
    <x v="12"/>
    <s v="NÃO SE APLICA"/>
    <s v="VIOLÊNCIA CONTRA CIDADÃO, FAMÍLIA OU COMUNIDADE"/>
    <s v="OUTROS"/>
    <x v="1"/>
    <x v="8"/>
    <s v="DENUNCIANTE NÃO SOUBE INFORMAR"/>
    <x v="0"/>
    <x v="0"/>
    <x v="1"/>
    <s v="NULL"/>
    <x v="0"/>
    <x v="9"/>
    <s v="NÃO"/>
    <s v="RS"/>
    <s v="AGNÓSTICO/ATEU/SEM RELIGIÃO"/>
    <x v="0"/>
    <s v="NULL"/>
    <x v="0"/>
    <x v="1"/>
  </r>
  <r>
    <s v="F2FF58AE50474EA5A42E3AF93AA3AFBC3B7F813B143CCA6B430E39A8E2ABFD83"/>
    <x v="40"/>
    <s v="CASA ONDE RESIDE A VÍTIMA E O SUSPEITO"/>
    <x v="14"/>
    <s v="NÃO SABE INFORMAR"/>
    <s v="VIOLÊNCIA CONTRA CIDADÃO, FAMÍLIA OU COMUNIDADE"/>
    <s v="PAI"/>
    <x v="0"/>
    <x v="1"/>
    <s v="RN"/>
    <x v="0"/>
    <x v="0"/>
    <x v="1"/>
    <s v="NULL"/>
    <x v="2"/>
    <x v="0"/>
    <s v="NÃO INFORMADO"/>
    <s v="RN"/>
    <s v="AGNÓSTICO/ATEU/SEM RELIGIÃO"/>
    <x v="1"/>
    <s v="NULL"/>
    <x v="1"/>
    <x v="1"/>
  </r>
  <r>
    <s v="3FD8EE7CC933C09F907A50F342FD1772EA2E8D4BFB037B11F0D4407DD61454B1"/>
    <x v="40"/>
    <s v="CASA ONDE RESIDE A VÍTIMA E O SUSPEITO"/>
    <x v="14"/>
    <s v="NÃO SABE INFORMAR"/>
    <s v="VIOLÊNCIA CONTRA CIDADÃO, FAMÍLIA OU COMUNIDADE"/>
    <s v="PAI"/>
    <x v="0"/>
    <x v="1"/>
    <s v="RN"/>
    <x v="0"/>
    <x v="0"/>
    <x v="1"/>
    <s v="NULL"/>
    <x v="0"/>
    <x v="0"/>
    <s v="NÃO INFORMADO"/>
    <s v="RN"/>
    <s v="AGNÓSTICO/ATEU/SEM RELIGIÃO"/>
    <x v="1"/>
    <s v="NULL"/>
    <x v="1"/>
    <x v="1"/>
  </r>
  <r>
    <s v="EF1FCC3C5A0690D951D88DE44498A3BD2C3794B4FF20CC558E2380B2A487339C"/>
    <x v="41"/>
    <s v="OUTROS ESTABELECIMENTOS"/>
    <x v="1"/>
    <s v="HÁ MAIS DE DEZ ANOS"/>
    <s v="VIOLÊNCIA CONTRA CIDADÃO, FAMÍLIA OU COMUNIDADE"/>
    <s v="VIZINHO(A)"/>
    <x v="0"/>
    <x v="0"/>
    <s v="SP"/>
    <x v="3"/>
    <x v="0"/>
    <x v="3"/>
    <s v="NULL"/>
    <x v="2"/>
    <x v="1"/>
    <s v="NÃO"/>
    <s v="SP"/>
    <s v="AGNÓSTICO/ATEU/SEM RELIGIÃO"/>
    <x v="0"/>
    <s v="NULL"/>
    <x v="0"/>
    <x v="1"/>
  </r>
  <r>
    <s v="2EDBB888F3C539F4F787637E912D942BDF6BBFFE8032F7BC8AC70795C2C1905F"/>
    <x v="42"/>
    <s v="CASA DA VÍTIMA"/>
    <x v="1"/>
    <s v="NÃO SE APLICA"/>
    <s v="VIOLÊNCIA CONTRA CIDADÃO, FAMÍLIA OU COMUNIDADE"/>
    <s v="OUTROS"/>
    <x v="0"/>
    <x v="0"/>
    <s v="SP"/>
    <x v="0"/>
    <x v="0"/>
    <x v="1"/>
    <s v="NULL"/>
    <x v="0"/>
    <x v="5"/>
    <s v="NÃO"/>
    <s v="SP"/>
    <s v="AGNÓSTICO/ATEU/SEM RELIGIÃO"/>
    <x v="0"/>
    <s v="NULL"/>
    <x v="0"/>
    <x v="1"/>
  </r>
  <r>
    <s v="240A22F9B2BFC99EC74AB5972D22DFB2B90104269A39E7CAA3A0804CD6AAF698"/>
    <x v="43"/>
    <s v="CASA ONDE RESIDE A VÍTIMA E O SUSPEITO"/>
    <x v="1"/>
    <s v="HÁ MAIS DE UM ANO"/>
    <s v="VIOLÊNCIA CONTRA CIDADÃO, FAMÍLIA OU COMUNIDADE"/>
    <s v="IRMÃO(Ã)"/>
    <x v="0"/>
    <x v="2"/>
    <s v="SP"/>
    <x v="0"/>
    <x v="0"/>
    <x v="3"/>
    <s v="NULL"/>
    <x v="2"/>
    <x v="4"/>
    <s v="NÃO"/>
    <s v="SP"/>
    <s v="AGNÓSTICO/ATEU/SEM RELIGIÃO"/>
    <x v="0"/>
    <s v="NULL"/>
    <x v="0"/>
    <x v="1"/>
  </r>
  <r>
    <s v="240A22F9B2BFC99EC74AB5972D22DFB2B90104269A39E7CAA3A0804CD6AAF698"/>
    <x v="43"/>
    <s v="CASA ONDE RESIDE A VÍTIMA E O SUSPEITO"/>
    <x v="1"/>
    <s v="HÁ MAIS DE UM ANO"/>
    <s v="VIOLÊNCIA CONTRA CIDADÃO, FAMÍLIA OU COMUNIDADE"/>
    <s v="IRMÃO(Ã)"/>
    <x v="0"/>
    <x v="2"/>
    <s v="SP"/>
    <x v="0"/>
    <x v="0"/>
    <x v="3"/>
    <s v="NULL"/>
    <x v="2"/>
    <x v="4"/>
    <s v="NÃO"/>
    <s v="SP"/>
    <s v="AGNÓSTICO/ATEU/SEM RELIGIÃO"/>
    <x v="0"/>
    <s v="NULL"/>
    <x v="2"/>
    <x v="1"/>
  </r>
  <r>
    <s v="1CD82498EF97F0A695CC12AC840DEADABE3C3B05B92EA94172CEBA68EA541BD6"/>
    <x v="43"/>
    <s v="CASA DA VÍTIMA"/>
    <x v="1"/>
    <s v="HÁ MAIS DE UM ANO"/>
    <s v="VIOLÊNCIA CONTRA CIDADÃO, FAMÍLIA OU COMUNIDADE"/>
    <s v="OUTROS"/>
    <x v="0"/>
    <x v="0"/>
    <s v="SP"/>
    <x v="0"/>
    <x v="0"/>
    <x v="0"/>
    <s v="NULL"/>
    <x v="1"/>
    <x v="0"/>
    <s v="NÃO INFORMADO"/>
    <s v="DENUNCIANTE NÃO SOUBE INFORMAR"/>
    <s v="AGNÓSTICO/ATEU/SEM RELIGIÃO"/>
    <x v="1"/>
    <s v="INFORMAÇÃO E COMUNICAÇÃO"/>
    <x v="0"/>
    <x v="1"/>
  </r>
  <r>
    <s v="395FA2B6ECD2C4191EAFD876B5230DB942848FEB3C2C3AAFC91D7FA6A52AB7AC"/>
    <x v="43"/>
    <s v="OUTROS ESTABELECIMENTOS"/>
    <x v="12"/>
    <s v="NÃO SE APLICA"/>
    <s v="VIOLÊNCIA CONTRA CIDADÃO, FAMÍLIA OU COMUNIDADE"/>
    <s v="EX-COMPANHEIRO(A)"/>
    <x v="0"/>
    <x v="5"/>
    <s v="RJ"/>
    <x v="0"/>
    <x v="0"/>
    <x v="2"/>
    <s v="NULL"/>
    <x v="2"/>
    <x v="4"/>
    <s v="NÃO"/>
    <s v="RJ"/>
    <s v="UMBANDA E CANDOMBLÉ"/>
    <x v="0"/>
    <s v="NULL"/>
    <x v="0"/>
    <x v="1"/>
  </r>
  <r>
    <s v="A5B01C0849AB6C2DAA991AC30A183B12C1EA2739902F3FB4119B606432A174D0"/>
    <x v="43"/>
    <s v="OUTROS ESTABELECIMENTOS"/>
    <x v="12"/>
    <s v="NÃO SE APLICA"/>
    <s v="VIOLÊNCIA CONTRA CIDADÃO, FAMÍLIA OU COMUNIDADE"/>
    <s v="EX-COMPANHEIRO(A)"/>
    <x v="0"/>
    <x v="5"/>
    <s v="RJ"/>
    <x v="0"/>
    <x v="0"/>
    <x v="2"/>
    <s v="NULL"/>
    <x v="0"/>
    <x v="1"/>
    <s v="NÃO"/>
    <s v="RJ"/>
    <s v="UMBANDA E CANDOMBLÉ"/>
    <x v="2"/>
    <s v="NULL"/>
    <x v="0"/>
    <x v="1"/>
  </r>
  <r>
    <s v="54B6C06BAE1FA139F168059D0EE90AC9D8AA592632258F288721E66B0B86343E"/>
    <x v="43"/>
    <s v="OUTROS ESTABELECIMENTOS"/>
    <x v="12"/>
    <s v="NÃO SE APLICA"/>
    <s v="VIOLÊNCIA CONTRA CIDADÃO, FAMÍLIA OU COMUNIDADE"/>
    <s v="EX-COMPANHEIRO(A)"/>
    <x v="0"/>
    <x v="5"/>
    <s v="RJ"/>
    <x v="0"/>
    <x v="0"/>
    <x v="2"/>
    <s v="NULL"/>
    <x v="2"/>
    <x v="11"/>
    <s v="NÃO"/>
    <s v="RJ"/>
    <s v="UMBANDA E CANDOMBLÉ"/>
    <x v="0"/>
    <s v="NULL"/>
    <x v="0"/>
    <x v="1"/>
  </r>
  <r>
    <s v="FA9203E3C875FBFE27DA9E27387FE52E4DE43A5C982521C71087006F8FA3D035"/>
    <x v="43"/>
    <s v="OUTROS ESTABELECIMENTOS"/>
    <x v="12"/>
    <s v="NÃO SE APLICA"/>
    <s v="VIOLÊNCIA CONTRA CIDADÃO, FAMÍLIA OU COMUNIDADE"/>
    <s v="OUTROS"/>
    <x v="1"/>
    <x v="1"/>
    <s v="DENUNCIANTE NÃO SOUBE INFORMAR"/>
    <x v="0"/>
    <x v="0"/>
    <x v="1"/>
    <s v="NULL"/>
    <x v="2"/>
    <x v="11"/>
    <s v="NÃO"/>
    <s v="RJ"/>
    <s v="UMBANDA E CANDOMBLÉ"/>
    <x v="0"/>
    <s v="NULL"/>
    <x v="1"/>
    <x v="1"/>
  </r>
  <r>
    <s v="0CE2EBCF75C8E7F2F360F72FC9EC4B7CF4E5CC0BED4E941DC14A678C21C72380"/>
    <x v="43"/>
    <s v="OUTROS ESTABELECIMENTOS"/>
    <x v="12"/>
    <s v="NÃO SE APLICA"/>
    <s v="VIOLÊNCIA CONTRA CIDADÃO, FAMÍLIA OU COMUNIDADE"/>
    <s v="OUTROS"/>
    <x v="1"/>
    <x v="1"/>
    <s v="DENUNCIANTE NÃO SOUBE INFORMAR"/>
    <x v="0"/>
    <x v="0"/>
    <x v="1"/>
    <s v="NULL"/>
    <x v="2"/>
    <x v="4"/>
    <s v="NÃO"/>
    <s v="RJ"/>
    <s v="UMBANDA E CANDOMBLÉ"/>
    <x v="0"/>
    <s v="NULL"/>
    <x v="1"/>
    <x v="1"/>
  </r>
  <r>
    <s v="5E138158F2668C1613CB4A1C39B40E1C731265F51DBF7A6E0E460E418E619B2C"/>
    <x v="43"/>
    <s v="OUTROS ESTABELECIMENTOS"/>
    <x v="12"/>
    <s v="NÃO SE APLICA"/>
    <s v="VIOLÊNCIA CONTRA CIDADÃO, FAMÍLIA OU COMUNIDADE"/>
    <s v="OUTROS"/>
    <x v="1"/>
    <x v="1"/>
    <s v="DENUNCIANTE NÃO SOUBE INFORMAR"/>
    <x v="0"/>
    <x v="0"/>
    <x v="1"/>
    <s v="NULL"/>
    <x v="0"/>
    <x v="1"/>
    <s v="NÃO"/>
    <s v="RJ"/>
    <s v="UMBANDA E CANDOMBLÉ"/>
    <x v="2"/>
    <s v="NULL"/>
    <x v="1"/>
    <x v="1"/>
  </r>
  <r>
    <s v="524308446D9EEEFF6955831EFB1DA3C791F8A5FC30419FEF9B399CF15E0BCA0A"/>
    <x v="44"/>
    <s v="CASA DA VÍTIMA"/>
    <x v="1"/>
    <s v="HÁ MAIS DE UM ANO"/>
    <s v="VIOLÊNCIA CONTRA CIDADÃO, FAMÍLIA OU COMUNIDADE"/>
    <s v="VIZINHO(A)"/>
    <x v="1"/>
    <x v="8"/>
    <s v="SP"/>
    <x v="0"/>
    <x v="0"/>
    <x v="1"/>
    <s v="NULL"/>
    <x v="2"/>
    <x v="4"/>
    <s v="NÃO"/>
    <s v="SP"/>
    <s v="AGNÓSTICO/ATEU/SEM RELIGIÃO"/>
    <x v="0"/>
    <s v="NULL"/>
    <x v="2"/>
    <x v="1"/>
  </r>
  <r>
    <s v="F72CAECA1B995C06A77D5ED315C1964CBCC1CA65FA95C904B295D8BBDFD15C31"/>
    <x v="44"/>
    <s v="CASA ONDE RESIDE A VÍTIMA E O SUSPEITO"/>
    <x v="1"/>
    <s v="HÁ MAIS DE UM ANO"/>
    <s v="VIOLÊNCIA CONTRA CIDADÃO, FAMÍLIA OU COMUNIDADE"/>
    <s v="VIZINHO(A)"/>
    <x v="0"/>
    <x v="3"/>
    <s v="SP"/>
    <x v="3"/>
    <x v="0"/>
    <x v="3"/>
    <s v="NULL"/>
    <x v="2"/>
    <x v="0"/>
    <s v="NÃO INFORMADO"/>
    <s v="SP"/>
    <s v="AGNÓSTICO/ATEU/SEM RELIGIÃO"/>
    <x v="1"/>
    <s v="NULL"/>
    <x v="0"/>
    <x v="1"/>
  </r>
  <r>
    <s v="CB8660FE819889E018BBF3B59E40382170ADDB4E90385104C3B14ADB3BCCF76E"/>
    <x v="44"/>
    <s v="CASA ONDE RESIDE A VÍTIMA E O SUSPEITO"/>
    <x v="1"/>
    <s v="HÁ MAIS DE UM ANO"/>
    <s v="VIOLÊNCIA CONTRA CIDADÃO, FAMÍLIA OU COMUNIDADE"/>
    <s v="VIZINHO(A)"/>
    <x v="0"/>
    <x v="3"/>
    <s v="SP"/>
    <x v="3"/>
    <x v="0"/>
    <x v="3"/>
    <s v="NULL"/>
    <x v="0"/>
    <x v="0"/>
    <s v="NÃO INFORMADO"/>
    <s v="SP"/>
    <s v="AGNÓSTICO/ATEU/SEM RELIGIÃO"/>
    <x v="1"/>
    <s v="NULL"/>
    <x v="0"/>
    <x v="1"/>
  </r>
  <r>
    <s v="9F594E281BA42FDF2D681E7B47CE4488593F5B1C145A53989F5CC074A6FBFDAC"/>
    <x v="44"/>
    <s v="OUTROS ESTABELECIMENTOS"/>
    <x v="1"/>
    <s v="HÁ MAIS DE UM ANO"/>
    <s v="VIOLÊNCIA CONTRA CIDADÃO, FAMÍLIA OU COMUNIDADE"/>
    <s v="DESCONHECIDO(A)"/>
    <x v="0"/>
    <x v="7"/>
    <s v="SP"/>
    <x v="0"/>
    <x v="0"/>
    <x v="2"/>
    <s v="NULL"/>
    <x v="1"/>
    <x v="0"/>
    <s v="NÃO"/>
    <s v="DENUNCIANTE NÃO SOUBE INFORMAR"/>
    <s v="OUTRAS RELIGIOSIDADES"/>
    <x v="1"/>
    <s v="NULL"/>
    <x v="0"/>
    <x v="1"/>
  </r>
  <r>
    <s v="1DD5F13E583AF404842019A9AF5D6F271288260214A41620E1BD8FD4AB1F87E3"/>
    <x v="44"/>
    <s v="OUTROS ESTABELECIMENTOS"/>
    <x v="9"/>
    <s v="HÁ MAIS DE DEZ ANOS"/>
    <s v="VIOLÊNCIA CONTRA CIDADÃO, FAMÍLIA OU COMUNIDADE"/>
    <s v="LÍDER RELIGIOSO(A)"/>
    <x v="1"/>
    <x v="1"/>
    <s v="SC"/>
    <x v="0"/>
    <x v="0"/>
    <x v="0"/>
    <s v="NULL"/>
    <x v="1"/>
    <x v="0"/>
    <s v="NÃO INFORMADO"/>
    <s v="SC"/>
    <s v="AGNÓSTICO/ATEU/SEM RELIGIÃO"/>
    <x v="1"/>
    <s v="OUTRAS ATIVIDADES DE SERVIÇOS"/>
    <x v="1"/>
    <x v="1"/>
  </r>
  <r>
    <s v="7049DF9CB2F33CA240F16F1ABB3119BFD73A3C25518F274FB83AB5256B3B6D2D"/>
    <x v="44"/>
    <s v="OUTROS ESTABELECIMENTOS"/>
    <x v="9"/>
    <s v="HÁ MAIS DE DEZ ANOS"/>
    <s v="VIOLÊNCIA CONTRA CIDADÃO, FAMÍLIA OU COMUNIDADE"/>
    <s v="LÍDER RELIGIOSO(A)"/>
    <x v="1"/>
    <x v="1"/>
    <s v="SC"/>
    <x v="0"/>
    <x v="0"/>
    <x v="0"/>
    <s v="NULL"/>
    <x v="1"/>
    <x v="0"/>
    <s v="NÃO INFORMADO"/>
    <s v="SC"/>
    <s v="AGNÓSTICO/ATEU/SEM RELIGIÃO"/>
    <x v="1"/>
    <s v="OUTRAS ATIVIDADES DE SERVIÇOS"/>
    <x v="1"/>
    <x v="1"/>
  </r>
  <r>
    <s v="E1F1977977FDF210729877671CCFE35B659B65CBEF8F311851D59018399788E0"/>
    <x v="44"/>
    <s v="LOCAL DE TRABALHO DA VÍTIMA"/>
    <x v="3"/>
    <s v="NÃO SE APLICA"/>
    <s v="VIOLÊNCIA CONTRA CIDADÃO, FAMÍLIA OU COMUNIDADE"/>
    <s v="COLEGA DE TRABALHO (MESMO NÍVEL HIERÁRQUICO)"/>
    <x v="0"/>
    <x v="7"/>
    <s v="BA"/>
    <x v="8"/>
    <x v="3"/>
    <x v="0"/>
    <s v="NULL"/>
    <x v="0"/>
    <x v="7"/>
    <s v="NÃO"/>
    <s v="BA"/>
    <s v="EVANGÉLICA"/>
    <x v="2"/>
    <s v="NULL"/>
    <x v="0"/>
    <x v="1"/>
  </r>
  <r>
    <s v="6483270F2287F63C17169F847F396A65F5C424FEBE6DD2970E802FA2C56F959D"/>
    <x v="45"/>
    <s v="OUTROS ESTABELECIMENTOS"/>
    <x v="10"/>
    <s v="NÃO SABE INFORMAR"/>
    <s v="VIOLÊNCIA CONTRA CIDADÃO, FAMÍLIA OU COMUNIDADE"/>
    <s v="NÃO SABE INFORMAR"/>
    <x v="1"/>
    <x v="7"/>
    <s v="CE"/>
    <x v="0"/>
    <x v="0"/>
    <x v="1"/>
    <s v="NULL"/>
    <x v="1"/>
    <x v="0"/>
    <s v="NÃO INFORMADO"/>
    <s v="CE"/>
    <s v="AGNÓSTICO/ATEU/SEM RELIGIÃO"/>
    <x v="1"/>
    <s v="NULL"/>
    <x v="0"/>
    <x v="1"/>
  </r>
  <r>
    <s v="2532A0040425909368947BD858B91C04B44447308AEDA0391282E788325BBBC2"/>
    <x v="46"/>
    <s v="OUTROS ESTABELECIMENTOS"/>
    <x v="4"/>
    <s v="HÁ MAIS DE UM ANO"/>
    <s v="VIOLÊNCIA CONTRA CIDADÃO, FAMÍLIA OU COMUNIDADE"/>
    <s v="DESCONHECIDO(A)"/>
    <x v="0"/>
    <x v="3"/>
    <s v="MG"/>
    <x v="0"/>
    <x v="0"/>
    <x v="2"/>
    <s v="NULL"/>
    <x v="2"/>
    <x v="8"/>
    <s v="NÃO"/>
    <s v="MG"/>
    <s v="EVANGÉLICA"/>
    <x v="0"/>
    <s v="NULL"/>
    <x v="2"/>
    <x v="2"/>
  </r>
  <r>
    <s v="D2FCDAEF2487A65B609808DCB91704D9657C43C93E06567497AE1D8C0CBE0323"/>
    <x v="46"/>
    <s v="CASA DA VÍTIMA"/>
    <x v="4"/>
    <s v="HÁ MAIS DE UM ANO"/>
    <s v="VIOLÊNCIA CONTRA CIDADÃO, FAMÍLIA OU COMUNIDADE"/>
    <s v="DESCONHECIDO(A)"/>
    <x v="0"/>
    <x v="2"/>
    <s v="MG"/>
    <x v="0"/>
    <x v="0"/>
    <x v="0"/>
    <s v="NULL"/>
    <x v="2"/>
    <x v="8"/>
    <s v="NÃO"/>
    <s v="MG"/>
    <s v="EVANGÉLICA"/>
    <x v="0"/>
    <s v="NULL"/>
    <x v="2"/>
    <x v="2"/>
  </r>
  <r>
    <s v="D2FCDAEF2487A65B609808DCB91704D9657C43C93E06567497AE1D8C0CBE0323"/>
    <x v="46"/>
    <s v="CASA DA VÍTIMA"/>
    <x v="4"/>
    <s v="HÁ MAIS DE UM ANO"/>
    <s v="VIOLÊNCIA CONTRA CIDADÃO, FAMÍLIA OU COMUNIDADE"/>
    <s v="DESCONHECIDO(A)"/>
    <x v="0"/>
    <x v="2"/>
    <s v="MG"/>
    <x v="0"/>
    <x v="0"/>
    <x v="0"/>
    <s v="NULL"/>
    <x v="2"/>
    <x v="8"/>
    <s v="NÃO"/>
    <s v="MG"/>
    <s v="EVANGÉLICA"/>
    <x v="0"/>
    <s v="NULL"/>
    <x v="0"/>
    <x v="2"/>
  </r>
  <r>
    <s v="2532A0040425909368947BD858B91C04B44447308AEDA0391282E788325BBBC2"/>
    <x v="46"/>
    <s v="OUTROS ESTABELECIMENTOS"/>
    <x v="4"/>
    <s v="HÁ MAIS DE UM ANO"/>
    <s v="VIOLÊNCIA CONTRA CIDADÃO, FAMÍLIA OU COMUNIDADE"/>
    <s v="DESCONHECIDO(A)"/>
    <x v="0"/>
    <x v="3"/>
    <s v="MG"/>
    <x v="0"/>
    <x v="0"/>
    <x v="2"/>
    <s v="NULL"/>
    <x v="2"/>
    <x v="8"/>
    <s v="NÃO"/>
    <s v="MG"/>
    <s v="EVANGÉLICA"/>
    <x v="0"/>
    <s v="NULL"/>
    <x v="0"/>
    <x v="2"/>
  </r>
  <r>
    <s v="3F4EE8A03C3DF93ABA13DB17D57D00ECFCAE1F2F3798590FE8D65FC614D231DA"/>
    <x v="47"/>
    <s v="AMBIENTE VIRTUAL (NO ÂMBITO DA INTERNET)"/>
    <x v="4"/>
    <s v="NÃO SABE INFORMAR"/>
    <s v="VIOLÊNCIA CONTRA CIDADÃO, FAMÍLIA OU COMUNIDADE"/>
    <s v="DESCONHECIDO(A)"/>
    <x v="0"/>
    <x v="7"/>
    <s v="SP"/>
    <x v="0"/>
    <x v="0"/>
    <x v="2"/>
    <s v="NULL"/>
    <x v="0"/>
    <x v="0"/>
    <s v="NÃO"/>
    <s v="MG"/>
    <s v="AGNÓSTICO/ATEU/SEM RELIGIÃO"/>
    <x v="1"/>
    <s v="NULL"/>
    <x v="0"/>
    <x v="2"/>
  </r>
  <r>
    <s v="3F4EE8A03C3DF93ABA13DB17D57D00ECFCAE1F2F3798590FE8D65FC614D231DA"/>
    <x v="47"/>
    <s v="AMBIENTE VIRTUAL (NO ÂMBITO DA INTERNET)"/>
    <x v="4"/>
    <s v="NÃO SABE INFORMAR"/>
    <s v="VIOLÊNCIA CONTRA CIDADÃO, FAMÍLIA OU COMUNIDADE"/>
    <s v="DESCONHECIDO(A)"/>
    <x v="0"/>
    <x v="7"/>
    <s v="SP"/>
    <x v="0"/>
    <x v="0"/>
    <x v="2"/>
    <s v="NULL"/>
    <x v="0"/>
    <x v="0"/>
    <s v="NÃO"/>
    <s v="MG"/>
    <s v="AGNÓSTICO/ATEU/SEM RELIGIÃO"/>
    <x v="1"/>
    <s v="NULL"/>
    <x v="2"/>
    <x v="2"/>
  </r>
  <r>
    <s v="3F4EE8A03C3DF93ABA13DB17D57D00ECFCAE1F2F3798590FE8D65FC614D231DA"/>
    <x v="47"/>
    <s v="AMBIENTE VIRTUAL (NO ÂMBITO DA INTERNET)"/>
    <x v="4"/>
    <s v="NÃO SABE INFORMAR"/>
    <s v="VIOLÊNCIA CONTRA CIDADÃO, FAMÍLIA OU COMUNIDADE"/>
    <s v="DESCONHECIDO(A)"/>
    <x v="0"/>
    <x v="7"/>
    <s v="SP"/>
    <x v="0"/>
    <x v="0"/>
    <x v="2"/>
    <s v="NULL"/>
    <x v="0"/>
    <x v="0"/>
    <s v="NÃO"/>
    <s v="MG"/>
    <s v="AGNÓSTICO/ATEU/SEM RELIGIÃO"/>
    <x v="1"/>
    <s v="NULL"/>
    <x v="1"/>
    <x v="2"/>
  </r>
  <r>
    <s v="09ADC5ED6766F1DFA0A419747F03B44FD937EFCDE818380B9C48AB9D1D823072"/>
    <x v="47"/>
    <s v="AMBIENTE VIRTUAL (NO ÂMBITO DA INTERNET)"/>
    <x v="3"/>
    <s v="NÃO SABE INFORMAR"/>
    <s v="VIOLÊNCIA CONTRA CIDADÃO, FAMÍLIA OU COMUNIDADE"/>
    <s v="VIZINHO(A)"/>
    <x v="1"/>
    <x v="8"/>
    <s v="BA"/>
    <x v="0"/>
    <x v="0"/>
    <x v="1"/>
    <s v="NULL"/>
    <x v="2"/>
    <x v="1"/>
    <s v="NÃO"/>
    <s v="BA"/>
    <s v="AGNÓSTICO/ATEU/SEM RELIGIÃO"/>
    <x v="2"/>
    <s v="NULL"/>
    <x v="0"/>
    <x v="2"/>
  </r>
  <r>
    <s v="57907616D06756BAD3158BE1EFFF5955270B068B6CECCE1335BEF272C33C7B30"/>
    <x v="47"/>
    <s v="ESTABELECIMENTO DE SAÚDE"/>
    <x v="1"/>
    <s v="HÁ MAIS DE UM ANO"/>
    <s v="VIOLÊNCIA CONTRA CIDADÃO, FAMÍLIA OU COMUNIDADE"/>
    <s v="PROFISSIONAL DE SAÚDE"/>
    <x v="0"/>
    <x v="3"/>
    <s v="SP"/>
    <x v="3"/>
    <x v="0"/>
    <x v="2"/>
    <s v="NULL"/>
    <x v="2"/>
    <x v="6"/>
    <s v="NÃO"/>
    <s v="SP"/>
    <s v="AGNÓSTICO/ATEU/SEM RELIGIÃO"/>
    <x v="0"/>
    <s v="NULL"/>
    <x v="0"/>
    <x v="2"/>
  </r>
  <r>
    <s v="0DAD0550BD6240203277D1007568907B6B9B3EA002BE8181213CF2E98741B627"/>
    <x v="48"/>
    <s v="OUTROS ESTABELECIMENTOS"/>
    <x v="2"/>
    <s v="NÃO SE APLICA"/>
    <s v="VIOLÊNCIA CONTRA CIDADÃO, FAMÍLIA OU COMUNIDADE"/>
    <s v="DESCONHECIDO(A)"/>
    <x v="1"/>
    <x v="1"/>
    <s v="DENUNCIANTE NÃO SOUBE INFORMAR"/>
    <x v="0"/>
    <x v="0"/>
    <x v="1"/>
    <s v="NULL"/>
    <x v="2"/>
    <x v="1"/>
    <s v="NÃO"/>
    <s v="DENUNCIANTE NÃO SOUBE INFORMAR"/>
    <s v="AGNÓSTICO/ATEU/SEM RELIGIÃO"/>
    <x v="0"/>
    <s v="NULL"/>
    <x v="2"/>
    <x v="2"/>
  </r>
  <r>
    <s v="0DAD0550BD6240203277D1007568907B6B9B3EA002BE8181213CF2E98741B627"/>
    <x v="48"/>
    <s v="OUTROS ESTABELECIMENTOS"/>
    <x v="2"/>
    <s v="NÃO SE APLICA"/>
    <s v="VIOLÊNCIA CONTRA CIDADÃO, FAMÍLIA OU COMUNIDADE"/>
    <s v="DESCONHECIDO(A)"/>
    <x v="1"/>
    <x v="1"/>
    <s v="DENUNCIANTE NÃO SOUBE INFORMAR"/>
    <x v="0"/>
    <x v="0"/>
    <x v="1"/>
    <s v="NULL"/>
    <x v="2"/>
    <x v="1"/>
    <s v="NÃO"/>
    <s v="DENUNCIANTE NÃO SOUBE INFORMAR"/>
    <s v="AGNÓSTICO/ATEU/SEM RELIGIÃO"/>
    <x v="0"/>
    <s v="NULL"/>
    <x v="0"/>
    <x v="2"/>
  </r>
  <r>
    <s v="9719F7A4F26446E29192A17BC03D5C843741ED739C3237E12AF500108CAD0140"/>
    <x v="48"/>
    <s v="LOCAL DE TRABALHO DO AGRESSOR"/>
    <x v="17"/>
    <s v="NÃO SE APLICA"/>
    <s v="VIOLÊNCIA CONTRA CIDADÃO, FAMÍLIA OU COMUNIDADE"/>
    <s v="PROFESSOR(A)"/>
    <x v="0"/>
    <x v="5"/>
    <s v="PA"/>
    <x v="0"/>
    <x v="4"/>
    <x v="2"/>
    <s v="NULL"/>
    <x v="1"/>
    <x v="0"/>
    <s v="NÃO INFORMADO"/>
    <s v="PA"/>
    <s v="AGNÓSTICO/ATEU/SEM RELIGIÃO"/>
    <x v="1"/>
    <s v="MINISTÉRIO PÚBLICO - ESTADUAL"/>
    <x v="0"/>
    <x v="2"/>
  </r>
  <r>
    <s v="B71C9F96CB473A2F34E05DE0BAEED21DA57955DA142F7F4F24A5817FA8277092"/>
    <x v="48"/>
    <s v="CASA DO SUSPEITO"/>
    <x v="16"/>
    <s v="NÃO SE APLICA"/>
    <s v="VIOLÊNCIA CONTRA CIDADÃO, FAMÍLIA OU COMUNIDADE"/>
    <s v="EX-COMPANHEIRO(A)"/>
    <x v="0"/>
    <x v="3"/>
    <s v="RS"/>
    <x v="0"/>
    <x v="3"/>
    <x v="2"/>
    <s v="NULL"/>
    <x v="2"/>
    <x v="7"/>
    <s v="NÃO"/>
    <s v="RS"/>
    <s v="AGNÓSTICO/ATEU/SEM RELIGIÃO"/>
    <x v="0"/>
    <s v="NULL"/>
    <x v="1"/>
    <x v="2"/>
  </r>
  <r>
    <s v="B71C9F96CB473A2F34E05DE0BAEED21DA57955DA142F7F4F24A5817FA8277092"/>
    <x v="48"/>
    <s v="CASA DO SUSPEITO"/>
    <x v="16"/>
    <s v="NÃO SE APLICA"/>
    <s v="VIOLÊNCIA CONTRA CIDADÃO, FAMÍLIA OU COMUNIDADE"/>
    <s v="EX-COMPANHEIRO(A)"/>
    <x v="0"/>
    <x v="3"/>
    <s v="RS"/>
    <x v="0"/>
    <x v="3"/>
    <x v="2"/>
    <s v="NULL"/>
    <x v="2"/>
    <x v="7"/>
    <s v="NÃO"/>
    <s v="RS"/>
    <s v="AGNÓSTICO/ATEU/SEM RELIGIÃO"/>
    <x v="0"/>
    <s v="NULL"/>
    <x v="2"/>
    <x v="2"/>
  </r>
  <r>
    <s v="708F5F521E07F83F7FB57B18DADCE64395CB0DCA92F6C7155C574A2A7406D142"/>
    <x v="49"/>
    <s v="OUTROS ESTABELECIMENTOS"/>
    <x v="10"/>
    <s v="NÃO SE APLICA"/>
    <s v="VIOLÊNCIA CONTRA CIDADÃO, FAMÍLIA OU COMUNIDADE"/>
    <s v="OUTROS"/>
    <x v="1"/>
    <x v="7"/>
    <s v="CE"/>
    <x v="0"/>
    <x v="1"/>
    <x v="1"/>
    <s v="NULL"/>
    <x v="0"/>
    <x v="0"/>
    <s v="NÃO"/>
    <s v="CE"/>
    <s v="AGNÓSTICO/ATEU/SEM RELIGIÃO"/>
    <x v="0"/>
    <s v="NULL"/>
    <x v="0"/>
    <x v="2"/>
  </r>
  <r>
    <s v="708F5F521E07F83F7FB57B18DADCE64395CB0DCA92F6C7155C574A2A7406D142"/>
    <x v="49"/>
    <s v="OUTROS ESTABELECIMENTOS"/>
    <x v="10"/>
    <s v="NÃO SE APLICA"/>
    <s v="VIOLÊNCIA CONTRA CIDADÃO, FAMÍLIA OU COMUNIDADE"/>
    <s v="OUTROS"/>
    <x v="1"/>
    <x v="7"/>
    <s v="CE"/>
    <x v="0"/>
    <x v="1"/>
    <x v="1"/>
    <s v="NULL"/>
    <x v="0"/>
    <x v="0"/>
    <s v="NÃO"/>
    <s v="CE"/>
    <s v="AGNÓSTICO/ATEU/SEM RELIGIÃO"/>
    <x v="0"/>
    <s v="NULL"/>
    <x v="2"/>
    <x v="2"/>
  </r>
  <r>
    <s v="061FDFB2BFB4A52DDC90E0388F4E6022E42E880970B3F953A1C1556754840ED4"/>
    <x v="49"/>
    <s v="AMBIENTE VIRTUAL (NO ÂMBITO DA INTERNET)"/>
    <x v="3"/>
    <s v="HÁ MAIS DE UM ANO"/>
    <s v="VIOLÊNCIA CONTRA CIDADÃO, FAMÍLIA OU COMUNIDADE"/>
    <s v="DESCONHECIDO(A)"/>
    <x v="0"/>
    <x v="0"/>
    <s v="BA"/>
    <x v="2"/>
    <x v="0"/>
    <x v="0"/>
    <s v="NULL"/>
    <x v="1"/>
    <x v="0"/>
    <s v="NÃO INFORMADO"/>
    <s v="DENUNCIANTE NÃO SOUBE INFORMAR"/>
    <s v="AGNÓSTICO/ATEU/SEM RELIGIÃO"/>
    <x v="1"/>
    <s v="NULL"/>
    <x v="2"/>
    <x v="2"/>
  </r>
  <r>
    <s v="061FDFB2BFB4A52DDC90E0388F4E6022E42E880970B3F953A1C1556754840ED4"/>
    <x v="49"/>
    <s v="AMBIENTE VIRTUAL (NO ÂMBITO DA INTERNET)"/>
    <x v="3"/>
    <s v="HÁ MAIS DE UM ANO"/>
    <s v="VIOLÊNCIA CONTRA CIDADÃO, FAMÍLIA OU COMUNIDADE"/>
    <s v="DESCONHECIDO(A)"/>
    <x v="0"/>
    <x v="0"/>
    <s v="BA"/>
    <x v="2"/>
    <x v="0"/>
    <x v="0"/>
    <s v="NULL"/>
    <x v="1"/>
    <x v="0"/>
    <s v="NÃO INFORMADO"/>
    <s v="DENUNCIANTE NÃO SOUBE INFORMAR"/>
    <s v="AGNÓSTICO/ATEU/SEM RELIGIÃO"/>
    <x v="1"/>
    <s v="NULL"/>
    <x v="0"/>
    <x v="2"/>
  </r>
  <r>
    <s v="061FDFB2BFB4A52DDC90E0388F4E6022E42E880970B3F953A1C1556754840ED4"/>
    <x v="49"/>
    <s v="AMBIENTE VIRTUAL (NO ÂMBITO DA INTERNET)"/>
    <x v="3"/>
    <s v="HÁ MAIS DE UM ANO"/>
    <s v="VIOLÊNCIA CONTRA CIDADÃO, FAMÍLIA OU COMUNIDADE"/>
    <s v="DESCONHECIDO(A)"/>
    <x v="0"/>
    <x v="0"/>
    <s v="BA"/>
    <x v="2"/>
    <x v="0"/>
    <x v="0"/>
    <s v="NULL"/>
    <x v="1"/>
    <x v="0"/>
    <s v="NÃO INFORMADO"/>
    <s v="DENUNCIANTE NÃO SOUBE INFORMAR"/>
    <s v="AGNÓSTICO/ATEU/SEM RELIGIÃO"/>
    <x v="1"/>
    <s v="NULL"/>
    <x v="1"/>
    <x v="2"/>
  </r>
  <r>
    <s v="E5AD05FAB139B0261CBDAFAEB50F486CC4EBBCDE34ADFB6E60640C57CBB7D4E1"/>
    <x v="50"/>
    <s v="OUTROS ESTABELECIMENTOS"/>
    <x v="0"/>
    <s v="HÁ UM MÊS"/>
    <s v="VIOLÊNCIA CONTRA CIDADÃO, FAMÍLIA OU COMUNIDADE"/>
    <s v="OUTROS"/>
    <x v="0"/>
    <x v="7"/>
    <s v="DF"/>
    <x v="0"/>
    <x v="0"/>
    <x v="1"/>
    <s v="NULL"/>
    <x v="2"/>
    <x v="0"/>
    <s v="NÃO INFORMADO"/>
    <s v="DF"/>
    <s v="AGNÓSTICO/ATEU/SEM RELIGIÃO"/>
    <x v="1"/>
    <s v="NULL"/>
    <x v="0"/>
    <x v="2"/>
  </r>
  <r>
    <s v="325681F84C2418E05D8F3BFA09754BAA91287E02C3C8DCC45863C38DCC96F689"/>
    <x v="50"/>
    <s v="AMBIENTE VIRTUAL (NO ÂMBITO DA INTERNET)"/>
    <x v="2"/>
    <s v="HÁ UM MÊS"/>
    <s v="VIOLÊNCIA CONTRA CIDADÃO, FAMÍLIA OU COMUNIDADE"/>
    <s v="OUTROS"/>
    <x v="0"/>
    <x v="2"/>
    <s v="RJ"/>
    <x v="0"/>
    <x v="0"/>
    <x v="3"/>
    <s v="NULL"/>
    <x v="0"/>
    <x v="7"/>
    <s v="NÃO"/>
    <s v="RJ"/>
    <s v="AGNÓSTICO/ATEU/SEM RELIGIÃO"/>
    <x v="0"/>
    <s v="NULL"/>
    <x v="0"/>
    <x v="2"/>
  </r>
  <r>
    <s v="651ACF0ED0B848E59899CEB97F7726C87229108E38DF4D981ADE518618101C0F"/>
    <x v="51"/>
    <s v="AMBIENTE VIRTUAL (NO ÂMBITO DA INTERNET)"/>
    <x v="14"/>
    <s v="NÃO SABE INFORMAR"/>
    <s v="VIOLÊNCIA CONTRA CIDADÃO, FAMÍLIA OU COMUNIDADE"/>
    <s v="COLEGA DE TRABALHO (MESMO NÍVEL HIERÁRQUICO)"/>
    <x v="0"/>
    <x v="4"/>
    <s v="RN"/>
    <x v="0"/>
    <x v="3"/>
    <x v="3"/>
    <s v="NULL"/>
    <x v="0"/>
    <x v="9"/>
    <s v="NÃO"/>
    <s v="DENUNCIANTE NÃO SOUBE INFORMAR"/>
    <s v="EVANGÉLICA"/>
    <x v="0"/>
    <s v="NULL"/>
    <x v="0"/>
    <x v="2"/>
  </r>
  <r>
    <s v="220E00DDC68043D78B0748D4EAEC6CAE2724CD0DCC836E587138E7FEB546B2D0"/>
    <x v="52"/>
    <s v="CASA DO SUSPEITO"/>
    <x v="0"/>
    <s v="HÁ MAIS DE SEIS MESES"/>
    <s v="VIOLÊNCIA CONTRA CIDADÃO, FAMÍLIA OU COMUNIDADE"/>
    <s v="VIZINHO(A)"/>
    <x v="0"/>
    <x v="3"/>
    <s v="DF"/>
    <x v="0"/>
    <x v="0"/>
    <x v="0"/>
    <s v="NULL"/>
    <x v="0"/>
    <x v="3"/>
    <s v="NÃO"/>
    <s v="DF"/>
    <s v="AGNÓSTICO/ATEU/SEM RELIGIÃO"/>
    <x v="2"/>
    <s v="NULL"/>
    <x v="2"/>
    <x v="2"/>
  </r>
  <r>
    <s v="8975DE7EAAD7694A49B56CD6CCB319D1A3C552D735373A4BC5F1068977936E3B"/>
    <x v="53"/>
    <s v="CASA DA VÍTIMA"/>
    <x v="15"/>
    <s v="NÃO SABE INFORMAR"/>
    <s v="VIOLÊNCIA CONTRA CIDADÃO, FAMÍLIA OU COMUNIDADE"/>
    <s v="VIZINHO(A)"/>
    <x v="1"/>
    <x v="8"/>
    <s v="PR"/>
    <x v="0"/>
    <x v="0"/>
    <x v="1"/>
    <s v="NULL"/>
    <x v="0"/>
    <x v="7"/>
    <s v="NÃO"/>
    <s v="PR"/>
    <s v="AGNÓSTICO/ATEU/SEM RELIGIÃO"/>
    <x v="1"/>
    <s v="NULL"/>
    <x v="0"/>
    <x v="2"/>
  </r>
  <r>
    <s v="8975DE7EAAD7694A49B56CD6CCB319D1A3C552D735373A4BC5F1068977936E3B"/>
    <x v="53"/>
    <s v="CASA DA VÍTIMA"/>
    <x v="15"/>
    <s v="NÃO SABE INFORMAR"/>
    <s v="VIOLÊNCIA CONTRA CIDADÃO, FAMÍLIA OU COMUNIDADE"/>
    <s v="VIZINHO(A)"/>
    <x v="1"/>
    <x v="8"/>
    <s v="PR"/>
    <x v="0"/>
    <x v="0"/>
    <x v="1"/>
    <s v="NULL"/>
    <x v="0"/>
    <x v="7"/>
    <s v="NÃO"/>
    <s v="PR"/>
    <s v="AGNÓSTICO/ATEU/SEM RELIGIÃO"/>
    <x v="1"/>
    <s v="NULL"/>
    <x v="2"/>
    <x v="2"/>
  </r>
  <r>
    <s v="FEE6BD76A2A1AEED480ED3559445C7697D725BC405948C7F196551C79913B046"/>
    <x v="53"/>
    <s v="OUTROS ESTABELECIMENTOS"/>
    <x v="4"/>
    <s v="HÁ MAIS DE UM ANO"/>
    <s v="VIOLÊNCIA CONTRA CIDADÃO, FAMÍLIA OU COMUNIDADE"/>
    <s v="PRESTADOR(A) DE SERVIÇO"/>
    <x v="1"/>
    <x v="7"/>
    <s v="MG"/>
    <x v="0"/>
    <x v="0"/>
    <x v="1"/>
    <s v="NULL"/>
    <x v="1"/>
    <x v="0"/>
    <s v="NÃO INFORMADO"/>
    <s v="MG"/>
    <s v="AGNÓSTICO/ATEU/SEM RELIGIÃO"/>
    <x v="1"/>
    <s v="PODER EXECUTIVO EM GERAL - MUNICIPAL"/>
    <x v="0"/>
    <x v="2"/>
  </r>
  <r>
    <s v="FEE6BD76A2A1AEED480ED3559445C7697D725BC405948C7F196551C79913B046"/>
    <x v="53"/>
    <s v="OUTROS ESTABELECIMENTOS"/>
    <x v="4"/>
    <s v="HÁ MAIS DE UM ANO"/>
    <s v="VIOLÊNCIA CONTRA CIDADÃO, FAMÍLIA OU COMUNIDADE"/>
    <s v="PRESTADOR(A) DE SERVIÇO"/>
    <x v="1"/>
    <x v="7"/>
    <s v="MG"/>
    <x v="0"/>
    <x v="0"/>
    <x v="1"/>
    <s v="NULL"/>
    <x v="1"/>
    <x v="0"/>
    <s v="NÃO INFORMADO"/>
    <s v="MG"/>
    <s v="AGNÓSTICO/ATEU/SEM RELIGIÃO"/>
    <x v="1"/>
    <s v="PODER EXECUTIVO EM GERAL - MUNICIPAL"/>
    <x v="2"/>
    <x v="2"/>
  </r>
  <r>
    <s v="57C39C82736106B9EE8FA694C6ED78EA9D73E0B5BFEA61BBAC507495BE660A4F"/>
    <x v="53"/>
    <s v="OUTROS ESTABELECIMENTOS"/>
    <x v="4"/>
    <s v="HÁ MAIS DE UM ANO"/>
    <s v="VIOLÊNCIA CONTRA CIDADÃO, FAMÍLIA OU COMUNIDADE"/>
    <s v="NÃO SABE INFORMAR"/>
    <x v="0"/>
    <x v="5"/>
    <s v="MG"/>
    <x v="0"/>
    <x v="0"/>
    <x v="2"/>
    <s v="NULL"/>
    <x v="1"/>
    <x v="0"/>
    <s v="NÃO INFORMADO"/>
    <s v="DENUNCIANTE NÃO SOUBE INFORMAR"/>
    <s v="AGNÓSTICO/ATEU/SEM RELIGIÃO"/>
    <x v="1"/>
    <s v="NULL"/>
    <x v="0"/>
    <x v="2"/>
  </r>
  <r>
    <s v="51450B3D77ECEA65CD6E30E204BF3F1C30A08FD32E2A5ACB0584331865D01CD9"/>
    <x v="53"/>
    <s v="AMBIENTE VIRTUAL (NO ÂMBITO DA INTERNET)"/>
    <x v="4"/>
    <s v="NÃO SABE INFORMAR"/>
    <s v="VIOLÊNCIA CONTRA CIDADÃO, FAMÍLIA OU COMUNIDADE"/>
    <s v="EMPREGADO (HIERARQUICAMENTE INFERIOR)"/>
    <x v="0"/>
    <x v="0"/>
    <s v="MG"/>
    <x v="0"/>
    <x v="3"/>
    <x v="3"/>
    <s v="NULL"/>
    <x v="0"/>
    <x v="1"/>
    <s v="NÃO"/>
    <s v="MG"/>
    <s v="AGNÓSTICO/ATEU/SEM RELIGIÃO"/>
    <x v="0"/>
    <s v="NULL"/>
    <x v="2"/>
    <x v="2"/>
  </r>
  <r>
    <s v="43D258A91666D312CCD9C25621AE4BD0AE585579440DD0DFFDBEE698E9B7E35A"/>
    <x v="53"/>
    <s v="OUTROS ESTABELECIMENTOS"/>
    <x v="1"/>
    <s v="NÃO SE APLICA"/>
    <s v="VIOLÊNCIA CONTRA CIDADÃO, FAMÍLIA OU COMUNIDADE"/>
    <s v="PRESTADOR(A) DE SERVIÇO"/>
    <x v="0"/>
    <x v="0"/>
    <s v="SP"/>
    <x v="2"/>
    <x v="0"/>
    <x v="0"/>
    <s v="NULL"/>
    <x v="1"/>
    <x v="0"/>
    <s v="NÃO INFORMADO"/>
    <s v="SP"/>
    <s v="AGNÓSTICO/ATEU/SEM RELIGIÃO"/>
    <x v="1"/>
    <s v="AGÊNCIA REGULADORA ? FEDERAL"/>
    <x v="2"/>
    <x v="2"/>
  </r>
  <r>
    <s v="43D258A91666D312CCD9C25621AE4BD0AE585579440DD0DFFDBEE698E9B7E35A"/>
    <x v="53"/>
    <s v="OUTROS ESTABELECIMENTOS"/>
    <x v="1"/>
    <s v="NÃO SE APLICA"/>
    <s v="VIOLÊNCIA CONTRA CIDADÃO, FAMÍLIA OU COMUNIDADE"/>
    <s v="PRESTADOR(A) DE SERVIÇO"/>
    <x v="0"/>
    <x v="0"/>
    <s v="SP"/>
    <x v="2"/>
    <x v="0"/>
    <x v="0"/>
    <s v="NULL"/>
    <x v="1"/>
    <x v="0"/>
    <s v="NÃO INFORMADO"/>
    <s v="SP"/>
    <s v="AGNÓSTICO/ATEU/SEM RELIGIÃO"/>
    <x v="1"/>
    <s v="AGÊNCIA REGULADORA ? FEDERAL"/>
    <x v="0"/>
    <x v="2"/>
  </r>
  <r>
    <s v="29FBD9F592322D034E72945E3136B36D5DD2AF671EC707A53473A58279D2ED46"/>
    <x v="53"/>
    <s v="AMBIENTE VIRTUAL (NO ÂMBITO DA INTERNET)"/>
    <x v="12"/>
    <s v="HÁ UM MÊS"/>
    <s v="VIOLÊNCIA CONTRA CIDADÃO, FAMÍLIA OU COMUNIDADE"/>
    <s v="OUTROS"/>
    <x v="0"/>
    <x v="0"/>
    <s v="GO"/>
    <x v="0"/>
    <x v="0"/>
    <x v="3"/>
    <s v="NULL"/>
    <x v="0"/>
    <x v="0"/>
    <s v="NÃO INFORMADO"/>
    <s v="SC"/>
    <s v="AGNÓSTICO/ATEU/SEM RELIGIÃO"/>
    <x v="0"/>
    <s v="NULL"/>
    <x v="0"/>
    <x v="2"/>
  </r>
  <r>
    <s v="2AFDB43E09C54723CC3B67DA3FC6CFDC2A48B3A0AB91589F098B3D09274E1528"/>
    <x v="54"/>
    <s v="OUTROS ESTABELECIMENTOS"/>
    <x v="4"/>
    <s v="HÁ MAIS DE SEIS MESES"/>
    <s v="VIOLÊNCIA CONTRA CIDADÃO, FAMÍLIA OU COMUNIDADE"/>
    <s v="VIZINHO(A)"/>
    <x v="1"/>
    <x v="0"/>
    <s v="MG"/>
    <x v="0"/>
    <x v="3"/>
    <x v="1"/>
    <s v="COMUNIDADES DE TERREIROS E MATRIZ AFRICANA"/>
    <x v="0"/>
    <x v="0"/>
    <s v="NÃO"/>
    <s v="MG"/>
    <s v="AGNÓSTICO/ATEU/SEM RELIGIÃO"/>
    <x v="1"/>
    <s v="NULL"/>
    <x v="0"/>
    <x v="2"/>
  </r>
  <r>
    <s v="2AFDB43E09C54723CC3B67DA3FC6CFDC2A48B3A0AB91589F098B3D09274E1528"/>
    <x v="54"/>
    <s v="OUTROS ESTABELECIMENTOS"/>
    <x v="4"/>
    <s v="HÁ MAIS DE SEIS MESES"/>
    <s v="VIOLÊNCIA CONTRA CIDADÃO, FAMÍLIA OU COMUNIDADE"/>
    <s v="VIZINHO(A)"/>
    <x v="1"/>
    <x v="0"/>
    <s v="MG"/>
    <x v="0"/>
    <x v="3"/>
    <x v="1"/>
    <s v="COMUNIDADES DE TERREIROS E MATRIZ AFRICANA"/>
    <x v="0"/>
    <x v="0"/>
    <s v="NÃO"/>
    <s v="MG"/>
    <s v="AGNÓSTICO/ATEU/SEM RELIGIÃO"/>
    <x v="1"/>
    <s v="NULL"/>
    <x v="2"/>
    <x v="2"/>
  </r>
  <r>
    <s v="9AB084D08281B2274D5235789DC46F00FF1829F3E52B0C5AF7EE60556F8F83D6"/>
    <x v="54"/>
    <s v="OUTROS ESTABELECIMENTOS"/>
    <x v="4"/>
    <s v="NÃO SABE INFORMAR"/>
    <s v="VIOLÊNCIA CONTRA CIDADÃO, FAMÍLIA OU COMUNIDADE"/>
    <s v="VIZINHO(A)"/>
    <x v="0"/>
    <x v="7"/>
    <s v="MG"/>
    <x v="0"/>
    <x v="0"/>
    <x v="3"/>
    <s v="NULL"/>
    <x v="0"/>
    <x v="0"/>
    <s v="NÃO"/>
    <s v="MG"/>
    <s v="AGNÓSTICO/ATEU/SEM RELIGIÃO"/>
    <x v="0"/>
    <s v="NULL"/>
    <x v="0"/>
    <x v="2"/>
  </r>
  <r>
    <s v="513583B124CCC37BC64A6E9944FD88A98EFB61C4AEF83D6B7280E5D44F0EDE20"/>
    <x v="54"/>
    <s v="CASA DA VÍTIMA"/>
    <x v="4"/>
    <s v="NÃO SABE INFORMAR"/>
    <s v="VIOLÊNCIA CONTRA CIDADÃO, FAMÍLIA OU COMUNIDADE"/>
    <s v="VIZINHO(A)"/>
    <x v="0"/>
    <x v="7"/>
    <s v="MG"/>
    <x v="7"/>
    <x v="0"/>
    <x v="3"/>
    <s v="NULL"/>
    <x v="0"/>
    <x v="7"/>
    <s v="NÃO"/>
    <s v="MG"/>
    <s v="AGNÓSTICO/ATEU/SEM RELIGIÃO"/>
    <x v="2"/>
    <s v="NULL"/>
    <x v="0"/>
    <x v="2"/>
  </r>
  <r>
    <s v="513583B124CCC37BC64A6E9944FD88A98EFB61C4AEF83D6B7280E5D44F0EDE20"/>
    <x v="54"/>
    <s v="CASA DA VÍTIMA"/>
    <x v="4"/>
    <s v="NÃO SABE INFORMAR"/>
    <s v="VIOLÊNCIA CONTRA CIDADÃO, FAMÍLIA OU COMUNIDADE"/>
    <s v="VIZINHO(A)"/>
    <x v="0"/>
    <x v="7"/>
    <s v="MG"/>
    <x v="7"/>
    <x v="0"/>
    <x v="3"/>
    <s v="NULL"/>
    <x v="0"/>
    <x v="7"/>
    <s v="NÃO"/>
    <s v="MG"/>
    <s v="AGNÓSTICO/ATEU/SEM RELIGIÃO"/>
    <x v="2"/>
    <s v="NULL"/>
    <x v="2"/>
    <x v="2"/>
  </r>
  <r>
    <s v="5FF8D33C6D8EA9FA64C3D1DA956510E3351B27D84838AFFD3AD2B48203BAC62D"/>
    <x v="54"/>
    <s v="CASA DA VÍTIMA"/>
    <x v="4"/>
    <s v="HÁ MAIS DE UM ANO"/>
    <s v="VIOLÊNCIA CONTRA CIDADÃO, FAMÍLIA OU COMUNIDADE"/>
    <s v="VIZINHO(A)"/>
    <x v="1"/>
    <x v="3"/>
    <s v="MG"/>
    <x v="0"/>
    <x v="3"/>
    <x v="1"/>
    <s v="NULL"/>
    <x v="1"/>
    <x v="0"/>
    <s v="NÃO INFORMADO"/>
    <s v="MG"/>
    <s v="AGNÓSTICO/ATEU/SEM RELIGIÃO"/>
    <x v="1"/>
    <s v="SEGURANÇA PÚBLICA, FORÇAS ARMADAS, DEFESA CIVIL, BOMBEIROS E ASSEMELHADOS ? MUNICIPAL"/>
    <x v="0"/>
    <x v="2"/>
  </r>
  <r>
    <s v="86835A21D538E7D5BC330222D10E485D52622ECEBB76F32E3D785ED13C1D19C4"/>
    <x v="54"/>
    <s v="CASA DA VÍTIMA"/>
    <x v="4"/>
    <s v="HÁ MAIS DE UM ANO"/>
    <s v="VIOLÊNCIA CONTRA CIDADÃO, FAMÍLIA OU COMUNIDADE"/>
    <s v="VIZINHO(A)"/>
    <x v="1"/>
    <x v="3"/>
    <s v="MG"/>
    <x v="0"/>
    <x v="3"/>
    <x v="1"/>
    <s v="NULL"/>
    <x v="0"/>
    <x v="0"/>
    <s v="NÃO"/>
    <s v="MG"/>
    <s v="AGNÓSTICO/ATEU/SEM RELIGIÃO"/>
    <x v="1"/>
    <s v="NULL"/>
    <x v="0"/>
    <x v="2"/>
  </r>
  <r>
    <s v="A1692C48F368527A9F9389C3AA723992935937B0FFDADFC1B72D4AEC640435A4"/>
    <x v="54"/>
    <s v="OUTROS ESTABELECIMENTOS"/>
    <x v="3"/>
    <s v="NÃO SABE INFORMAR"/>
    <s v="VIOLÊNCIA CONTRA CIDADÃO, FAMÍLIA OU COMUNIDADE"/>
    <s v="LÍDER RELIGIOSO(A)"/>
    <x v="0"/>
    <x v="7"/>
    <s v="BA"/>
    <x v="0"/>
    <x v="0"/>
    <x v="2"/>
    <s v="NULL"/>
    <x v="2"/>
    <x v="0"/>
    <s v="NÃO"/>
    <s v="BA"/>
    <s v="AGNÓSTICO/ATEU/SEM RELIGIÃO"/>
    <x v="0"/>
    <s v="NULL"/>
    <x v="0"/>
    <x v="2"/>
  </r>
  <r>
    <s v="1E00388F868E520B4F0D30448353EF881291B37B6F852BE7F360604373C75545"/>
    <x v="54"/>
    <s v="OUTROS ESTABELECIMENTOS"/>
    <x v="4"/>
    <s v="HÁ MAIS DE SEIS MESES"/>
    <s v="VIOLÊNCIA CONTRA CIDADÃO, FAMÍLIA OU COMUNIDADE"/>
    <s v="VIZINHO(A)"/>
    <x v="1"/>
    <x v="7"/>
    <s v="MG"/>
    <x v="0"/>
    <x v="0"/>
    <x v="1"/>
    <s v="NULL"/>
    <x v="2"/>
    <x v="0"/>
    <s v="NÃO INFORMADO"/>
    <s v="MG"/>
    <s v="AGNÓSTICO/ATEU/SEM RELIGIÃO"/>
    <x v="1"/>
    <s v="NULL"/>
    <x v="2"/>
    <x v="2"/>
  </r>
  <r>
    <s v="1E00388F868E520B4F0D30448353EF881291B37B6F852BE7F360604373C75545"/>
    <x v="54"/>
    <s v="OUTROS ESTABELECIMENTOS"/>
    <x v="4"/>
    <s v="HÁ MAIS DE SEIS MESES"/>
    <s v="VIOLÊNCIA CONTRA CIDADÃO, FAMÍLIA OU COMUNIDADE"/>
    <s v="VIZINHO(A)"/>
    <x v="1"/>
    <x v="7"/>
    <s v="MG"/>
    <x v="0"/>
    <x v="0"/>
    <x v="1"/>
    <s v="NULL"/>
    <x v="2"/>
    <x v="0"/>
    <s v="NÃO INFORMADO"/>
    <s v="MG"/>
    <s v="AGNÓSTICO/ATEU/SEM RELIGIÃO"/>
    <x v="1"/>
    <s v="NULL"/>
    <x v="0"/>
    <x v="2"/>
  </r>
  <r>
    <s v="41E91CB93A2CCB6F1172D15C2BBAE6F1148A6AD46C9BE35B767BD65347C53E47"/>
    <x v="54"/>
    <s v="OUTROS ESTABELECIMENTOS"/>
    <x v="4"/>
    <s v="NÃO SABE INFORMAR"/>
    <s v="VIOLÊNCIA CONTRA CIDADÃO, FAMÍLIA OU COMUNIDADE"/>
    <s v="VIZINHO(A)"/>
    <x v="0"/>
    <x v="3"/>
    <s v="MG"/>
    <x v="0"/>
    <x v="3"/>
    <x v="3"/>
    <s v="NULL"/>
    <x v="0"/>
    <x v="0"/>
    <s v="NÃO INFORMADO"/>
    <s v="MG"/>
    <s v="AGNÓSTICO/ATEU/SEM RELIGIÃO"/>
    <x v="1"/>
    <s v="NULL"/>
    <x v="0"/>
    <x v="2"/>
  </r>
  <r>
    <s v="41E91CB93A2CCB6F1172D15C2BBAE6F1148A6AD46C9BE35B767BD65347C53E47"/>
    <x v="54"/>
    <s v="OUTROS ESTABELECIMENTOS"/>
    <x v="4"/>
    <s v="NÃO SABE INFORMAR"/>
    <s v="VIOLÊNCIA CONTRA CIDADÃO, FAMÍLIA OU COMUNIDADE"/>
    <s v="VIZINHO(A)"/>
    <x v="0"/>
    <x v="3"/>
    <s v="MG"/>
    <x v="0"/>
    <x v="3"/>
    <x v="3"/>
    <s v="NULL"/>
    <x v="0"/>
    <x v="0"/>
    <s v="NÃO INFORMADO"/>
    <s v="MG"/>
    <s v="AGNÓSTICO/ATEU/SEM RELIGIÃO"/>
    <x v="1"/>
    <s v="NULL"/>
    <x v="2"/>
    <x v="2"/>
  </r>
  <r>
    <s v="B1F1878705C3B43A2E9C2F9D7049B22F3903E3EEFEE8F7E7E5D27D8EBEB3C3EF"/>
    <x v="54"/>
    <s v="LOCAL DE TRABALHO DA VÍTIMA"/>
    <x v="4"/>
    <s v="HÁ UMA SEMANA"/>
    <s v="VIOLÊNCIA CONTRA CIDADÃO, FAMÍLIA OU COMUNIDADE"/>
    <s v="OUTROS"/>
    <x v="0"/>
    <x v="7"/>
    <s v="MG"/>
    <x v="9"/>
    <x v="0"/>
    <x v="0"/>
    <s v="NULL"/>
    <x v="0"/>
    <x v="2"/>
    <s v="NÃO INFORMADO"/>
    <s v="MG"/>
    <s v="AGNÓSTICO/ATEU/SEM RELIGIÃO"/>
    <x v="0"/>
    <s v="NULL"/>
    <x v="1"/>
    <x v="2"/>
  </r>
  <r>
    <s v="B1F1878705C3B43A2E9C2F9D7049B22F3903E3EEFEE8F7E7E5D27D8EBEB3C3EF"/>
    <x v="54"/>
    <s v="LOCAL DE TRABALHO DA VÍTIMA"/>
    <x v="4"/>
    <s v="HÁ UMA SEMANA"/>
    <s v="VIOLÊNCIA CONTRA CIDADÃO, FAMÍLIA OU COMUNIDADE"/>
    <s v="OUTROS"/>
    <x v="0"/>
    <x v="7"/>
    <s v="MG"/>
    <x v="9"/>
    <x v="0"/>
    <x v="0"/>
    <s v="NULL"/>
    <x v="0"/>
    <x v="2"/>
    <s v="NÃO INFORMADO"/>
    <s v="MG"/>
    <s v="AGNÓSTICO/ATEU/SEM RELIGIÃO"/>
    <x v="0"/>
    <s v="NULL"/>
    <x v="0"/>
    <x v="2"/>
  </r>
  <r>
    <s v="2450483B62EE2DF9AE146F1CDAFE2DC04C0996B93A5BD2C16A767922AA0AA3D0"/>
    <x v="55"/>
    <s v="OUTROS ESTABELECIMENTOS"/>
    <x v="13"/>
    <s v="NÃO SABE INFORMAR"/>
    <s v="VIOLÊNCIA CONTRA CIDADÃO, FAMÍLIA OU COMUNIDADE"/>
    <s v="LÍDER RELIGIOSO(A)"/>
    <x v="1"/>
    <x v="4"/>
    <s v="PE"/>
    <x v="0"/>
    <x v="0"/>
    <x v="1"/>
    <s v="NULL"/>
    <x v="0"/>
    <x v="0"/>
    <s v="NÃO INFORMADO"/>
    <s v="PE"/>
    <s v="AGNÓSTICO/ATEU/SEM RELIGIÃO"/>
    <x v="1"/>
    <s v="NULL"/>
    <x v="0"/>
    <x v="2"/>
  </r>
  <r>
    <s v="637841B2DB98BDB4EBAC65643487D77A4A16467EE9B297A067EEE57B3F55DD83"/>
    <x v="55"/>
    <s v="OUTROS ESTABELECIMENTOS"/>
    <x v="13"/>
    <s v="NÃO SABE INFORMAR"/>
    <s v="VIOLÊNCIA CONTRA CIDADÃO, FAMÍLIA OU COMUNIDADE"/>
    <s v="LÍDER RELIGIOSO(A)"/>
    <x v="1"/>
    <x v="4"/>
    <s v="PE"/>
    <x v="0"/>
    <x v="0"/>
    <x v="1"/>
    <s v="NULL"/>
    <x v="0"/>
    <x v="0"/>
    <s v="NÃO INFORMADO"/>
    <s v="PE"/>
    <s v="AGNÓSTICO/ATEU/SEM RELIGIÃO"/>
    <x v="1"/>
    <s v="NULL"/>
    <x v="2"/>
    <x v="2"/>
  </r>
  <r>
    <s v="8C665B62FE1BAAB26805538BA0DED32AE3B9F40097BFFF22F22BBA4F23019809"/>
    <x v="55"/>
    <s v="OUTROS ESTABELECIMENTOS"/>
    <x v="13"/>
    <s v="NÃO SABE INFORMAR"/>
    <s v="VIOLÊNCIA CONTRA CIDADÃO, FAMÍLIA OU COMUNIDADE"/>
    <s v="LÍDER RELIGIOSO(A)"/>
    <x v="1"/>
    <x v="4"/>
    <s v="PE"/>
    <x v="0"/>
    <x v="0"/>
    <x v="1"/>
    <s v="NULL"/>
    <x v="0"/>
    <x v="0"/>
    <s v="NÃO INFORMADO"/>
    <s v="PE"/>
    <s v="AGNÓSTICO/ATEU/SEM RELIGIÃO"/>
    <x v="1"/>
    <s v="NULL"/>
    <x v="1"/>
    <x v="2"/>
  </r>
  <r>
    <s v="637841B2DB98BDB4EBAC65643487D77A4A16467EE9B297A067EEE57B3F55DD83"/>
    <x v="55"/>
    <s v="OUTROS ESTABELECIMENTOS"/>
    <x v="13"/>
    <s v="NÃO SABE INFORMAR"/>
    <s v="VIOLÊNCIA CONTRA CIDADÃO, FAMÍLIA OU COMUNIDADE"/>
    <s v="LÍDER RELIGIOSO(A)"/>
    <x v="1"/>
    <x v="4"/>
    <s v="PE"/>
    <x v="0"/>
    <x v="0"/>
    <x v="1"/>
    <s v="NULL"/>
    <x v="0"/>
    <x v="0"/>
    <s v="NÃO INFORMADO"/>
    <s v="PE"/>
    <s v="AGNÓSTICO/ATEU/SEM RELIGIÃO"/>
    <x v="1"/>
    <s v="NULL"/>
    <x v="1"/>
    <x v="2"/>
  </r>
  <r>
    <s v="2450483B62EE2DF9AE146F1CDAFE2DC04C0996B93A5BD2C16A767922AA0AA3D0"/>
    <x v="55"/>
    <s v="OUTROS ESTABELECIMENTOS"/>
    <x v="13"/>
    <s v="NÃO SABE INFORMAR"/>
    <s v="VIOLÊNCIA CONTRA CIDADÃO, FAMÍLIA OU COMUNIDADE"/>
    <s v="LÍDER RELIGIOSO(A)"/>
    <x v="1"/>
    <x v="4"/>
    <s v="PE"/>
    <x v="0"/>
    <x v="0"/>
    <x v="1"/>
    <s v="NULL"/>
    <x v="0"/>
    <x v="0"/>
    <s v="NÃO INFORMADO"/>
    <s v="PE"/>
    <s v="AGNÓSTICO/ATEU/SEM RELIGIÃO"/>
    <x v="1"/>
    <s v="NULL"/>
    <x v="1"/>
    <x v="2"/>
  </r>
  <r>
    <s v="2450483B62EE2DF9AE146F1CDAFE2DC04C0996B93A5BD2C16A767922AA0AA3D0"/>
    <x v="55"/>
    <s v="OUTROS ESTABELECIMENTOS"/>
    <x v="13"/>
    <s v="NÃO SABE INFORMAR"/>
    <s v="VIOLÊNCIA CONTRA CIDADÃO, FAMÍLIA OU COMUNIDADE"/>
    <s v="LÍDER RELIGIOSO(A)"/>
    <x v="1"/>
    <x v="4"/>
    <s v="PE"/>
    <x v="0"/>
    <x v="0"/>
    <x v="1"/>
    <s v="NULL"/>
    <x v="0"/>
    <x v="0"/>
    <s v="NÃO INFORMADO"/>
    <s v="PE"/>
    <s v="AGNÓSTICO/ATEU/SEM RELIGIÃO"/>
    <x v="1"/>
    <s v="NULL"/>
    <x v="2"/>
    <x v="2"/>
  </r>
  <r>
    <s v="FC3A7062F141C504777FC922289EB2C233702B4503FA34F32D76B22177409D6D"/>
    <x v="55"/>
    <s v="OUTROS ESTABELECIMENTOS"/>
    <x v="13"/>
    <s v="NÃO SABE INFORMAR"/>
    <s v="VIOLÊNCIA CONTRA CIDADÃO, FAMÍLIA OU COMUNIDADE"/>
    <s v="LÍDER RELIGIOSO(A)"/>
    <x v="1"/>
    <x v="4"/>
    <s v="PE"/>
    <x v="0"/>
    <x v="0"/>
    <x v="1"/>
    <s v="NULL"/>
    <x v="0"/>
    <x v="0"/>
    <s v="NÃO INFORMADO"/>
    <s v="PE"/>
    <s v="AGNÓSTICO/ATEU/SEM RELIGIÃO"/>
    <x v="1"/>
    <s v="NULL"/>
    <x v="2"/>
    <x v="2"/>
  </r>
  <r>
    <s v="FC3A7062F141C504777FC922289EB2C233702B4503FA34F32D76B22177409D6D"/>
    <x v="55"/>
    <s v="OUTROS ESTABELECIMENTOS"/>
    <x v="13"/>
    <s v="NÃO SABE INFORMAR"/>
    <s v="VIOLÊNCIA CONTRA CIDADÃO, FAMÍLIA OU COMUNIDADE"/>
    <s v="LÍDER RELIGIOSO(A)"/>
    <x v="1"/>
    <x v="4"/>
    <s v="PE"/>
    <x v="0"/>
    <x v="0"/>
    <x v="1"/>
    <s v="NULL"/>
    <x v="0"/>
    <x v="0"/>
    <s v="NÃO INFORMADO"/>
    <s v="PE"/>
    <s v="AGNÓSTICO/ATEU/SEM RELIGIÃO"/>
    <x v="1"/>
    <s v="NULL"/>
    <x v="0"/>
    <x v="2"/>
  </r>
  <r>
    <s v="FC3A7062F141C504777FC922289EB2C233702B4503FA34F32D76B22177409D6D"/>
    <x v="55"/>
    <s v="OUTROS ESTABELECIMENTOS"/>
    <x v="13"/>
    <s v="NÃO SABE INFORMAR"/>
    <s v="VIOLÊNCIA CONTRA CIDADÃO, FAMÍLIA OU COMUNIDADE"/>
    <s v="LÍDER RELIGIOSO(A)"/>
    <x v="1"/>
    <x v="4"/>
    <s v="PE"/>
    <x v="0"/>
    <x v="0"/>
    <x v="1"/>
    <s v="NULL"/>
    <x v="0"/>
    <x v="0"/>
    <s v="NÃO INFORMADO"/>
    <s v="PE"/>
    <s v="AGNÓSTICO/ATEU/SEM RELIGIÃO"/>
    <x v="1"/>
    <s v="NULL"/>
    <x v="1"/>
    <x v="2"/>
  </r>
  <r>
    <s v="637841B2DB98BDB4EBAC65643487D77A4A16467EE9B297A067EEE57B3F55DD83"/>
    <x v="55"/>
    <s v="OUTROS ESTABELECIMENTOS"/>
    <x v="13"/>
    <s v="NÃO SABE INFORMAR"/>
    <s v="VIOLÊNCIA CONTRA CIDADÃO, FAMÍLIA OU COMUNIDADE"/>
    <s v="LÍDER RELIGIOSO(A)"/>
    <x v="1"/>
    <x v="4"/>
    <s v="PE"/>
    <x v="0"/>
    <x v="0"/>
    <x v="1"/>
    <s v="NULL"/>
    <x v="0"/>
    <x v="0"/>
    <s v="NÃO INFORMADO"/>
    <s v="PE"/>
    <s v="AGNÓSTICO/ATEU/SEM RELIGIÃO"/>
    <x v="1"/>
    <s v="NULL"/>
    <x v="0"/>
    <x v="2"/>
  </r>
  <r>
    <s v="8C665B62FE1BAAB26805538BA0DED32AE3B9F40097BFFF22F22BBA4F23019809"/>
    <x v="55"/>
    <s v="OUTROS ESTABELECIMENTOS"/>
    <x v="13"/>
    <s v="NÃO SABE INFORMAR"/>
    <s v="VIOLÊNCIA CONTRA CIDADÃO, FAMÍLIA OU COMUNIDADE"/>
    <s v="LÍDER RELIGIOSO(A)"/>
    <x v="1"/>
    <x v="4"/>
    <s v="PE"/>
    <x v="0"/>
    <x v="0"/>
    <x v="1"/>
    <s v="NULL"/>
    <x v="0"/>
    <x v="0"/>
    <s v="NÃO INFORMADO"/>
    <s v="PE"/>
    <s v="AGNÓSTICO/ATEU/SEM RELIGIÃO"/>
    <x v="1"/>
    <s v="NULL"/>
    <x v="2"/>
    <x v="2"/>
  </r>
  <r>
    <s v="8C665B62FE1BAAB26805538BA0DED32AE3B9F40097BFFF22F22BBA4F23019809"/>
    <x v="55"/>
    <s v="OUTROS ESTABELECIMENTOS"/>
    <x v="13"/>
    <s v="NÃO SABE INFORMAR"/>
    <s v="VIOLÊNCIA CONTRA CIDADÃO, FAMÍLIA OU COMUNIDADE"/>
    <s v="LÍDER RELIGIOSO(A)"/>
    <x v="1"/>
    <x v="4"/>
    <s v="PE"/>
    <x v="0"/>
    <x v="0"/>
    <x v="1"/>
    <s v="NULL"/>
    <x v="0"/>
    <x v="0"/>
    <s v="NÃO INFORMADO"/>
    <s v="PE"/>
    <s v="AGNÓSTICO/ATEU/SEM RELIGIÃO"/>
    <x v="1"/>
    <s v="NULL"/>
    <x v="0"/>
    <x v="2"/>
  </r>
  <r>
    <s v="5EE28C33D3AACA9E799CAF1B88F0ECE849C30818E12DE5C212991CBE3B16CE0A"/>
    <x v="56"/>
    <s v="CASA DA VÍTIMA"/>
    <x v="6"/>
    <s v="HÁ MAIS DE DEZ ANOS"/>
    <s v="VIOLÊNCIA CONTRA CIDADÃO, FAMÍLIA OU COMUNIDADE"/>
    <s v="EMPREGADOR/PATRÃO (HIERARQUICAMENTE SUPERIOR)"/>
    <x v="0"/>
    <x v="5"/>
    <s v="GO"/>
    <x v="6"/>
    <x v="0"/>
    <x v="0"/>
    <s v="NULL"/>
    <x v="1"/>
    <x v="0"/>
    <s v="NÃO INFORMADO"/>
    <s v="GO"/>
    <s v="AGNÓSTICO/ATEU/SEM RELIGIÃO"/>
    <x v="1"/>
    <s v="SEGURANÇA PÚBLICA, FORÇAS ARMADAS, DEFESA CIVIL, BOMBEIROS E ASSEMELHADOS ? MUNICIPAL"/>
    <x v="1"/>
    <x v="2"/>
  </r>
  <r>
    <s v="DC4A8D90D04193B0CDAD326EC7008F400A36CCC7777C8D83B8D7E4224E767D20"/>
    <x v="56"/>
    <s v="CASA DA VÍTIMA"/>
    <x v="6"/>
    <s v="HÁ MAIS DE DEZ ANOS"/>
    <s v="VIOLÊNCIA CONTRA CIDADÃO, FAMÍLIA OU COMUNIDADE"/>
    <s v="EMPREGADOR/PATRÃO (HIERARQUICAMENTE SUPERIOR)"/>
    <x v="0"/>
    <x v="5"/>
    <s v="GO"/>
    <x v="6"/>
    <x v="0"/>
    <x v="0"/>
    <s v="NULL"/>
    <x v="1"/>
    <x v="0"/>
    <s v="NÃO INFORMADO"/>
    <s v="GO"/>
    <s v="AGNÓSTICO/ATEU/SEM RELIGIÃO"/>
    <x v="1"/>
    <s v="SEGURANÇA PÚBLICA, FORÇAS ARMADAS, DEFESA CIVIL, BOMBEIROS E ASSEMELHADOS ? MUNICIPAL"/>
    <x v="1"/>
    <x v="2"/>
  </r>
  <r>
    <s v="E37C251A8CFEB6CC0529A043D1E4C9B77768EC2160DC81F6BFB80BBBB27B6680"/>
    <x v="56"/>
    <s v="OUTROS ESTABELECIMENTOS"/>
    <x v="2"/>
    <s v="HÁ UM MÊS"/>
    <s v="VIOLÊNCIA CONTRA CIDADÃO, FAMÍLIA OU COMUNIDADE"/>
    <s v="DESCONHECIDO(A)"/>
    <x v="0"/>
    <x v="9"/>
    <s v="RJ"/>
    <x v="0"/>
    <x v="0"/>
    <x v="0"/>
    <s v="NULL"/>
    <x v="2"/>
    <x v="3"/>
    <s v="NÃO"/>
    <s v="RJ"/>
    <s v="AGNÓSTICO/ATEU/SEM RELIGIÃO"/>
    <x v="3"/>
    <s v="NULL"/>
    <x v="2"/>
    <x v="2"/>
  </r>
  <r>
    <s v="A1BE1FF82C5FD7A374D7C02BEDB43051BF96BF4A8FCBFD11EC15941B1C3D2734"/>
    <x v="57"/>
    <s v="OUTROS ESTABELECIMENTOS"/>
    <x v="1"/>
    <s v="NÃO SE APLICA"/>
    <s v="VIOLÊNCIA CONTRA CIDADÃO, FAMÍLIA OU COMUNIDADE"/>
    <s v="VIZINHO(A)"/>
    <x v="1"/>
    <x v="3"/>
    <s v="DENUNCIANTE NÃO SOUBE INFORMAR"/>
    <x v="0"/>
    <x v="0"/>
    <x v="1"/>
    <s v="NULL"/>
    <x v="2"/>
    <x v="6"/>
    <s v="NÃO"/>
    <s v="SP"/>
    <s v="AGNÓSTICO/ATEU/SEM RELIGIÃO"/>
    <x v="0"/>
    <s v="NULL"/>
    <x v="2"/>
    <x v="2"/>
  </r>
  <r>
    <s v="A1BE1FF82C5FD7A374D7C02BEDB43051BF96BF4A8FCBFD11EC15941B1C3D2734"/>
    <x v="57"/>
    <s v="OUTROS ESTABELECIMENTOS"/>
    <x v="1"/>
    <s v="NÃO SE APLICA"/>
    <s v="VIOLÊNCIA CONTRA CIDADÃO, FAMÍLIA OU COMUNIDADE"/>
    <s v="VIZINHO(A)"/>
    <x v="1"/>
    <x v="3"/>
    <s v="DENUNCIANTE NÃO SOUBE INFORMAR"/>
    <x v="0"/>
    <x v="0"/>
    <x v="1"/>
    <s v="NULL"/>
    <x v="2"/>
    <x v="6"/>
    <s v="NÃO"/>
    <s v="SP"/>
    <s v="AGNÓSTICO/ATEU/SEM RELIGIÃO"/>
    <x v="0"/>
    <s v="NULL"/>
    <x v="0"/>
    <x v="2"/>
  </r>
  <r>
    <s v="088E1F8239713038A0C811AE437AA4E410A125DAED006C141DC954CEC9B8DFC9"/>
    <x v="58"/>
    <s v="CASA DA VÍTIMA"/>
    <x v="15"/>
    <s v="HÁ UM MÊS"/>
    <s v="VIOLÊNCIA CONTRA CIDADÃO, FAMÍLIA OU COMUNIDADE"/>
    <s v="OUTROS"/>
    <x v="0"/>
    <x v="2"/>
    <s v="PR"/>
    <x v="3"/>
    <x v="3"/>
    <x v="2"/>
    <s v="NULL"/>
    <x v="2"/>
    <x v="2"/>
    <s v="NÃO"/>
    <s v="PR"/>
    <s v="AGNÓSTICO/ATEU/SEM RELIGIÃO"/>
    <x v="0"/>
    <s v="NULL"/>
    <x v="2"/>
    <x v="2"/>
  </r>
  <r>
    <s v="0E806A0DDEA8632E7C3220936296E5769847107E99A05637C7931E595068B7E1"/>
    <x v="58"/>
    <s v="CASA DO SUSPEITO"/>
    <x v="2"/>
    <s v="HÁ MAIS DE UM ANO"/>
    <s v="VIOLÊNCIA CONTRA CIDADÃO, FAMÍLIA OU COMUNIDADE"/>
    <s v="OUTROS"/>
    <x v="0"/>
    <x v="9"/>
    <s v="RJ"/>
    <x v="0"/>
    <x v="3"/>
    <x v="0"/>
    <s v="NULL"/>
    <x v="2"/>
    <x v="2"/>
    <s v="NÃO"/>
    <s v="RJ"/>
    <s v="AGNÓSTICO/ATEU/SEM RELIGIÃO"/>
    <x v="3"/>
    <s v="NULL"/>
    <x v="0"/>
    <x v="2"/>
  </r>
  <r>
    <s v="FEA1E8FB6446380E1E5991D4AC891AC55D131777F11D3D8ACC001A330BC48BC5"/>
    <x v="58"/>
    <s v="CASA ONDE RESIDE A VÍTIMA E O SUSPEITO"/>
    <x v="3"/>
    <s v="HÁ MAIS DE UM ANO"/>
    <s v="VIOLÊNCIA CONTRA CIDADÃO, FAMÍLIA OU COMUNIDADE"/>
    <s v="OUTROS"/>
    <x v="1"/>
    <x v="7"/>
    <s v="BA"/>
    <x v="0"/>
    <x v="0"/>
    <x v="1"/>
    <s v="NULL"/>
    <x v="1"/>
    <x v="0"/>
    <s v="NÃO INFORMADO"/>
    <s v="BA"/>
    <s v="AGNÓSTICO/ATEU/SEM RELIGIÃO"/>
    <x v="1"/>
    <s v="PODER LEGISLATIVO ? MUNICIPAL"/>
    <x v="0"/>
    <x v="2"/>
  </r>
  <r>
    <s v="C5A9261573E4DFDCEC668B08368A9CAC00065832777684E2DB4F339977E1DE43"/>
    <x v="58"/>
    <s v="AMBIENTE VIRTUAL (NO ÂMBITO DA INTERNET)"/>
    <x v="2"/>
    <s v="HÁ UM MÊS"/>
    <s v="VIOLÊNCIA CONTRA CIDADÃO, FAMÍLIA OU COMUNIDADE"/>
    <s v="OUTROS"/>
    <x v="0"/>
    <x v="3"/>
    <s v="RJ"/>
    <x v="0"/>
    <x v="0"/>
    <x v="1"/>
    <s v="NULL"/>
    <x v="2"/>
    <x v="0"/>
    <s v="NÃO INFORMADO"/>
    <s v="RJ"/>
    <s v="AGNÓSTICO/ATEU/SEM RELIGIÃO"/>
    <x v="1"/>
    <s v="NULL"/>
    <x v="0"/>
    <x v="2"/>
  </r>
  <r>
    <s v="C5A9261573E4DFDCEC668B08368A9CAC00065832777684E2DB4F339977E1DE43"/>
    <x v="58"/>
    <s v="AMBIENTE VIRTUAL (NO ÂMBITO DA INTERNET)"/>
    <x v="2"/>
    <s v="HÁ UM MÊS"/>
    <s v="VIOLÊNCIA CONTRA CIDADÃO, FAMÍLIA OU COMUNIDADE"/>
    <s v="OUTROS"/>
    <x v="0"/>
    <x v="3"/>
    <s v="RJ"/>
    <x v="0"/>
    <x v="0"/>
    <x v="1"/>
    <s v="NULL"/>
    <x v="2"/>
    <x v="0"/>
    <s v="NÃO INFORMADO"/>
    <s v="RJ"/>
    <s v="AGNÓSTICO/ATEU/SEM RELIGIÃO"/>
    <x v="1"/>
    <s v="NULL"/>
    <x v="2"/>
    <x v="2"/>
  </r>
  <r>
    <s v="C5A9261573E4DFDCEC668B08368A9CAC00065832777684E2DB4F339977E1DE43"/>
    <x v="58"/>
    <s v="AMBIENTE VIRTUAL (NO ÂMBITO DA INTERNET)"/>
    <x v="2"/>
    <s v="HÁ UM MÊS"/>
    <s v="VIOLÊNCIA CONTRA CIDADÃO, FAMÍLIA OU COMUNIDADE"/>
    <s v="OUTROS"/>
    <x v="0"/>
    <x v="3"/>
    <s v="RJ"/>
    <x v="0"/>
    <x v="0"/>
    <x v="1"/>
    <s v="NULL"/>
    <x v="2"/>
    <x v="0"/>
    <s v="NÃO INFORMADO"/>
    <s v="RJ"/>
    <s v="AGNÓSTICO/ATEU/SEM RELIGIÃO"/>
    <x v="1"/>
    <s v="NULL"/>
    <x v="1"/>
    <x v="2"/>
  </r>
  <r>
    <s v="6BED0DB0D78F5D4803D6D671B0C44F0DC0D3FBCDD58E48C4AE75132FAFEF7D04"/>
    <x v="58"/>
    <s v="OUTROS ESTABELECIMENTOS"/>
    <x v="1"/>
    <s v="NÃO SABE INFORMAR"/>
    <s v="VIOLÊNCIA CONTRA CIDADÃO, FAMÍLIA OU COMUNIDADE"/>
    <s v="OUTROS"/>
    <x v="0"/>
    <x v="5"/>
    <s v="SP"/>
    <x v="0"/>
    <x v="0"/>
    <x v="1"/>
    <s v="NULL"/>
    <x v="1"/>
    <x v="0"/>
    <s v="NÃO INFORMADO"/>
    <s v="SP"/>
    <s v="AGNÓSTICO/ATEU/SEM RELIGIÃO"/>
    <x v="1"/>
    <s v="PODER EXECUTIVO EM GERAL - MUNICIPAL"/>
    <x v="0"/>
    <x v="2"/>
  </r>
  <r>
    <s v="90E3099AA555691EE98FB92D82B06888AFDE49DA11FF51F0475C46B241576871"/>
    <x v="59"/>
    <s v="CASA ONDE RESIDE A VÍTIMA E O SUSPEITO"/>
    <x v="1"/>
    <s v="HÁ UM MÊS"/>
    <s v="VIOLÊNCIA CONTRA CIDADÃO, FAMÍLIA OU COMUNIDADE"/>
    <s v="TIO(A)"/>
    <x v="0"/>
    <x v="4"/>
    <s v="SP"/>
    <x v="0"/>
    <x v="0"/>
    <x v="0"/>
    <s v="NULL"/>
    <x v="0"/>
    <x v="6"/>
    <s v="NÃO"/>
    <s v="SP"/>
    <s v="AGNÓSTICO/ATEU/SEM RELIGIÃO"/>
    <x v="1"/>
    <s v="NULL"/>
    <x v="0"/>
    <x v="2"/>
  </r>
  <r>
    <s v="7D7444019D27B73F116FDA0136332B1FAF03D5380CDF4E7285DC48AE135EB0BF"/>
    <x v="59"/>
    <s v="CASA DA VÍTIMA"/>
    <x v="10"/>
    <s v="HÁ UM MÊS"/>
    <s v="VIOLÊNCIA CONTRA CIDADÃO, FAMÍLIA OU COMUNIDADE"/>
    <s v="VIZINHO(A)"/>
    <x v="0"/>
    <x v="0"/>
    <s v="CE"/>
    <x v="0"/>
    <x v="0"/>
    <x v="2"/>
    <s v="NULL"/>
    <x v="0"/>
    <x v="5"/>
    <s v="NÃO"/>
    <s v="CE"/>
    <s v="AGNÓSTICO/ATEU/SEM RELIGIÃO"/>
    <x v="0"/>
    <s v="NULL"/>
    <x v="0"/>
    <x v="2"/>
  </r>
  <r>
    <s v="E1CB00C969704F7D7DF8593AE3CE500E6D500523AF7DC48C418659FC965FBE20"/>
    <x v="59"/>
    <s v="AMBIENTE VIRTUAL (NO ÂMBITO DA INTERNET)"/>
    <x v="18"/>
    <s v="NÃO SABE INFORMAR"/>
    <s v="VIOLÊNCIA CONTRA CIDADÃO, FAMÍLIA OU COMUNIDADE"/>
    <s v="DESCONHECIDO(A)"/>
    <x v="1"/>
    <x v="0"/>
    <s v="MA"/>
    <x v="0"/>
    <x v="0"/>
    <x v="1"/>
    <s v="NULL"/>
    <x v="0"/>
    <x v="0"/>
    <s v="NÃO"/>
    <s v="DENUNCIANTE NÃO SOUBE INFORMAR"/>
    <s v="JUDAÍSMO"/>
    <x v="0"/>
    <s v="NULL"/>
    <x v="1"/>
    <x v="2"/>
  </r>
  <r>
    <s v="9FE2757F7E9FE7D4C11EF44844536BD4CA32181BF101CE350E3CC0F841801E52"/>
    <x v="59"/>
    <s v="AMBIENTE VIRTUAL (NO ÂMBITO DA INTERNET)"/>
    <x v="18"/>
    <s v="NÃO SABE INFORMAR"/>
    <s v="VIOLÊNCIA CONTRA CIDADÃO, FAMÍLIA OU COMUNIDADE"/>
    <s v="DESCONHECIDO(A)"/>
    <x v="1"/>
    <x v="0"/>
    <s v="MA"/>
    <x v="0"/>
    <x v="0"/>
    <x v="1"/>
    <s v="NULL"/>
    <x v="0"/>
    <x v="0"/>
    <s v="NÃO"/>
    <s v="MA"/>
    <s v="EVANGÉLICA"/>
    <x v="0"/>
    <s v="NULL"/>
    <x v="1"/>
    <x v="2"/>
  </r>
  <r>
    <s v="562C2261C493EB7E7CF5A0A768FAFDCA9DB8002F539C4F209055978CEE2D2699"/>
    <x v="60"/>
    <s v="CASA ONDE RESIDE A VÍTIMA E O SUSPEITO"/>
    <x v="19"/>
    <s v="HÁ MAIS DE CINCO ANOS"/>
    <s v="VIOLÊNCIA CONTRA CIDADÃO, FAMÍLIA OU COMUNIDADE"/>
    <s v="IRMÃO(Ã)"/>
    <x v="0"/>
    <x v="3"/>
    <s v="PB"/>
    <x v="0"/>
    <x v="4"/>
    <x v="0"/>
    <s v="NULL"/>
    <x v="0"/>
    <x v="6"/>
    <s v="NÃO"/>
    <s v="PB"/>
    <s v="AGNÓSTICO/ATEU/SEM RELIGIÃO"/>
    <x v="2"/>
    <s v="NULL"/>
    <x v="2"/>
    <x v="2"/>
  </r>
  <r>
    <s v="FB87FC022C1D3AEBD581F98CF066B81081F268EBEEB1927DB80479687B9F1E9D"/>
    <x v="60"/>
    <s v="CASA ONDE RESIDE A VÍTIMA E O SUSPEITO"/>
    <x v="19"/>
    <s v="HÁ MAIS DE CINCO ANOS"/>
    <s v="VIOLÊNCIA CONTRA CIDADÃO, FAMÍLIA OU COMUNIDADE"/>
    <s v="IRMÃO(Ã)"/>
    <x v="0"/>
    <x v="3"/>
    <s v="PB"/>
    <x v="0"/>
    <x v="4"/>
    <x v="0"/>
    <s v="NULL"/>
    <x v="2"/>
    <x v="1"/>
    <s v="NÃO"/>
    <s v="PB"/>
    <s v="CATÓLICA"/>
    <x v="2"/>
    <s v="NULL"/>
    <x v="2"/>
    <x v="2"/>
  </r>
  <r>
    <s v="5023F92691058791C86E26E809CDDD8090DE763F313366234BF3E53968910819"/>
    <x v="60"/>
    <s v="CASA ONDE RESIDE A VÍTIMA E O SUSPEITO"/>
    <x v="2"/>
    <s v="HÁ MAIS DE SEIS MESES"/>
    <s v="VIOLÊNCIA CONTRA CIDADÃO, FAMÍLIA OU COMUNIDADE"/>
    <s v="PAI"/>
    <x v="0"/>
    <x v="4"/>
    <s v="RJ"/>
    <x v="0"/>
    <x v="0"/>
    <x v="0"/>
    <s v="NULL"/>
    <x v="0"/>
    <x v="5"/>
    <s v="NÃO INFORMADO"/>
    <s v="RJ"/>
    <s v="AGNÓSTICO/ATEU/SEM RELIGIÃO"/>
    <x v="2"/>
    <s v="NULL"/>
    <x v="0"/>
    <x v="2"/>
  </r>
  <r>
    <s v="5023F92691058791C86E26E809CDDD8090DE763F313366234BF3E53968910819"/>
    <x v="60"/>
    <s v="CASA ONDE RESIDE A VÍTIMA E O SUSPEITO"/>
    <x v="2"/>
    <s v="HÁ MAIS DE SEIS MESES"/>
    <s v="VIOLÊNCIA CONTRA CIDADÃO, FAMÍLIA OU COMUNIDADE"/>
    <s v="PAI"/>
    <x v="0"/>
    <x v="4"/>
    <s v="RJ"/>
    <x v="0"/>
    <x v="0"/>
    <x v="0"/>
    <s v="NULL"/>
    <x v="0"/>
    <x v="5"/>
    <s v="NÃO INFORMADO"/>
    <s v="RJ"/>
    <s v="AGNÓSTICO/ATEU/SEM RELIGIÃO"/>
    <x v="2"/>
    <s v="NULL"/>
    <x v="2"/>
    <x v="2"/>
  </r>
  <r>
    <s v="5023F92691058791C86E26E809CDDD8090DE763F313366234BF3E53968910819"/>
    <x v="60"/>
    <s v="CASA ONDE RESIDE A VÍTIMA E O SUSPEITO"/>
    <x v="2"/>
    <s v="HÁ MAIS DE SEIS MESES"/>
    <s v="VIOLÊNCIA CONTRA CIDADÃO, FAMÍLIA OU COMUNIDADE"/>
    <s v="PAI"/>
    <x v="0"/>
    <x v="4"/>
    <s v="RJ"/>
    <x v="0"/>
    <x v="0"/>
    <x v="0"/>
    <s v="NULL"/>
    <x v="0"/>
    <x v="5"/>
    <s v="NÃO INFORMADO"/>
    <s v="RJ"/>
    <s v="AGNÓSTICO/ATEU/SEM RELIGIÃO"/>
    <x v="2"/>
    <s v="NULL"/>
    <x v="1"/>
    <x v="2"/>
  </r>
  <r>
    <s v="0606AEC67B35DB48A0D8F5C7DA4E52D243A0AC2CD8EEBF1D2BB3105010D9FF34"/>
    <x v="60"/>
    <s v="OUTROS ESTABELECIMENTOS"/>
    <x v="3"/>
    <s v="HÁ MAIS DE DEZ ANOS"/>
    <s v="VIOLÊNCIA CONTRA CIDADÃO, FAMÍLIA OU COMUNIDADE"/>
    <s v="PRESTADOR(A) DE SERVIÇO"/>
    <x v="0"/>
    <x v="3"/>
    <s v="BA"/>
    <x v="0"/>
    <x v="0"/>
    <x v="2"/>
    <s v="NULL"/>
    <x v="1"/>
    <x v="0"/>
    <s v="NÃO INFORMADO"/>
    <s v="BA"/>
    <s v="AGNÓSTICO/ATEU/SEM RELIGIÃO"/>
    <x v="1"/>
    <s v="ATIVIDADES FINANCEIRAS, DE SEGUROS E SERVIÇOS RELACIONADOS"/>
    <x v="0"/>
    <x v="2"/>
  </r>
  <r>
    <s v="DFC53D4FA69759D5DCBA4E1C20B63F91C9F11B6F0BC1061EAD6A5CBBD3DAA5D7"/>
    <x v="61"/>
    <s v="CASA ONDE RESIDE A VÍTIMA E O SUSPEITO"/>
    <x v="1"/>
    <s v="HÁ MAIS DE DEZ ANOS"/>
    <s v="VIOLÊNCIA CONTRA CIDADÃO, FAMÍLIA OU COMUNIDADE"/>
    <s v="IRMÃO(Ã)"/>
    <x v="0"/>
    <x v="9"/>
    <s v="SP"/>
    <x v="1"/>
    <x v="4"/>
    <x v="1"/>
    <s v="NULL"/>
    <x v="2"/>
    <x v="1"/>
    <s v="NÃO INFORMADO"/>
    <s v="SP"/>
    <s v="ESPÍRITA"/>
    <x v="2"/>
    <s v="NULL"/>
    <x v="0"/>
    <x v="2"/>
  </r>
  <r>
    <s v="DFC53D4FA69759D5DCBA4E1C20B63F91C9F11B6F0BC1061EAD6A5CBBD3DAA5D7"/>
    <x v="61"/>
    <s v="CASA ONDE RESIDE A VÍTIMA E O SUSPEITO"/>
    <x v="1"/>
    <s v="HÁ MAIS DE DEZ ANOS"/>
    <s v="VIOLÊNCIA CONTRA CIDADÃO, FAMÍLIA OU COMUNIDADE"/>
    <s v="IRMÃO(Ã)"/>
    <x v="0"/>
    <x v="9"/>
    <s v="SP"/>
    <x v="1"/>
    <x v="4"/>
    <x v="1"/>
    <s v="NULL"/>
    <x v="2"/>
    <x v="1"/>
    <s v="NÃO INFORMADO"/>
    <s v="SP"/>
    <s v="ESPÍRITA"/>
    <x v="2"/>
    <s v="NULL"/>
    <x v="2"/>
    <x v="2"/>
  </r>
  <r>
    <s v="147ABA88329448DEBB100B8B9B5DCB2E0A065E05D18E4E67BFCA4B90E228A9DF"/>
    <x v="61"/>
    <s v="CASA DA VÍTIMA"/>
    <x v="3"/>
    <s v="HÁ MAIS DE SEIS MESES"/>
    <s v="VIOLÊNCIA CONTRA CIDADÃO, FAMÍLIA OU COMUNIDADE"/>
    <s v="VIZINHO(A)"/>
    <x v="0"/>
    <x v="0"/>
    <s v="BA"/>
    <x v="0"/>
    <x v="0"/>
    <x v="0"/>
    <s v="NULL"/>
    <x v="0"/>
    <x v="0"/>
    <s v="NÃO INFORMADO"/>
    <s v="BA"/>
    <s v="AGNÓSTICO/ATEU/SEM RELIGIÃO"/>
    <x v="1"/>
    <s v="NULL"/>
    <x v="0"/>
    <x v="2"/>
  </r>
  <r>
    <s v="E7E07139DD62E7131F72A711738B927AC650ABC68D158B3FC4C8482994C50EFA"/>
    <x v="62"/>
    <s v="CASA DO SUSPEITO"/>
    <x v="20"/>
    <s v="HÁ UM MÊS"/>
    <s v="VIOLÊNCIA CONTRA CIDADÃO, FAMÍLIA OU COMUNIDADE"/>
    <s v="VIZINHO(A)"/>
    <x v="1"/>
    <x v="4"/>
    <s v="AM"/>
    <x v="0"/>
    <x v="0"/>
    <x v="1"/>
    <s v="NULL"/>
    <x v="0"/>
    <x v="0"/>
    <s v="NÃO INFORMADO"/>
    <s v="AM"/>
    <s v="AGNÓSTICO/ATEU/SEM RELIGIÃO"/>
    <x v="1"/>
    <s v="NULL"/>
    <x v="1"/>
    <x v="2"/>
  </r>
  <r>
    <s v="E7E07139DD62E7131F72A711738B927AC650ABC68D158B3FC4C8482994C50EFA"/>
    <x v="62"/>
    <s v="CASA DO SUSPEITO"/>
    <x v="20"/>
    <s v="HÁ UM MÊS"/>
    <s v="VIOLÊNCIA CONTRA CIDADÃO, FAMÍLIA OU COMUNIDADE"/>
    <s v="VIZINHO(A)"/>
    <x v="1"/>
    <x v="4"/>
    <s v="AM"/>
    <x v="0"/>
    <x v="0"/>
    <x v="1"/>
    <s v="NULL"/>
    <x v="0"/>
    <x v="0"/>
    <s v="NÃO INFORMADO"/>
    <s v="AM"/>
    <s v="AGNÓSTICO/ATEU/SEM RELIGIÃO"/>
    <x v="1"/>
    <s v="NULL"/>
    <x v="0"/>
    <x v="2"/>
  </r>
  <r>
    <s v="E7E07139DD62E7131F72A711738B927AC650ABC68D158B3FC4C8482994C50EFA"/>
    <x v="62"/>
    <s v="CASA DO SUSPEITO"/>
    <x v="20"/>
    <s v="HÁ UM MÊS"/>
    <s v="VIOLÊNCIA CONTRA CIDADÃO, FAMÍLIA OU COMUNIDADE"/>
    <s v="VIZINHO(A)"/>
    <x v="1"/>
    <x v="4"/>
    <s v="AM"/>
    <x v="0"/>
    <x v="0"/>
    <x v="1"/>
    <s v="NULL"/>
    <x v="0"/>
    <x v="0"/>
    <s v="NÃO INFORMADO"/>
    <s v="AM"/>
    <s v="AGNÓSTICO/ATEU/SEM RELIGIÃO"/>
    <x v="1"/>
    <s v="NULL"/>
    <x v="2"/>
    <x v="2"/>
  </r>
  <r>
    <s v="380D2C5889CF91BA7E29DF19DD5385A422625EED88C9719C4792EC3D824C2769"/>
    <x v="62"/>
    <s v="OUTROS ESTABELECIMENTOS"/>
    <x v="4"/>
    <s v="HÁ MAIS DE UM ANO"/>
    <s v="VIOLÊNCIA CONTRA CIDADÃO, FAMÍLIA OU COMUNIDADE"/>
    <s v="VIZINHO(A)"/>
    <x v="1"/>
    <x v="7"/>
    <s v="MG"/>
    <x v="0"/>
    <x v="3"/>
    <x v="1"/>
    <s v="NULL"/>
    <x v="0"/>
    <x v="5"/>
    <s v="NÃO"/>
    <s v="MG"/>
    <s v="AGNÓSTICO/ATEU/SEM RELIGIÃO"/>
    <x v="1"/>
    <s v="NULL"/>
    <x v="0"/>
    <x v="2"/>
  </r>
  <r>
    <s v="380D2C5889CF91BA7E29DF19DD5385A422625EED88C9719C4792EC3D824C2769"/>
    <x v="62"/>
    <s v="OUTROS ESTABELECIMENTOS"/>
    <x v="4"/>
    <s v="HÁ MAIS DE UM ANO"/>
    <s v="VIOLÊNCIA CONTRA CIDADÃO, FAMÍLIA OU COMUNIDADE"/>
    <s v="VIZINHO(A)"/>
    <x v="1"/>
    <x v="7"/>
    <s v="MG"/>
    <x v="0"/>
    <x v="3"/>
    <x v="1"/>
    <s v="NULL"/>
    <x v="0"/>
    <x v="5"/>
    <s v="NÃO"/>
    <s v="MG"/>
    <s v="AGNÓSTICO/ATEU/SEM RELIGIÃO"/>
    <x v="1"/>
    <s v="NULL"/>
    <x v="2"/>
    <x v="2"/>
  </r>
  <r>
    <s v="1F6104DB44260B061CFEB728DD83FCD212912EAE907EA7662859C0255B1C3B2D"/>
    <x v="62"/>
    <s v="CASA DA VÍTIMA"/>
    <x v="2"/>
    <s v="NÃO SE APLICA"/>
    <s v="VIOLÊNCIA CONTRA CIDADÃO, FAMÍLIA OU COMUNIDADE"/>
    <s v="VIZINHO(A)"/>
    <x v="0"/>
    <x v="6"/>
    <s v="RJ"/>
    <x v="0"/>
    <x v="0"/>
    <x v="2"/>
    <s v="NULL"/>
    <x v="1"/>
    <x v="0"/>
    <s v="NÃO INFORMADO"/>
    <s v="RJ"/>
    <s v="AGNÓSTICO/ATEU/SEM RELIGIÃO"/>
    <x v="1"/>
    <s v="NULL"/>
    <x v="1"/>
    <x v="2"/>
  </r>
  <r>
    <s v="65AACB7B750537AA6D09398276BBED8586A3DCABBF996E1370B86ED743957669"/>
    <x v="62"/>
    <s v="OUTROS ESTABELECIMENTOS"/>
    <x v="2"/>
    <s v="HÁ MAIS DE UM ANO"/>
    <s v="VIOLÊNCIA CONTRA CIDADÃO, FAMÍLIA OU COMUNIDADE"/>
    <s v="OUTROS"/>
    <x v="0"/>
    <x v="9"/>
    <s v="RJ"/>
    <x v="0"/>
    <x v="3"/>
    <x v="0"/>
    <s v="NULL"/>
    <x v="0"/>
    <x v="8"/>
    <s v="NÃO"/>
    <s v="RJ"/>
    <s v="AGNÓSTICO/ATEU/SEM RELIGIÃO"/>
    <x v="2"/>
    <s v="NULL"/>
    <x v="0"/>
    <x v="2"/>
  </r>
  <r>
    <s v="F8E6424D01E08F3D9419D4AFDD687AB613219A5C34EF57C58609BA03C170BD14"/>
    <x v="63"/>
    <s v="AMBIENTE VIRTUAL (NO ÂMBITO DA INTERNET)"/>
    <x v="12"/>
    <s v="HÁ MAIS DE UM ANO"/>
    <s v="VIOLÊNCIA CONTRA CIDADÃO, FAMÍLIA OU COMUNIDADE"/>
    <s v="LÍDER RELIGIOSO(A)"/>
    <x v="1"/>
    <x v="2"/>
    <s v="DENUNCIANTE NÃO SOUBE INFORMAR"/>
    <x v="0"/>
    <x v="0"/>
    <x v="1"/>
    <s v="NULL"/>
    <x v="0"/>
    <x v="6"/>
    <s v="NÃO"/>
    <s v="SP"/>
    <s v="AGNÓSTICO/ATEU/SEM RELIGIÃO"/>
    <x v="0"/>
    <s v="NULL"/>
    <x v="1"/>
    <x v="2"/>
  </r>
  <r>
    <s v="F8E6424D01E08F3D9419D4AFDD687AB613219A5C34EF57C58609BA03C170BD14"/>
    <x v="63"/>
    <s v="AMBIENTE VIRTUAL (NO ÂMBITO DA INTERNET)"/>
    <x v="12"/>
    <s v="HÁ MAIS DE UM ANO"/>
    <s v="VIOLÊNCIA CONTRA CIDADÃO, FAMÍLIA OU COMUNIDADE"/>
    <s v="LÍDER RELIGIOSO(A)"/>
    <x v="1"/>
    <x v="2"/>
    <s v="DENUNCIANTE NÃO SOUBE INFORMAR"/>
    <x v="0"/>
    <x v="0"/>
    <x v="1"/>
    <s v="NULL"/>
    <x v="0"/>
    <x v="6"/>
    <s v="NÃO"/>
    <s v="SP"/>
    <s v="AGNÓSTICO/ATEU/SEM RELIGIÃO"/>
    <x v="0"/>
    <s v="NULL"/>
    <x v="0"/>
    <x v="2"/>
  </r>
  <r>
    <s v="43F6D2278F940FCAFB8CB1468C7C9375DD2E5249BD4BEAD7603CFE08F5BED054"/>
    <x v="64"/>
    <s v="OUTROS ESTABELECIMENTOS"/>
    <x v="15"/>
    <s v="NÃO SE APLICA"/>
    <s v="VIOLÊNCIA CONTRA CIDADÃO, FAMÍLIA OU COMUNIDADE"/>
    <s v="DESCONHECIDO(A)"/>
    <x v="1"/>
    <x v="4"/>
    <s v="PR"/>
    <x v="0"/>
    <x v="0"/>
    <x v="1"/>
    <s v="NULL"/>
    <x v="1"/>
    <x v="0"/>
    <s v="NÃO"/>
    <s v="PR"/>
    <s v="AGNÓSTICO/ATEU/SEM RELIGIÃO"/>
    <x v="1"/>
    <s v="NULL"/>
    <x v="0"/>
    <x v="2"/>
  </r>
  <r>
    <s v="C974522DAADF763859EF19493E58D28BA9FD284F0727A950CE7AFF41E1B2066E"/>
    <x v="64"/>
    <s v="CASA ONDE RESIDE A VÍTIMA E O SUSPEITO"/>
    <x v="1"/>
    <s v="HÁ MAIS DE UM ANO"/>
    <s v="VIOLÊNCIA CONTRA CIDADÃO, FAMÍLIA OU COMUNIDADE"/>
    <s v="PRIMO(A)"/>
    <x v="0"/>
    <x v="3"/>
    <s v="SP"/>
    <x v="9"/>
    <x v="4"/>
    <x v="0"/>
    <s v="NULL"/>
    <x v="2"/>
    <x v="9"/>
    <s v="NÃO INFORMADO"/>
    <s v="SP"/>
    <s v="AGNÓSTICO/ATEU/SEM RELIGIÃO"/>
    <x v="3"/>
    <s v="NULL"/>
    <x v="0"/>
    <x v="2"/>
  </r>
  <r>
    <s v="C5B19460B944F115CB3B7A316C24591CFE6297746DEAA80374B3B334E55609A7"/>
    <x v="64"/>
    <s v="CASA ONDE RESIDE A VÍTIMA E O SUSPEITO"/>
    <x v="1"/>
    <s v="HÁ MAIS DE UM ANO"/>
    <s v="VIOLÊNCIA CONTRA CIDADÃO, FAMÍLIA OU COMUNIDADE"/>
    <s v="PRIMO(A)"/>
    <x v="0"/>
    <x v="3"/>
    <s v="SP"/>
    <x v="9"/>
    <x v="4"/>
    <x v="0"/>
    <s v="NULL"/>
    <x v="0"/>
    <x v="11"/>
    <s v="NÃO INFORMADO"/>
    <s v="SP"/>
    <s v="AGNÓSTICO/ATEU/SEM RELIGIÃO"/>
    <x v="2"/>
    <s v="NULL"/>
    <x v="0"/>
    <x v="2"/>
  </r>
  <r>
    <s v="48963F53A9B6EFFA6EC002832BFD04D18FF09416958BC02B7B764F5C134836ED"/>
    <x v="64"/>
    <s v="LOCAL DE TRABALHO DO AGRESSOR"/>
    <x v="1"/>
    <s v="HÁ MAIS DE UM ANO"/>
    <s v="VIOLÊNCIA CONTRA CIDADÃO, FAMÍLIA OU COMUNIDADE"/>
    <s v="PRIMO(A)"/>
    <x v="0"/>
    <x v="3"/>
    <s v="SP"/>
    <x v="0"/>
    <x v="0"/>
    <x v="0"/>
    <s v="NULL"/>
    <x v="2"/>
    <x v="9"/>
    <s v="NÃO"/>
    <s v="SP"/>
    <s v="AGNÓSTICO/ATEU/SEM RELIGIÃO"/>
    <x v="2"/>
    <s v="NULL"/>
    <x v="0"/>
    <x v="2"/>
  </r>
  <r>
    <s v="BA16232CD0B85ECFEE89DCD877F0498C954F883BCC4A610C21AF2CCD92EBE41E"/>
    <x v="64"/>
    <s v="LOCAL DE TRABALHO DO AGRESSOR"/>
    <x v="1"/>
    <s v="HÁ MAIS DE UM ANO"/>
    <s v="VIOLÊNCIA CONTRA CIDADÃO, FAMÍLIA OU COMUNIDADE"/>
    <s v="PRIMO(A)"/>
    <x v="0"/>
    <x v="3"/>
    <s v="SP"/>
    <x v="0"/>
    <x v="0"/>
    <x v="0"/>
    <s v="NULL"/>
    <x v="2"/>
    <x v="2"/>
    <s v="NÃO"/>
    <s v="SP"/>
    <s v="AGNÓSTICO/ATEU/SEM RELIGIÃO"/>
    <x v="2"/>
    <s v="NULL"/>
    <x v="0"/>
    <x v="2"/>
  </r>
  <r>
    <s v="379768D2F339912CC250F6028A16286BA54D0DA95CD0A21C2045F8BE3DD79291"/>
    <x v="64"/>
    <s v="LOCAL DE TRABALHO DO AGRESSOR"/>
    <x v="1"/>
    <s v="HÁ MAIS DE UM ANO"/>
    <s v="VIOLÊNCIA CONTRA CIDADÃO, FAMÍLIA OU COMUNIDADE"/>
    <s v="PRIMO(A)"/>
    <x v="0"/>
    <x v="3"/>
    <s v="SP"/>
    <x v="0"/>
    <x v="0"/>
    <x v="0"/>
    <s v="NULL"/>
    <x v="0"/>
    <x v="7"/>
    <s v="NÃO"/>
    <s v="DENUNCIANTE NÃO SOUBE INFORMAR"/>
    <s v="AGNÓSTICO/ATEU/SEM RELIGIÃO"/>
    <x v="4"/>
    <s v="NULL"/>
    <x v="0"/>
    <x v="2"/>
  </r>
  <r>
    <s v="74532DB70A16A1C5789C05C9E3E0F725AA3E0B50FBE507E2E213C2DBDC3DB1D0"/>
    <x v="65"/>
    <s v="OUTROS ESTABELECIMENTOS"/>
    <x v="0"/>
    <s v="NÃO SE APLICA"/>
    <s v="VIOLÊNCIA CONTRA CIDADÃO, FAMÍLIA OU COMUNIDADE"/>
    <s v="OUTROS"/>
    <x v="2"/>
    <x v="7"/>
    <s v="DF"/>
    <x v="0"/>
    <x v="0"/>
    <x v="3"/>
    <s v="COMUNIDADES DE TERREIROS E MATRIZ AFRICANA"/>
    <x v="1"/>
    <x v="0"/>
    <s v="NÃO INFORMADO"/>
    <s v="DF"/>
    <s v="AGNÓSTICO/ATEU/SEM RELIGIÃO"/>
    <x v="1"/>
    <s v="SEGURANÇA PÚBLICA, FORÇAS ARMADAS, DEFESA CIVIL, BOMBEIROS E ASSEMELHADOS ? ESTADUAL/DISTRITO FEDERAL"/>
    <x v="0"/>
    <x v="2"/>
  </r>
  <r>
    <s v="AEB936B2BE3C63F03911C1339D23DA89D8258EB8B0195EE649F0830EAF6AA003"/>
    <x v="65"/>
    <s v="OUTROS ESTABELECIMENTOS"/>
    <x v="0"/>
    <s v="NÃO SE APLICA"/>
    <s v="VIOLÊNCIA CONTRA CIDADÃO, FAMÍLIA OU COMUNIDADE"/>
    <s v="OUTROS"/>
    <x v="2"/>
    <x v="7"/>
    <s v="DF"/>
    <x v="0"/>
    <x v="0"/>
    <x v="3"/>
    <s v="COMUNIDADES DE TERREIROS E MATRIZ AFRICANA"/>
    <x v="1"/>
    <x v="0"/>
    <s v="NÃO INFORMADO"/>
    <s v="DF"/>
    <s v="AGNÓSTICO/ATEU/SEM RELIGIÃO"/>
    <x v="1"/>
    <s v="SEGURANÇA PÚBLICA, FORÇAS ARMADAS, DEFESA CIVIL, BOMBEIROS E ASSEMELHADOS ? ESTADUAL/DISTRITO FEDERAL"/>
    <x v="0"/>
    <x v="2"/>
  </r>
  <r>
    <s v="6B4000B5380225211F84481C2D5CD3FD4837DAC54F19DEFAB7BB27C08A9C5DF5"/>
    <x v="65"/>
    <s v="CASA DA VÍTIMA"/>
    <x v="1"/>
    <s v="NÃO SE APLICA"/>
    <s v="VIOLÊNCIA CONTRA CIDADÃO, FAMÍLIA OU COMUNIDADE"/>
    <s v="IRMÃO(Ã)"/>
    <x v="0"/>
    <x v="2"/>
    <s v="SP"/>
    <x v="0"/>
    <x v="3"/>
    <x v="2"/>
    <s v="NULL"/>
    <x v="2"/>
    <x v="5"/>
    <s v="NÃO"/>
    <s v="SP"/>
    <s v="EVANGÉLICA"/>
    <x v="1"/>
    <s v="NULL"/>
    <x v="2"/>
    <x v="2"/>
  </r>
  <r>
    <s v="6B4000B5380225211F84481C2D5CD3FD4837DAC54F19DEFAB7BB27C08A9C5DF5"/>
    <x v="65"/>
    <s v="CASA DA VÍTIMA"/>
    <x v="1"/>
    <s v="NÃO SE APLICA"/>
    <s v="VIOLÊNCIA CONTRA CIDADÃO, FAMÍLIA OU COMUNIDADE"/>
    <s v="IRMÃO(Ã)"/>
    <x v="0"/>
    <x v="2"/>
    <s v="SP"/>
    <x v="0"/>
    <x v="3"/>
    <x v="2"/>
    <s v="NULL"/>
    <x v="2"/>
    <x v="5"/>
    <s v="NÃO"/>
    <s v="SP"/>
    <s v="EVANGÉLICA"/>
    <x v="1"/>
    <s v="NULL"/>
    <x v="0"/>
    <x v="2"/>
  </r>
  <r>
    <s v="9E357893104A50893F50357CCB44C585BE47121F7096DD821F8F1439860E694D"/>
    <x v="66"/>
    <s v="OUTROS ESTABELECIMENTOS"/>
    <x v="12"/>
    <s v="HÁ MAIS DE DEZ ANOS"/>
    <s v="VIOLÊNCIA CONTRA CIDADÃO, FAMÍLIA OU COMUNIDADE"/>
    <s v="NÃO SE APLICA"/>
    <x v="1"/>
    <x v="3"/>
    <s v="DENUNCIANTE NÃO SOUBE INFORMAR"/>
    <x v="0"/>
    <x v="0"/>
    <x v="1"/>
    <s v="NULL"/>
    <x v="1"/>
    <x v="0"/>
    <s v="NÃO INFORMADO"/>
    <s v="RJ"/>
    <s v="AGNÓSTICO/ATEU/SEM RELIGIÃO"/>
    <x v="1"/>
    <s v="OUTRAS ATIVIDADES DE SERVIÇOS"/>
    <x v="1"/>
    <x v="3"/>
  </r>
  <r>
    <s v="BA549E63803251FE5FC5184B131122F76FEAE0EDB114BB9FCD6442CAB4D3BC58"/>
    <x v="66"/>
    <s v="OUTROS ESTABELECIMENTOS"/>
    <x v="12"/>
    <s v="HÁ MAIS DE DEZ ANOS"/>
    <s v="VIOLÊNCIA CONTRA CIDADÃO, FAMÍLIA OU COMUNIDADE"/>
    <s v="NÃO SE APLICA"/>
    <x v="1"/>
    <x v="3"/>
    <s v="DENUNCIANTE NÃO SOUBE INFORMAR"/>
    <x v="0"/>
    <x v="0"/>
    <x v="1"/>
    <s v="NULL"/>
    <x v="1"/>
    <x v="0"/>
    <s v="NÃO INFORMADO"/>
    <s v="RJ"/>
    <s v="AGNÓSTICO/ATEU/SEM RELIGIÃO"/>
    <x v="1"/>
    <s v="OUTRAS ATIVIDADES DE SERVIÇOS"/>
    <x v="1"/>
    <x v="3"/>
  </r>
  <r>
    <s v="166F1282FFCB0E1399B962F7FA0D263E8B5A6057E76EBFA0B2F8363E12B318C2"/>
    <x v="66"/>
    <s v="CASA DA VÍTIMA"/>
    <x v="13"/>
    <s v="NÃO SE APLICA"/>
    <s v="VIOLÊNCIA CONTRA CIDADÃO, FAMÍLIA OU COMUNIDADE"/>
    <s v="VIZINHO(A)"/>
    <x v="1"/>
    <x v="7"/>
    <s v="PE"/>
    <x v="0"/>
    <x v="3"/>
    <x v="1"/>
    <s v="COMUNIDADES DE TERREIROS E MATRIZ AFRICANA"/>
    <x v="0"/>
    <x v="10"/>
    <s v="NÃO"/>
    <s v="PE"/>
    <s v="AGNÓSTICO/ATEU/SEM RELIGIÃO"/>
    <x v="0"/>
    <s v="NULL"/>
    <x v="2"/>
    <x v="3"/>
  </r>
  <r>
    <s v="C2556FBBD20C68AF5A9B7B0ACE9EA50B5B08EF5184BDE04390B44A3F3B65B87F"/>
    <x v="66"/>
    <s v="CASA DA VÍTIMA"/>
    <x v="13"/>
    <s v="NÃO SE APLICA"/>
    <s v="VIOLÊNCIA CONTRA CIDADÃO, FAMÍLIA OU COMUNIDADE"/>
    <s v="VIZINHO(A)"/>
    <x v="1"/>
    <x v="7"/>
    <s v="PE"/>
    <x v="0"/>
    <x v="3"/>
    <x v="1"/>
    <s v="COMUNIDADES DE TERREIROS E MATRIZ AFRICANA"/>
    <x v="1"/>
    <x v="0"/>
    <s v="NÃO"/>
    <s v="PE"/>
    <s v="AGNÓSTICO/ATEU/SEM RELIGIÃO"/>
    <x v="2"/>
    <s v="NULL"/>
    <x v="2"/>
    <x v="3"/>
  </r>
  <r>
    <s v="D949D1FAD2CD3B71A87DCC8F568F177EC73760C3323D42E77F205BCBDA67EB9C"/>
    <x v="66"/>
    <s v="CASA DA VÍTIMA"/>
    <x v="13"/>
    <s v="NÃO SE APLICA"/>
    <s v="VIOLÊNCIA CONTRA CIDADÃO, FAMÍLIA OU COMUNIDADE"/>
    <s v="VIZINHO(A)"/>
    <x v="1"/>
    <x v="7"/>
    <s v="PE"/>
    <x v="0"/>
    <x v="3"/>
    <x v="1"/>
    <s v="COMUNIDADES DE TERREIROS E MATRIZ AFRICANA"/>
    <x v="2"/>
    <x v="3"/>
    <s v="NÃO"/>
    <s v="PE"/>
    <s v="AGNÓSTICO/ATEU/SEM RELIGIÃO"/>
    <x v="0"/>
    <s v="NULL"/>
    <x v="2"/>
    <x v="3"/>
  </r>
  <r>
    <s v="166F1282FFCB0E1399B962F7FA0D263E8B5A6057E76EBFA0B2F8363E12B318C2"/>
    <x v="66"/>
    <s v="CASA DA VÍTIMA"/>
    <x v="13"/>
    <s v="NÃO SE APLICA"/>
    <s v="VIOLÊNCIA CONTRA CIDADÃO, FAMÍLIA OU COMUNIDADE"/>
    <s v="VIZINHO(A)"/>
    <x v="1"/>
    <x v="7"/>
    <s v="PE"/>
    <x v="0"/>
    <x v="3"/>
    <x v="1"/>
    <s v="COMUNIDADES DE TERREIROS E MATRIZ AFRICANA"/>
    <x v="0"/>
    <x v="10"/>
    <s v="NÃO"/>
    <s v="PE"/>
    <s v="AGNÓSTICO/ATEU/SEM RELIGIÃO"/>
    <x v="0"/>
    <s v="NULL"/>
    <x v="0"/>
    <x v="3"/>
  </r>
  <r>
    <s v="C2556FBBD20C68AF5A9B7B0ACE9EA50B5B08EF5184BDE04390B44A3F3B65B87F"/>
    <x v="66"/>
    <s v="CASA DA VÍTIMA"/>
    <x v="13"/>
    <s v="NÃO SE APLICA"/>
    <s v="VIOLÊNCIA CONTRA CIDADÃO, FAMÍLIA OU COMUNIDADE"/>
    <s v="VIZINHO(A)"/>
    <x v="1"/>
    <x v="7"/>
    <s v="PE"/>
    <x v="0"/>
    <x v="3"/>
    <x v="1"/>
    <s v="COMUNIDADES DE TERREIROS E MATRIZ AFRICANA"/>
    <x v="1"/>
    <x v="0"/>
    <s v="NÃO"/>
    <s v="PE"/>
    <s v="AGNÓSTICO/ATEU/SEM RELIGIÃO"/>
    <x v="2"/>
    <s v="NULL"/>
    <x v="0"/>
    <x v="3"/>
  </r>
  <r>
    <s v="D949D1FAD2CD3B71A87DCC8F568F177EC73760C3323D42E77F205BCBDA67EB9C"/>
    <x v="66"/>
    <s v="CASA DA VÍTIMA"/>
    <x v="13"/>
    <s v="NÃO SE APLICA"/>
    <s v="VIOLÊNCIA CONTRA CIDADÃO, FAMÍLIA OU COMUNIDADE"/>
    <s v="VIZINHO(A)"/>
    <x v="1"/>
    <x v="7"/>
    <s v="PE"/>
    <x v="0"/>
    <x v="3"/>
    <x v="1"/>
    <s v="COMUNIDADES DE TERREIROS E MATRIZ AFRICANA"/>
    <x v="2"/>
    <x v="3"/>
    <s v="NÃO"/>
    <s v="PE"/>
    <s v="AGNÓSTICO/ATEU/SEM RELIGIÃO"/>
    <x v="0"/>
    <s v="NULL"/>
    <x v="0"/>
    <x v="3"/>
  </r>
  <r>
    <s v="426C66581DBE9753F9CFED84E626478E3219C4F2652E293E85F2D6EF39F05612"/>
    <x v="67"/>
    <s v="CASA ONDE RESIDE A VÍTIMA E O SUSPEITO"/>
    <x v="1"/>
    <s v="HÁ MAIS DE SEIS MESES"/>
    <s v="VIOLÊNCIA CONTRA CIDADÃO, FAMÍLIA OU COMUNIDADE"/>
    <s v="EMPREGADOR/PATRÃO (HIERARQUICAMENTE SUPERIOR)"/>
    <x v="1"/>
    <x v="7"/>
    <s v="SP"/>
    <x v="0"/>
    <x v="0"/>
    <x v="1"/>
    <s v="NULL"/>
    <x v="1"/>
    <x v="0"/>
    <s v="NÃO INFORMADO"/>
    <s v="SP"/>
    <s v="AGNÓSTICO/ATEU/SEM RELIGIÃO"/>
    <x v="1"/>
    <s v="OUTRAS ATIVIDADES DE SERVIÇOS"/>
    <x v="0"/>
    <x v="3"/>
  </r>
  <r>
    <s v="ACBB6596E7E520B4EBF2903566FAC2725F6A7DD464B0691F83D830B0839092CF"/>
    <x v="68"/>
    <s v="AMBIENTE VIRTUAL (NO ÂMBITO DA INTERNET)"/>
    <x v="1"/>
    <s v="NÃO SE APLICA"/>
    <s v="VIOLÊNCIA CONTRA CIDADÃO, FAMÍLIA OU COMUNIDADE"/>
    <s v="COLEGA DE TRABALHO (MESMO NÍVEL HIERÁRQUICO)"/>
    <x v="0"/>
    <x v="3"/>
    <s v="SP"/>
    <x v="7"/>
    <x v="7"/>
    <x v="2"/>
    <s v="DEMAIS COMUNIDADES TRADICIONAIS"/>
    <x v="0"/>
    <x v="0"/>
    <s v="NÃO INFORMADO"/>
    <s v="SP"/>
    <s v="AGNÓSTICO/ATEU/SEM RELIGIÃO"/>
    <x v="1"/>
    <s v="NULL"/>
    <x v="0"/>
    <x v="3"/>
  </r>
  <r>
    <s v="A0C7F4C1E6C058EF9E05F27308F6C3216FCFE78804298486BCC8678D273B0038"/>
    <x v="68"/>
    <s v="AMBIENTE VIRTUAL (NO ÂMBITO DA INTERNET)"/>
    <x v="1"/>
    <s v="NÃO SE APLICA"/>
    <s v="VIOLÊNCIA CONTRA CIDADÃO, FAMÍLIA OU COMUNIDADE"/>
    <s v="COLEGA DE TRABALHO (MESMO NÍVEL HIERÁRQUICO)"/>
    <x v="0"/>
    <x v="3"/>
    <s v="SP"/>
    <x v="7"/>
    <x v="7"/>
    <x v="2"/>
    <s v="DEMAIS COMUNIDADES TRADICIONAIS"/>
    <x v="0"/>
    <x v="0"/>
    <s v="NÃO INFORMADO"/>
    <s v="SP"/>
    <s v="AGNÓSTICO/ATEU/SEM RELIGIÃO"/>
    <x v="1"/>
    <s v="NULL"/>
    <x v="0"/>
    <x v="3"/>
  </r>
  <r>
    <s v="3ACFBF60A13CDC990DB36FAB729673391DFA6DC2F5FB8784847FFE88DB461597"/>
    <x v="68"/>
    <s v="CASA DO SUSPEITO"/>
    <x v="2"/>
    <s v="HÁ MAIS DE UM ANO"/>
    <s v="VIOLÊNCIA CONTRA CIDADÃO, FAMÍLIA OU COMUNIDADE"/>
    <s v="VIZINHO(A)"/>
    <x v="0"/>
    <x v="0"/>
    <s v="RJ"/>
    <x v="0"/>
    <x v="0"/>
    <x v="3"/>
    <s v="NULL"/>
    <x v="0"/>
    <x v="2"/>
    <s v="NÃO"/>
    <s v="RJ"/>
    <s v="AGNÓSTICO/ATEU/SEM RELIGIÃO"/>
    <x v="2"/>
    <s v="NULL"/>
    <x v="0"/>
    <x v="3"/>
  </r>
  <r>
    <s v="8D45D98688C58A76C5B0AAF54D280C713C447C05F1D214CDC4B1A688387EA943"/>
    <x v="68"/>
    <s v="OUTROS ESTABELECIMENTOS"/>
    <x v="2"/>
    <s v="HÁ MAIS DE UM ANO"/>
    <s v="VIOLÊNCIA CONTRA CIDADÃO, FAMÍLIA OU COMUNIDADE"/>
    <s v="DESCONHECIDO(A)"/>
    <x v="0"/>
    <x v="6"/>
    <s v="RJ"/>
    <x v="0"/>
    <x v="0"/>
    <x v="0"/>
    <s v="NULL"/>
    <x v="0"/>
    <x v="5"/>
    <s v="NÃO"/>
    <s v="RJ"/>
    <s v="AGNÓSTICO/ATEU/SEM RELIGIÃO"/>
    <x v="3"/>
    <s v="NULL"/>
    <x v="0"/>
    <x v="3"/>
  </r>
  <r>
    <s v="94E8E444F89DE10B0E5C3A9487ECBE4F255E52372774D87B97BBE157AAFF451D"/>
    <x v="68"/>
    <s v="CASA DA VÍTIMA"/>
    <x v="2"/>
    <s v="HÁ MAIS DE SEIS MESES"/>
    <s v="VIOLÊNCIA CONTRA CIDADÃO, FAMÍLIA OU COMUNIDADE"/>
    <s v="OUTROS"/>
    <x v="0"/>
    <x v="4"/>
    <s v="RJ"/>
    <x v="0"/>
    <x v="0"/>
    <x v="2"/>
    <s v="NULL"/>
    <x v="2"/>
    <x v="0"/>
    <s v="NÃO INFORMADO"/>
    <s v="RJ"/>
    <s v="AGNÓSTICO/ATEU/SEM RELIGIÃO"/>
    <x v="1"/>
    <s v="NULL"/>
    <x v="2"/>
    <x v="3"/>
  </r>
  <r>
    <s v="94E8E444F89DE10B0E5C3A9487ECBE4F255E52372774D87B97BBE157AAFF451D"/>
    <x v="68"/>
    <s v="CASA DA VÍTIMA"/>
    <x v="2"/>
    <s v="HÁ MAIS DE SEIS MESES"/>
    <s v="VIOLÊNCIA CONTRA CIDADÃO, FAMÍLIA OU COMUNIDADE"/>
    <s v="OUTROS"/>
    <x v="0"/>
    <x v="4"/>
    <s v="RJ"/>
    <x v="0"/>
    <x v="0"/>
    <x v="2"/>
    <s v="NULL"/>
    <x v="2"/>
    <x v="0"/>
    <s v="NÃO INFORMADO"/>
    <s v="RJ"/>
    <s v="AGNÓSTICO/ATEU/SEM RELIGIÃO"/>
    <x v="1"/>
    <s v="NULL"/>
    <x v="0"/>
    <x v="3"/>
  </r>
  <r>
    <s v="C6BFCFDECA4A8807A6BCEC3F15188403A45B11F26882AADE5EB96438D0CD0F2A"/>
    <x v="69"/>
    <s v="OUTROS ESTABELECIMENTOS"/>
    <x v="4"/>
    <s v="HÁ MAIS DE UM ANO"/>
    <s v="VIOLÊNCIA CONTRA CIDADÃO, FAMÍLIA OU COMUNIDADE"/>
    <s v="OUTROS"/>
    <x v="1"/>
    <x v="5"/>
    <s v="MG"/>
    <x v="0"/>
    <x v="8"/>
    <x v="1"/>
    <s v="DEMAIS COMUNIDADES TRADICIONAIS"/>
    <x v="1"/>
    <x v="2"/>
    <s v="NÃO INFORMADO"/>
    <s v="DENUNCIANTE NÃO SOUBE INFORMAR"/>
    <s v="OUTRAS RELIGIOSIDADES CRISTÃS"/>
    <x v="1"/>
    <s v="NULL"/>
    <x v="0"/>
    <x v="3"/>
  </r>
  <r>
    <s v="20CFFD1CA2CC8990F7A74903F1584C999996A3EAFD4EAE2EC15E629D77DC3CA9"/>
    <x v="69"/>
    <s v="OUTROS ESTABELECIMENTOS"/>
    <x v="2"/>
    <s v="NÃO SABE INFORMAR"/>
    <s v="VIOLÊNCIA CONTRA CIDADÃO, FAMÍLIA OU COMUNIDADE"/>
    <s v="OUTROS"/>
    <x v="1"/>
    <x v="3"/>
    <s v="RJ"/>
    <x v="0"/>
    <x v="0"/>
    <x v="1"/>
    <s v="NULL"/>
    <x v="1"/>
    <x v="0"/>
    <s v="NÃO INFORMADO"/>
    <s v="RJ"/>
    <s v="AGNÓSTICO/ATEU/SEM RELIGIÃO"/>
    <x v="1"/>
    <s v="AGÊNCIA REGULADORA ? MUNICIPAL"/>
    <x v="2"/>
    <x v="3"/>
  </r>
  <r>
    <s v="20CFFD1CA2CC8990F7A74903F1584C999996A3EAFD4EAE2EC15E629D77DC3CA9"/>
    <x v="69"/>
    <s v="OUTROS ESTABELECIMENTOS"/>
    <x v="2"/>
    <s v="NÃO SABE INFORMAR"/>
    <s v="VIOLÊNCIA CONTRA CIDADÃO, FAMÍLIA OU COMUNIDADE"/>
    <s v="OUTROS"/>
    <x v="1"/>
    <x v="3"/>
    <s v="RJ"/>
    <x v="0"/>
    <x v="0"/>
    <x v="1"/>
    <s v="NULL"/>
    <x v="1"/>
    <x v="0"/>
    <s v="NÃO INFORMADO"/>
    <s v="RJ"/>
    <s v="AGNÓSTICO/ATEU/SEM RELIGIÃO"/>
    <x v="1"/>
    <s v="AGÊNCIA REGULADORA ? MUNICIPAL"/>
    <x v="1"/>
    <x v="3"/>
  </r>
  <r>
    <s v="806C029731D7BB5D51BA51F5D18E8BB3D24E59CC2AE6FB9C5C2B658120837481"/>
    <x v="69"/>
    <s v="OUTROS ESTABELECIMENTOS"/>
    <x v="2"/>
    <s v="NÃO SABE INFORMAR"/>
    <s v="VIOLÊNCIA CONTRA CIDADÃO, FAMÍLIA OU COMUNIDADE"/>
    <s v="OUTROS"/>
    <x v="0"/>
    <x v="4"/>
    <s v="RJ"/>
    <x v="0"/>
    <x v="0"/>
    <x v="0"/>
    <s v="NULL"/>
    <x v="2"/>
    <x v="4"/>
    <s v="NÃO"/>
    <s v="RJ"/>
    <s v="AGNÓSTICO/ATEU/SEM RELIGIÃO"/>
    <x v="2"/>
    <s v="NULL"/>
    <x v="0"/>
    <x v="3"/>
  </r>
  <r>
    <s v="61EE242E0CF5BD4E0311DD300C9508470F1F4CE52B88FD7F5BDBA3D3B15F2F17"/>
    <x v="69"/>
    <s v="OUTROS ESTABELECIMENTOS"/>
    <x v="2"/>
    <s v="HÁ MAIS DE CINCO ANOS"/>
    <s v="VIOLÊNCIA CONTRA CIDADÃO, FAMÍLIA OU COMUNIDADE"/>
    <s v="OUTROS"/>
    <x v="0"/>
    <x v="9"/>
    <s v="RJ"/>
    <x v="0"/>
    <x v="0"/>
    <x v="0"/>
    <s v="NULL"/>
    <x v="0"/>
    <x v="0"/>
    <s v="NÃO INFORMADO"/>
    <s v="RJ"/>
    <s v="AGNÓSTICO/ATEU/SEM RELIGIÃO"/>
    <x v="1"/>
    <s v="NULL"/>
    <x v="0"/>
    <x v="3"/>
  </r>
  <r>
    <s v="896D8B9C7AD32E8CA2D5F0318898AC83F3155205CB493B86376FE506E7C2AC6B"/>
    <x v="69"/>
    <s v="OUTROS ESTABELECIMENTOS"/>
    <x v="2"/>
    <s v="HÁ MAIS DE CINCO ANOS"/>
    <s v="VIOLÊNCIA CONTRA CIDADÃO, FAMÍLIA OU COMUNIDADE"/>
    <s v="OUTROS"/>
    <x v="0"/>
    <x v="9"/>
    <s v="RJ"/>
    <x v="0"/>
    <x v="0"/>
    <x v="0"/>
    <s v="NULL"/>
    <x v="2"/>
    <x v="0"/>
    <s v="NÃO INFORMADO"/>
    <s v="RJ"/>
    <s v="AGNÓSTICO/ATEU/SEM RELIGIÃO"/>
    <x v="1"/>
    <s v="NULL"/>
    <x v="1"/>
    <x v="3"/>
  </r>
  <r>
    <s v="61EE242E0CF5BD4E0311DD300C9508470F1F4CE52B88FD7F5BDBA3D3B15F2F17"/>
    <x v="69"/>
    <s v="OUTROS ESTABELECIMENTOS"/>
    <x v="2"/>
    <s v="HÁ MAIS DE CINCO ANOS"/>
    <s v="VIOLÊNCIA CONTRA CIDADÃO, FAMÍLIA OU COMUNIDADE"/>
    <s v="OUTROS"/>
    <x v="0"/>
    <x v="9"/>
    <s v="RJ"/>
    <x v="0"/>
    <x v="0"/>
    <x v="0"/>
    <s v="NULL"/>
    <x v="0"/>
    <x v="0"/>
    <s v="NÃO INFORMADO"/>
    <s v="RJ"/>
    <s v="AGNÓSTICO/ATEU/SEM RELIGIÃO"/>
    <x v="1"/>
    <s v="NULL"/>
    <x v="1"/>
    <x v="3"/>
  </r>
  <r>
    <s v="896D8B9C7AD32E8CA2D5F0318898AC83F3155205CB493B86376FE506E7C2AC6B"/>
    <x v="69"/>
    <s v="OUTROS ESTABELECIMENTOS"/>
    <x v="2"/>
    <s v="HÁ MAIS DE CINCO ANOS"/>
    <s v="VIOLÊNCIA CONTRA CIDADÃO, FAMÍLIA OU COMUNIDADE"/>
    <s v="OUTROS"/>
    <x v="0"/>
    <x v="9"/>
    <s v="RJ"/>
    <x v="0"/>
    <x v="0"/>
    <x v="0"/>
    <s v="NULL"/>
    <x v="2"/>
    <x v="0"/>
    <s v="NÃO INFORMADO"/>
    <s v="RJ"/>
    <s v="AGNÓSTICO/ATEU/SEM RELIGIÃO"/>
    <x v="1"/>
    <s v="NULL"/>
    <x v="0"/>
    <x v="3"/>
  </r>
  <r>
    <s v="61EE242E0CF5BD4E0311DD300C9508470F1F4CE52B88FD7F5BDBA3D3B15F2F17"/>
    <x v="69"/>
    <s v="OUTROS ESTABELECIMENTOS"/>
    <x v="2"/>
    <s v="HÁ MAIS DE CINCO ANOS"/>
    <s v="VIOLÊNCIA CONTRA CIDADÃO, FAMÍLIA OU COMUNIDADE"/>
    <s v="OUTROS"/>
    <x v="0"/>
    <x v="9"/>
    <s v="RJ"/>
    <x v="0"/>
    <x v="0"/>
    <x v="0"/>
    <s v="NULL"/>
    <x v="0"/>
    <x v="0"/>
    <s v="NÃO INFORMADO"/>
    <s v="RJ"/>
    <s v="AGNÓSTICO/ATEU/SEM RELIGIÃO"/>
    <x v="1"/>
    <s v="NULL"/>
    <x v="2"/>
    <x v="3"/>
  </r>
  <r>
    <s v="896D8B9C7AD32E8CA2D5F0318898AC83F3155205CB493B86376FE506E7C2AC6B"/>
    <x v="69"/>
    <s v="OUTROS ESTABELECIMENTOS"/>
    <x v="2"/>
    <s v="HÁ MAIS DE CINCO ANOS"/>
    <s v="VIOLÊNCIA CONTRA CIDADÃO, FAMÍLIA OU COMUNIDADE"/>
    <s v="OUTROS"/>
    <x v="0"/>
    <x v="9"/>
    <s v="RJ"/>
    <x v="0"/>
    <x v="0"/>
    <x v="0"/>
    <s v="NULL"/>
    <x v="2"/>
    <x v="0"/>
    <s v="NÃO INFORMADO"/>
    <s v="RJ"/>
    <s v="AGNÓSTICO/ATEU/SEM RELIGIÃO"/>
    <x v="1"/>
    <s v="NULL"/>
    <x v="2"/>
    <x v="3"/>
  </r>
  <r>
    <s v="1ED1D7DC54350D5073EB9EDF03556EC3D5FCE87034D466E543E0D056056AED5E"/>
    <x v="69"/>
    <s v="OUTROS ESTABELECIMENTOS"/>
    <x v="15"/>
    <s v="NÃO SE APLICA"/>
    <s v="VIOLÊNCIA CONTRA CIDADÃO, FAMÍLIA OU COMUNIDADE"/>
    <s v="DIRETOR(A) DE UNIDADE PRISIONAL"/>
    <x v="0"/>
    <x v="2"/>
    <s v="PR"/>
    <x v="0"/>
    <x v="0"/>
    <x v="2"/>
    <s v="NULL"/>
    <x v="1"/>
    <x v="0"/>
    <s v="NÃO INFORMADO"/>
    <s v="PR"/>
    <s v="AGNÓSTICO/ATEU/SEM RELIGIÃO"/>
    <x v="1"/>
    <s v="PODER EXECUTIVO EM GERAL ? ESTADUAL/DISTRITO FEDERAL"/>
    <x v="0"/>
    <x v="3"/>
  </r>
  <r>
    <s v="4952C3D56F169541161B75DE30FAC107344B0C564F3B055367FBBAE7F423EB49"/>
    <x v="70"/>
    <s v="CASA ONDE RESIDE A VÍTIMA E O SUSPEITO"/>
    <x v="2"/>
    <s v="HÁ MAIS DE CINCO ANOS"/>
    <s v="VIOLÊNCIA CONTRA CIDADÃO, FAMÍLIA OU COMUNIDADE"/>
    <s v="AVÔ(Ó)"/>
    <x v="0"/>
    <x v="6"/>
    <s v="RJ"/>
    <x v="0"/>
    <x v="3"/>
    <x v="0"/>
    <s v="NULL"/>
    <x v="2"/>
    <x v="1"/>
    <s v="NÃO"/>
    <s v="RJ"/>
    <s v="EVANGÉLICA"/>
    <x v="2"/>
    <s v="NULL"/>
    <x v="2"/>
    <x v="3"/>
  </r>
  <r>
    <s v="4952C3D56F169541161B75DE30FAC107344B0C564F3B055367FBBAE7F423EB49"/>
    <x v="70"/>
    <s v="CASA ONDE RESIDE A VÍTIMA E O SUSPEITO"/>
    <x v="2"/>
    <s v="HÁ MAIS DE CINCO ANOS"/>
    <s v="VIOLÊNCIA CONTRA CIDADÃO, FAMÍLIA OU COMUNIDADE"/>
    <s v="AVÔ(Ó)"/>
    <x v="0"/>
    <x v="6"/>
    <s v="RJ"/>
    <x v="0"/>
    <x v="3"/>
    <x v="0"/>
    <s v="NULL"/>
    <x v="2"/>
    <x v="1"/>
    <s v="NÃO"/>
    <s v="RJ"/>
    <s v="EVANGÉLICA"/>
    <x v="2"/>
    <s v="NULL"/>
    <x v="1"/>
    <x v="3"/>
  </r>
  <r>
    <s v="5616FAEFDB7AECA7F446F6668B61C959A0F1D2CC96055EE8ADACAE47EE9675E8"/>
    <x v="71"/>
    <s v="OUTROS ESTABELECIMENTOS"/>
    <x v="3"/>
    <s v="HÁ MAIS DE UM ANO"/>
    <s v="VIOLÊNCIA CONTRA CIDADÃO, FAMÍLIA OU COMUNIDADE"/>
    <s v="LÍDER RELIGIOSO(A)"/>
    <x v="0"/>
    <x v="3"/>
    <s v="BA"/>
    <x v="0"/>
    <x v="0"/>
    <x v="2"/>
    <s v="NULL"/>
    <x v="1"/>
    <x v="0"/>
    <s v="NÃO INFORMADO"/>
    <s v="BA"/>
    <s v="AGNÓSTICO/ATEU/SEM RELIGIÃO"/>
    <x v="1"/>
    <s v="OUTRAS ATIVIDADES DE SERVIÇOS"/>
    <x v="2"/>
    <x v="3"/>
  </r>
  <r>
    <s v="699BE190DD0843CADA4AC973B5EF43A205F7E54DF0166FE04061C71471940D5E"/>
    <x v="71"/>
    <s v="CASA DA VÍTIMA"/>
    <x v="2"/>
    <s v="HÁ MAIS DE CINCO ANOS"/>
    <s v="VIOLÊNCIA CONTRA CIDADÃO, FAMÍLIA OU COMUNIDADE"/>
    <s v="VIZINHO(A)"/>
    <x v="0"/>
    <x v="9"/>
    <s v="RJ"/>
    <x v="4"/>
    <x v="0"/>
    <x v="0"/>
    <s v="NULL"/>
    <x v="2"/>
    <x v="1"/>
    <s v="NÃO"/>
    <s v="RJ"/>
    <s v="AGNÓSTICO/ATEU/SEM RELIGIÃO"/>
    <x v="3"/>
    <s v="NULL"/>
    <x v="2"/>
    <x v="3"/>
  </r>
  <r>
    <s v="699BE190DD0843CADA4AC973B5EF43A205F7E54DF0166FE04061C71471940D5E"/>
    <x v="71"/>
    <s v="CASA DA VÍTIMA"/>
    <x v="2"/>
    <s v="HÁ MAIS DE CINCO ANOS"/>
    <s v="VIOLÊNCIA CONTRA CIDADÃO, FAMÍLIA OU COMUNIDADE"/>
    <s v="VIZINHO(A)"/>
    <x v="0"/>
    <x v="9"/>
    <s v="RJ"/>
    <x v="4"/>
    <x v="0"/>
    <x v="0"/>
    <s v="NULL"/>
    <x v="2"/>
    <x v="1"/>
    <s v="NÃO"/>
    <s v="RJ"/>
    <s v="AGNÓSTICO/ATEU/SEM RELIGIÃO"/>
    <x v="3"/>
    <s v="NULL"/>
    <x v="0"/>
    <x v="3"/>
  </r>
  <r>
    <s v="6786C2C2F6B97CD338F4D21DAA6A1E1FDF936A2DFCE50967E260ABE5FE22D2DB"/>
    <x v="71"/>
    <s v="CASA DA VÍTIMA"/>
    <x v="2"/>
    <s v="NÃO SABE INFORMAR"/>
    <s v="VIOLÊNCIA CONTRA CIDADÃO, FAMÍLIA OU COMUNIDADE"/>
    <s v="DESCONHECIDO(A)"/>
    <x v="0"/>
    <x v="9"/>
    <s v="RJ"/>
    <x v="0"/>
    <x v="0"/>
    <x v="0"/>
    <s v="NULL"/>
    <x v="1"/>
    <x v="0"/>
    <s v="NÃO INFORMADO"/>
    <s v="ATENDIMENTO INTERROMPIDO"/>
    <s v="AGNÓSTICO/ATEU/SEM RELIGIÃO"/>
    <x v="1"/>
    <s v="NULL"/>
    <x v="0"/>
    <x v="3"/>
  </r>
  <r>
    <s v="9A942B92B48462DD21013585F7EF48A4AF14718984E24802A285EC08232DD722"/>
    <x v="72"/>
    <s v="AMBIENTE VIRTUAL (NO ÂMBITO DA INTERNET)"/>
    <x v="12"/>
    <s v="NÃO SE APLICA"/>
    <s v="VIOLÊNCIA CONTRA CIDADÃO, FAMÍLIA OU COMUNIDADE"/>
    <s v="VIZINHO(A)"/>
    <x v="0"/>
    <x v="2"/>
    <s v="SC"/>
    <x v="0"/>
    <x v="0"/>
    <x v="2"/>
    <s v="NULL"/>
    <x v="2"/>
    <x v="8"/>
    <s v="NÃO"/>
    <s v="SC"/>
    <s v="AGNÓSTICO/ATEU/SEM RELIGIÃO"/>
    <x v="0"/>
    <s v="NULL"/>
    <x v="0"/>
    <x v="3"/>
  </r>
  <r>
    <s v="B5B7D4C2EECBBAED65F156A68C517B923FAF804908F465A3DA117B86265778AD"/>
    <x v="72"/>
    <s v="AMBIENTE VIRTUAL (NO ÂMBITO DA INTERNET)"/>
    <x v="12"/>
    <s v="NÃO SE APLICA"/>
    <s v="VIOLÊNCIA CONTRA CIDADÃO, FAMÍLIA OU COMUNIDADE"/>
    <s v="VIZINHO(A)"/>
    <x v="0"/>
    <x v="2"/>
    <s v="SC"/>
    <x v="0"/>
    <x v="0"/>
    <x v="2"/>
    <s v="NULL"/>
    <x v="2"/>
    <x v="1"/>
    <s v="NÃO"/>
    <s v="SC"/>
    <s v="AGNÓSTICO/ATEU/SEM RELIGIÃO"/>
    <x v="0"/>
    <s v="NULL"/>
    <x v="0"/>
    <x v="3"/>
  </r>
  <r>
    <s v="D63D734EEA686AA000D163BAC21373F9C67DE2F27F86749F6F54F8C03454A844"/>
    <x v="72"/>
    <s v="OUTROS ESTABELECIMENTOS"/>
    <x v="2"/>
    <s v="HÁ MAIS DE CINCO ANOS"/>
    <s v="VIOLÊNCIA CONTRA CIDADÃO, FAMÍLIA OU COMUNIDADE"/>
    <s v="OUTROS"/>
    <x v="0"/>
    <x v="4"/>
    <s v="RJ"/>
    <x v="0"/>
    <x v="3"/>
    <x v="0"/>
    <s v="NULL"/>
    <x v="0"/>
    <x v="1"/>
    <s v="NÃO"/>
    <s v="RJ"/>
    <s v="AGNÓSTICO/ATEU/SEM RELIGIÃO"/>
    <x v="1"/>
    <s v="NULL"/>
    <x v="0"/>
    <x v="3"/>
  </r>
  <r>
    <s v="9592F6567DB932B32B3236E8E648BA717C2858AF4F36E6EB605D3F69B52FCB9E"/>
    <x v="72"/>
    <s v="OUTROS ESTABELECIMENTOS"/>
    <x v="16"/>
    <s v="NÃO SE APLICA"/>
    <s v="VIOLÊNCIA CONTRA CIDADÃO, FAMÍLIA OU COMUNIDADE"/>
    <s v="OUTROS"/>
    <x v="0"/>
    <x v="6"/>
    <s v="RS"/>
    <x v="8"/>
    <x v="0"/>
    <x v="0"/>
    <s v="NULL"/>
    <x v="1"/>
    <x v="0"/>
    <s v="NÃO INFORMADO"/>
    <s v="RS"/>
    <s v="AGNÓSTICO/ATEU/SEM RELIGIÃO"/>
    <x v="1"/>
    <s v="OUTRAS ATIVIDADES DE SERVIÇOS"/>
    <x v="0"/>
    <x v="3"/>
  </r>
  <r>
    <s v="72EA509C7DE31198BC91D08C237A76E000B05001BDC87C66DDDC0B6DFB639514"/>
    <x v="73"/>
    <s v="OUTROS ESTABELECIMENTOS"/>
    <x v="19"/>
    <s v="HÁ MAIS DE UM ANO"/>
    <s v="VIOLÊNCIA CONTRA CIDADÃO, FAMÍLIA OU COMUNIDADE"/>
    <s v="OUTROS"/>
    <x v="1"/>
    <x v="5"/>
    <s v="PB"/>
    <x v="0"/>
    <x v="0"/>
    <x v="1"/>
    <s v="NULL"/>
    <x v="2"/>
    <x v="2"/>
    <s v="NÃO"/>
    <s v="PB"/>
    <s v="AGNÓSTICO/ATEU/SEM RELIGIÃO"/>
    <x v="0"/>
    <s v="NULL"/>
    <x v="0"/>
    <x v="3"/>
  </r>
  <r>
    <s v="8E173EAD479D24F4540FFAE3EED9FA048F90D9FD9325983D7F95D1BDB79EE8A3"/>
    <x v="74"/>
    <s v="OUTROS ESTABELECIMENTOS"/>
    <x v="21"/>
    <s v="NÃO SE APLICA"/>
    <s v="VIOLÊNCIA CONTRA CIDADÃO, FAMÍLIA OU COMUNIDADE"/>
    <s v="OUTROS"/>
    <x v="1"/>
    <x v="2"/>
    <s v="PI"/>
    <x v="0"/>
    <x v="2"/>
    <x v="1"/>
    <s v="NULL"/>
    <x v="1"/>
    <x v="0"/>
    <s v="NÃO INFORMADO"/>
    <s v="PI"/>
    <s v="AGNÓSTICO/ATEU/SEM RELIGIÃO"/>
    <x v="1"/>
    <s v="AGÊNCIA REGULADORA ? FEDERAL"/>
    <x v="2"/>
    <x v="3"/>
  </r>
  <r>
    <s v="17A8B5327185DCE6DDE6B2572B447BB91C1C91BEBDA9EA74C25859632317643F"/>
    <x v="74"/>
    <s v="OUTROS ESTABELECIMENTOS"/>
    <x v="9"/>
    <s v="HÁ MAIS DE SEIS MESES"/>
    <s v="VIOLÊNCIA CONTRA CIDADÃO, FAMÍLIA OU COMUNIDADE"/>
    <s v="COLEGA DE TRABALHO (MESMO NÍVEL HIERÁRQUICO)"/>
    <x v="0"/>
    <x v="5"/>
    <s v="SC"/>
    <x v="0"/>
    <x v="0"/>
    <x v="2"/>
    <s v="NULL"/>
    <x v="0"/>
    <x v="2"/>
    <s v="NÃO"/>
    <s v="SC"/>
    <s v="AGNÓSTICO/ATEU/SEM RELIGIÃO"/>
    <x v="0"/>
    <s v="NULL"/>
    <x v="2"/>
    <x v="3"/>
  </r>
  <r>
    <s v="17A8B5327185DCE6DDE6B2572B447BB91C1C91BEBDA9EA74C25859632317643F"/>
    <x v="74"/>
    <s v="OUTROS ESTABELECIMENTOS"/>
    <x v="9"/>
    <s v="HÁ MAIS DE SEIS MESES"/>
    <s v="VIOLÊNCIA CONTRA CIDADÃO, FAMÍLIA OU COMUNIDADE"/>
    <s v="COLEGA DE TRABALHO (MESMO NÍVEL HIERÁRQUICO)"/>
    <x v="0"/>
    <x v="5"/>
    <s v="SC"/>
    <x v="0"/>
    <x v="0"/>
    <x v="2"/>
    <s v="NULL"/>
    <x v="0"/>
    <x v="2"/>
    <s v="NÃO"/>
    <s v="SC"/>
    <s v="AGNÓSTICO/ATEU/SEM RELIGIÃO"/>
    <x v="0"/>
    <s v="NULL"/>
    <x v="1"/>
    <x v="3"/>
  </r>
  <r>
    <s v="AB92103CFC56B7E1B40E08C618F7B350BA658E086233AF5103D89D6E443EBE56"/>
    <x v="75"/>
    <s v="OUTROS ESTABELECIMENTOS"/>
    <x v="7"/>
    <s v="NÃO SE APLICA"/>
    <s v="VIOLÊNCIA CONTRA CIDADÃO, FAMÍLIA OU COMUNIDADE"/>
    <s v="DESCONHECIDO(A)"/>
    <x v="0"/>
    <x v="2"/>
    <s v="ES"/>
    <x v="0"/>
    <x v="3"/>
    <x v="2"/>
    <s v="NULL"/>
    <x v="0"/>
    <x v="0"/>
    <s v="NÃO INFORMADO"/>
    <s v="ES"/>
    <s v="AGNÓSTICO/ATEU/SEM RELIGIÃO"/>
    <x v="2"/>
    <s v="NULL"/>
    <x v="0"/>
    <x v="3"/>
  </r>
  <r>
    <s v="F08BC5C046EE84504368471E5437A105C46FCC691CD24F5AE503F797F3BE8234"/>
    <x v="76"/>
    <s v="AMBIENTE VIRTUAL (NO ÂMBITO DA INTERNET)"/>
    <x v="13"/>
    <s v="HÁ UMA SEMANA"/>
    <s v="VIOLÊNCIA CONTRA CIDADÃO, FAMÍLIA OU COMUNIDADE"/>
    <s v="OUTROS"/>
    <x v="1"/>
    <x v="3"/>
    <s v="PE"/>
    <x v="0"/>
    <x v="1"/>
    <x v="1"/>
    <s v="NULL"/>
    <x v="2"/>
    <x v="0"/>
    <s v="NÃO"/>
    <s v="PE"/>
    <s v="AGNÓSTICO/ATEU/SEM RELIGIÃO"/>
    <x v="0"/>
    <s v="NULL"/>
    <x v="0"/>
    <x v="3"/>
  </r>
  <r>
    <s v="3D61EB3FD8BD8A9F933769107260E9D833291DBE65254E48119DECF542830C06"/>
    <x v="77"/>
    <s v="CASA DA VÍTIMA"/>
    <x v="1"/>
    <s v="NÃO SE APLICA"/>
    <s v="VIOLÊNCIA CONTRA CIDADÃO, FAMÍLIA OU COMUNIDADE"/>
    <s v="SOGRO(A)"/>
    <x v="0"/>
    <x v="4"/>
    <s v="SP"/>
    <x v="9"/>
    <x v="3"/>
    <x v="0"/>
    <s v="NULL"/>
    <x v="0"/>
    <x v="8"/>
    <s v="NÃO INFORMADO"/>
    <s v="SP"/>
    <s v="EVANGÉLICA"/>
    <x v="0"/>
    <s v="NULL"/>
    <x v="2"/>
    <x v="3"/>
  </r>
  <r>
    <s v="3D61EB3FD8BD8A9F933769107260E9D833291DBE65254E48119DECF542830C06"/>
    <x v="77"/>
    <s v="CASA DA VÍTIMA"/>
    <x v="1"/>
    <s v="NÃO SE APLICA"/>
    <s v="VIOLÊNCIA CONTRA CIDADÃO, FAMÍLIA OU COMUNIDADE"/>
    <s v="SOGRO(A)"/>
    <x v="0"/>
    <x v="4"/>
    <s v="SP"/>
    <x v="9"/>
    <x v="3"/>
    <x v="0"/>
    <s v="NULL"/>
    <x v="0"/>
    <x v="8"/>
    <s v="NÃO INFORMADO"/>
    <s v="SP"/>
    <s v="EVANGÉLICA"/>
    <x v="0"/>
    <s v="NULL"/>
    <x v="0"/>
    <x v="3"/>
  </r>
  <r>
    <s v="BA429F759FA49F30C5E91947B62A756E079FA24E98DF9AE40F068F6333361907"/>
    <x v="77"/>
    <s v="CASA DA VÍTIMA"/>
    <x v="15"/>
    <s v="HÁ MAIS DE UM ANO"/>
    <s v="VIOLÊNCIA CONTRA CIDADÃO, FAMÍLIA OU COMUNIDADE"/>
    <s v="VIZINHO(A)"/>
    <x v="0"/>
    <x v="2"/>
    <s v="PR"/>
    <x v="3"/>
    <x v="3"/>
    <x v="0"/>
    <s v="NULL"/>
    <x v="2"/>
    <x v="7"/>
    <s v="NÃO"/>
    <s v="PR"/>
    <s v="AGNÓSTICO/ATEU/SEM RELIGIÃO"/>
    <x v="2"/>
    <s v="NULL"/>
    <x v="0"/>
    <x v="3"/>
  </r>
  <r>
    <s v="507EA2D1EB1B776A80C0E3A2584CC584C8FAA405235EC2456BBFBA3C280ABD0C"/>
    <x v="77"/>
    <s v="CASA DA VÍTIMA"/>
    <x v="22"/>
    <s v="HÁ MAIS DE SEIS MESES"/>
    <s v="VIOLÊNCIA CONTRA CIDADÃO, FAMÍLIA OU COMUNIDADE"/>
    <s v="VIZINHO(A)"/>
    <x v="0"/>
    <x v="3"/>
    <s v="AL"/>
    <x v="0"/>
    <x v="0"/>
    <x v="0"/>
    <s v="NULL"/>
    <x v="0"/>
    <x v="0"/>
    <s v="NÃO INFORMADO"/>
    <s v="AL"/>
    <s v="AGNÓSTICO/ATEU/SEM RELIGIÃO"/>
    <x v="1"/>
    <s v="NULL"/>
    <x v="0"/>
    <x v="3"/>
  </r>
  <r>
    <s v="581865504CCF9C2D7349052A28ACF06186784DACE7C81CA60BE41BE0F9E3F16A"/>
    <x v="77"/>
    <s v="CASA ONDE RESIDE A VÍTIMA E O SUSPEITO"/>
    <x v="1"/>
    <s v="HÁ MAIS DE CINCO ANOS"/>
    <s v="VIOLÊNCIA CONTRA CIDADÃO, FAMÍLIA OU COMUNIDADE"/>
    <s v="EMPREGADOR/PATRÃO (HIERARQUICAMENTE SUPERIOR)"/>
    <x v="1"/>
    <x v="8"/>
    <s v="SP"/>
    <x v="0"/>
    <x v="0"/>
    <x v="1"/>
    <s v="NULL"/>
    <x v="0"/>
    <x v="4"/>
    <s v="NÃO"/>
    <s v="SP"/>
    <s v="AGNÓSTICO/ATEU/SEM RELIGIÃO"/>
    <x v="2"/>
    <s v="NULL"/>
    <x v="0"/>
    <x v="3"/>
  </r>
  <r>
    <s v="68D03EC4FAB5363B081F7C4E0B7CDE8D301BE022351DD56339432991DE18F9B0"/>
    <x v="77"/>
    <s v="CASA ONDE RESIDE A VÍTIMA E O SUSPEITO"/>
    <x v="1"/>
    <s v="HÁ MAIS DE CINCO ANOS"/>
    <s v="VIOLÊNCIA CONTRA CIDADÃO, FAMÍLIA OU COMUNIDADE"/>
    <s v="EMPREGADOR/PATRÃO (HIERARQUICAMENTE SUPERIOR)"/>
    <x v="1"/>
    <x v="8"/>
    <s v="SP"/>
    <x v="0"/>
    <x v="0"/>
    <x v="1"/>
    <s v="NULL"/>
    <x v="1"/>
    <x v="0"/>
    <s v="NÃO INFORMADO"/>
    <s v="SP"/>
    <s v="AGNÓSTICO/ATEU/SEM RELIGIÃO"/>
    <x v="1"/>
    <s v="ALOJAMENTO E ALIMENTAÇÃO"/>
    <x v="0"/>
    <x v="3"/>
  </r>
  <r>
    <s v="EE6DAC0E2D20175A53197420922807AE405C4D2D8DA2D39A37D19DA97BC34E18"/>
    <x v="78"/>
    <s v="OUTRAS CASAS"/>
    <x v="4"/>
    <s v="HÁ UM MÊS"/>
    <s v="VIOLÊNCIA CONTRA CIDADÃO, FAMÍLIA OU COMUNIDADE"/>
    <s v="VIZINHO(A)"/>
    <x v="1"/>
    <x v="2"/>
    <s v="DENUNCIANTE NÃO SOUBE INFORMAR"/>
    <x v="0"/>
    <x v="0"/>
    <x v="1"/>
    <s v="NULL"/>
    <x v="2"/>
    <x v="0"/>
    <s v="NÃO INFORMADO"/>
    <s v="MG"/>
    <s v="AGNÓSTICO/ATEU/SEM RELIGIÃO"/>
    <x v="1"/>
    <s v="NULL"/>
    <x v="0"/>
    <x v="3"/>
  </r>
  <r>
    <s v="B6F4C6A365B7B520DCB3F84771552778FDD97E3537CD22DC5E112F2AFB57984E"/>
    <x v="78"/>
    <s v="CASA DA VÍTIMA"/>
    <x v="4"/>
    <s v="HÁ MAIS DE SEIS MESES"/>
    <s v="VIOLÊNCIA CONTRA CIDADÃO, FAMÍLIA OU COMUNIDADE"/>
    <s v="VIZINHO(A)"/>
    <x v="1"/>
    <x v="7"/>
    <s v="MG"/>
    <x v="0"/>
    <x v="0"/>
    <x v="0"/>
    <s v="NULL"/>
    <x v="2"/>
    <x v="1"/>
    <s v="NÃO INFORMADO"/>
    <s v="MG"/>
    <s v="AGNÓSTICO/ATEU/SEM RELIGIÃO"/>
    <x v="1"/>
    <s v="NULL"/>
    <x v="0"/>
    <x v="3"/>
  </r>
  <r>
    <s v="69727B8E817E9771C8111A618B7D2EB010F12CC65AA08BE798DC756067B6167C"/>
    <x v="78"/>
    <s v="OUTROS ESTABELECIMENTOS"/>
    <x v="4"/>
    <s v="NÃO SABE INFORMAR"/>
    <s v="VIOLÊNCIA CONTRA CIDADÃO, FAMÍLIA OU COMUNIDADE"/>
    <s v="VIZINHO(A)"/>
    <x v="0"/>
    <x v="0"/>
    <s v="MG"/>
    <x v="0"/>
    <x v="6"/>
    <x v="2"/>
    <s v="NULL"/>
    <x v="2"/>
    <x v="0"/>
    <s v="NÃO INFORMADO"/>
    <s v="MG"/>
    <s v="AGNÓSTICO/ATEU/SEM RELIGIÃO"/>
    <x v="1"/>
    <s v="NULL"/>
    <x v="2"/>
    <x v="3"/>
  </r>
  <r>
    <s v="69727B8E817E9771C8111A618B7D2EB010F12CC65AA08BE798DC756067B6167C"/>
    <x v="78"/>
    <s v="OUTROS ESTABELECIMENTOS"/>
    <x v="4"/>
    <s v="NÃO SABE INFORMAR"/>
    <s v="VIOLÊNCIA CONTRA CIDADÃO, FAMÍLIA OU COMUNIDADE"/>
    <s v="VIZINHO(A)"/>
    <x v="0"/>
    <x v="0"/>
    <s v="MG"/>
    <x v="0"/>
    <x v="6"/>
    <x v="2"/>
    <s v="NULL"/>
    <x v="2"/>
    <x v="0"/>
    <s v="NÃO INFORMADO"/>
    <s v="MG"/>
    <s v="AGNÓSTICO/ATEU/SEM RELIGIÃO"/>
    <x v="1"/>
    <s v="NULL"/>
    <x v="0"/>
    <x v="3"/>
  </r>
  <r>
    <s v="69727B8E817E9771C8111A618B7D2EB010F12CC65AA08BE798DC756067B6167C"/>
    <x v="78"/>
    <s v="OUTROS ESTABELECIMENTOS"/>
    <x v="4"/>
    <s v="NÃO SABE INFORMAR"/>
    <s v="VIOLÊNCIA CONTRA CIDADÃO, FAMÍLIA OU COMUNIDADE"/>
    <s v="VIZINHO(A)"/>
    <x v="0"/>
    <x v="0"/>
    <s v="MG"/>
    <x v="0"/>
    <x v="6"/>
    <x v="2"/>
    <s v="NULL"/>
    <x v="2"/>
    <x v="0"/>
    <s v="NÃO"/>
    <s v="MG"/>
    <s v="AGNÓSTICO/ATEU/SEM RELIGIÃO"/>
    <x v="1"/>
    <s v="NULL"/>
    <x v="0"/>
    <x v="3"/>
  </r>
  <r>
    <s v="69727B8E817E9771C8111A618B7D2EB010F12CC65AA08BE798DC756067B6167C"/>
    <x v="78"/>
    <s v="OUTROS ESTABELECIMENTOS"/>
    <x v="4"/>
    <s v="NÃO SABE INFORMAR"/>
    <s v="VIOLÊNCIA CONTRA CIDADÃO, FAMÍLIA OU COMUNIDADE"/>
    <s v="VIZINHO(A)"/>
    <x v="0"/>
    <x v="0"/>
    <s v="MG"/>
    <x v="0"/>
    <x v="6"/>
    <x v="2"/>
    <s v="NULL"/>
    <x v="2"/>
    <x v="0"/>
    <s v="NÃO"/>
    <s v="MG"/>
    <s v="AGNÓSTICO/ATEU/SEM RELIGIÃO"/>
    <x v="1"/>
    <s v="NULL"/>
    <x v="2"/>
    <x v="3"/>
  </r>
  <r>
    <s v="13AAAD7EC166DEF63870D5E267073DBF0D567537FB35BC2092917D688DC9BDF4"/>
    <x v="78"/>
    <s v="OUTROS ESTABELECIMENTOS"/>
    <x v="4"/>
    <s v="HÁ MAIS DE UM ANO"/>
    <s v="VIOLÊNCIA CONTRA CIDADÃO, FAMÍLIA OU COMUNIDADE"/>
    <s v="VIZINHO(A)"/>
    <x v="0"/>
    <x v="0"/>
    <s v="MG"/>
    <x v="0"/>
    <x v="3"/>
    <x v="2"/>
    <s v="NULL"/>
    <x v="2"/>
    <x v="1"/>
    <s v="NÃO"/>
    <s v="MG"/>
    <s v="AGNÓSTICO/ATEU/SEM RELIGIÃO"/>
    <x v="0"/>
    <s v="NULL"/>
    <x v="0"/>
    <x v="3"/>
  </r>
  <r>
    <s v="B1E25F97C2C60584FFF3B7F6CF7F3F8B38310D1657E88D1D28E0102A778A310A"/>
    <x v="78"/>
    <s v="OUTROS ESTABELECIMENTOS"/>
    <x v="4"/>
    <s v="HÁ MAIS DE UM ANO"/>
    <s v="VIOLÊNCIA CONTRA CIDADÃO, FAMÍLIA OU COMUNIDADE"/>
    <s v="VIZINHO(A)"/>
    <x v="1"/>
    <x v="7"/>
    <s v="MG"/>
    <x v="0"/>
    <x v="3"/>
    <x v="1"/>
    <s v="NULL"/>
    <x v="2"/>
    <x v="1"/>
    <s v="NÃO"/>
    <s v="MG"/>
    <s v="AGNÓSTICO/ATEU/SEM RELIGIÃO"/>
    <x v="0"/>
    <s v="NULL"/>
    <x v="0"/>
    <x v="3"/>
  </r>
  <r>
    <s v="B1E25F97C2C60584FFF3B7F6CF7F3F8B38310D1657E88D1D28E0102A778A310A"/>
    <x v="78"/>
    <s v="OUTROS ESTABELECIMENTOS"/>
    <x v="4"/>
    <s v="HÁ MAIS DE UM ANO"/>
    <s v="VIOLÊNCIA CONTRA CIDADÃO, FAMÍLIA OU COMUNIDADE"/>
    <s v="VIZINHO(A)"/>
    <x v="1"/>
    <x v="7"/>
    <s v="MG"/>
    <x v="0"/>
    <x v="3"/>
    <x v="1"/>
    <s v="NULL"/>
    <x v="2"/>
    <x v="5"/>
    <s v="NÃO"/>
    <s v="MG"/>
    <s v="AGNÓSTICO/ATEU/SEM RELIGIÃO"/>
    <x v="0"/>
    <s v="NULL"/>
    <x v="0"/>
    <x v="3"/>
  </r>
  <r>
    <s v="13AAAD7EC166DEF63870D5E267073DBF0D567537FB35BC2092917D688DC9BDF4"/>
    <x v="78"/>
    <s v="OUTROS ESTABELECIMENTOS"/>
    <x v="4"/>
    <s v="HÁ MAIS DE UM ANO"/>
    <s v="VIOLÊNCIA CONTRA CIDADÃO, FAMÍLIA OU COMUNIDADE"/>
    <s v="VIZINHO(A)"/>
    <x v="0"/>
    <x v="0"/>
    <s v="MG"/>
    <x v="0"/>
    <x v="3"/>
    <x v="2"/>
    <s v="NULL"/>
    <x v="2"/>
    <x v="5"/>
    <s v="NÃO"/>
    <s v="MG"/>
    <s v="AGNÓSTICO/ATEU/SEM RELIGIÃO"/>
    <x v="0"/>
    <s v="NULL"/>
    <x v="0"/>
    <x v="3"/>
  </r>
  <r>
    <s v="F7BD9F1E8580C71C2B0AFABF9C5EA4D8D88CA3FC390F593516A7C5631149C590"/>
    <x v="78"/>
    <s v="CASA DO SUSPEITO"/>
    <x v="3"/>
    <s v="NÃO SABE INFORMAR"/>
    <s v="VIOLÊNCIA CONTRA CIDADÃO, FAMÍLIA OU COMUNIDADE"/>
    <s v="MÃE"/>
    <x v="0"/>
    <x v="3"/>
    <s v="BA"/>
    <x v="0"/>
    <x v="0"/>
    <x v="3"/>
    <s v="NULL"/>
    <x v="2"/>
    <x v="1"/>
    <s v="NÃO"/>
    <s v="BA"/>
    <s v="AGNÓSTICO/ATEU/SEM RELIGIÃO"/>
    <x v="2"/>
    <s v="NULL"/>
    <x v="1"/>
    <x v="3"/>
  </r>
  <r>
    <s v="87201C324EA924CCA90BF4F54C89AE0F12700E4089FA56DDCA05959343B67E06"/>
    <x v="78"/>
    <s v="OUTROS ESTABELECIMENTOS"/>
    <x v="4"/>
    <s v="HÁ MAIS DE SEIS MESES"/>
    <s v="VIOLÊNCIA CONTRA CIDADÃO, FAMÍLIA OU COMUNIDADE"/>
    <s v="OUTROS"/>
    <x v="0"/>
    <x v="5"/>
    <s v="MG"/>
    <x v="0"/>
    <x v="3"/>
    <x v="2"/>
    <s v="NULL"/>
    <x v="2"/>
    <x v="4"/>
    <s v="NÃO"/>
    <s v="MG"/>
    <s v="AGNÓSTICO/ATEU/SEM RELIGIÃO"/>
    <x v="0"/>
    <s v="NULL"/>
    <x v="2"/>
    <x v="3"/>
  </r>
  <r>
    <s v="87201C324EA924CCA90BF4F54C89AE0F12700E4089FA56DDCA05959343B67E06"/>
    <x v="78"/>
    <s v="OUTROS ESTABELECIMENTOS"/>
    <x v="4"/>
    <s v="HÁ MAIS DE SEIS MESES"/>
    <s v="VIOLÊNCIA CONTRA CIDADÃO, FAMÍLIA OU COMUNIDADE"/>
    <s v="OUTROS"/>
    <x v="0"/>
    <x v="5"/>
    <s v="MG"/>
    <x v="0"/>
    <x v="3"/>
    <x v="2"/>
    <s v="NULL"/>
    <x v="2"/>
    <x v="1"/>
    <s v="NÃO"/>
    <s v="MG"/>
    <s v="AGNÓSTICO/ATEU/SEM RELIGIÃO"/>
    <x v="0"/>
    <s v="NULL"/>
    <x v="2"/>
    <x v="3"/>
  </r>
  <r>
    <s v="18BECD4F93CDF9757E3A16BA0464E881A22D21C2D1B85533C812F7B65B903E00"/>
    <x v="78"/>
    <s v="OUTROS ESTABELECIMENTOS"/>
    <x v="4"/>
    <s v="HÁ MAIS DE UM ANO"/>
    <s v="VIOLÊNCIA CONTRA CIDADÃO, FAMÍLIA OU COMUNIDADE"/>
    <s v="VIZINHO(A)"/>
    <x v="1"/>
    <x v="3"/>
    <s v="MG"/>
    <x v="0"/>
    <x v="0"/>
    <x v="1"/>
    <s v="NULL"/>
    <x v="2"/>
    <x v="2"/>
    <s v="NÃO"/>
    <s v="MG"/>
    <s v="AGNÓSTICO/ATEU/SEM RELIGIÃO"/>
    <x v="0"/>
    <s v="NULL"/>
    <x v="0"/>
    <x v="3"/>
  </r>
  <r>
    <s v="7593A8498E9D43BC147FEF704892E08F3E5CE4560B44DA998EDFA6A299E35253"/>
    <x v="78"/>
    <s v="OUTROS ESTABELECIMENTOS"/>
    <x v="4"/>
    <s v="HÁ MAIS DE UM ANO"/>
    <s v="VIOLÊNCIA CONTRA CIDADÃO, FAMÍLIA OU COMUNIDADE"/>
    <s v="VIZINHO(A)"/>
    <x v="0"/>
    <x v="7"/>
    <s v="MG"/>
    <x v="0"/>
    <x v="0"/>
    <x v="2"/>
    <s v="NULL"/>
    <x v="2"/>
    <x v="0"/>
    <s v="NÃO INFORMADO"/>
    <s v="MG"/>
    <s v="AGNÓSTICO/ATEU/SEM RELIGIÃO"/>
    <x v="1"/>
    <s v="NULL"/>
    <x v="2"/>
    <x v="3"/>
  </r>
  <r>
    <s v="7593A8498E9D43BC147FEF704892E08F3E5CE4560B44DA998EDFA6A299E35253"/>
    <x v="78"/>
    <s v="OUTROS ESTABELECIMENTOS"/>
    <x v="4"/>
    <s v="HÁ MAIS DE UM ANO"/>
    <s v="VIOLÊNCIA CONTRA CIDADÃO, FAMÍLIA OU COMUNIDADE"/>
    <s v="VIZINHO(A)"/>
    <x v="0"/>
    <x v="7"/>
    <s v="MG"/>
    <x v="0"/>
    <x v="0"/>
    <x v="2"/>
    <s v="NULL"/>
    <x v="2"/>
    <x v="0"/>
    <s v="NÃO INFORMADO"/>
    <s v="MG"/>
    <s v="AGNÓSTICO/ATEU/SEM RELIGIÃO"/>
    <x v="1"/>
    <s v="NULL"/>
    <x v="0"/>
    <x v="3"/>
  </r>
  <r>
    <s v="88D7FD77FE8B31797A9A175C91CF6D00C9043682EE498882C71F6CC15B4B9E52"/>
    <x v="78"/>
    <s v="OUTROS ESTABELECIMENTOS"/>
    <x v="4"/>
    <s v="HÁ MAIS DE SEIS MESES"/>
    <s v="VIOLÊNCIA CONTRA CIDADÃO, FAMÍLIA OU COMUNIDADE"/>
    <s v="VIZINHO(A)"/>
    <x v="1"/>
    <x v="5"/>
    <s v="DENUNCIANTE NÃO SOUBE INFORMAR"/>
    <x v="0"/>
    <x v="0"/>
    <x v="1"/>
    <s v="NULL"/>
    <x v="1"/>
    <x v="0"/>
    <s v="NÃO INFORMADO"/>
    <s v="MG"/>
    <s v="AGNÓSTICO/ATEU/SEM RELIGIÃO"/>
    <x v="1"/>
    <s v="NULL"/>
    <x v="0"/>
    <x v="3"/>
  </r>
  <r>
    <s v="9E0BEE922F093EBB82C02580448F86938F0FB83A5B5AF1F89DC389D14BA8A122"/>
    <x v="78"/>
    <s v="CASA DA VÍTIMA"/>
    <x v="7"/>
    <s v="HÁ UM MÊS"/>
    <s v="VIOLÊNCIA CONTRA CIDADÃO, FAMÍLIA OU COMUNIDADE"/>
    <s v="OUTROS"/>
    <x v="0"/>
    <x v="7"/>
    <s v="ES"/>
    <x v="0"/>
    <x v="0"/>
    <x v="3"/>
    <s v="NULL"/>
    <x v="0"/>
    <x v="2"/>
    <s v="NÃO"/>
    <s v="ES"/>
    <s v="AGNÓSTICO/ATEU/SEM RELIGIÃO"/>
    <x v="0"/>
    <s v="NULL"/>
    <x v="2"/>
    <x v="3"/>
  </r>
  <r>
    <s v="A8F14391735488C39BADF89D31360F27FF0162692CEDAE9A131553DCCB402817"/>
    <x v="78"/>
    <s v="OUTROS ESTABELECIMENTOS"/>
    <x v="4"/>
    <s v="HÁ MAIS DE SEIS MESES"/>
    <s v="VIOLÊNCIA CONTRA CIDADÃO, FAMÍLIA OU COMUNIDADE"/>
    <s v="VIZINHO(A)"/>
    <x v="0"/>
    <x v="3"/>
    <s v="MG"/>
    <x v="0"/>
    <x v="3"/>
    <x v="3"/>
    <s v="NULL"/>
    <x v="2"/>
    <x v="0"/>
    <s v="NÃO"/>
    <s v="MG"/>
    <s v="AGNÓSTICO/ATEU/SEM RELIGIÃO"/>
    <x v="1"/>
    <s v="NULL"/>
    <x v="2"/>
    <x v="3"/>
  </r>
  <r>
    <s v="A8F14391735488C39BADF89D31360F27FF0162692CEDAE9A131553DCCB402817"/>
    <x v="78"/>
    <s v="OUTROS ESTABELECIMENTOS"/>
    <x v="4"/>
    <s v="HÁ MAIS DE SEIS MESES"/>
    <s v="VIOLÊNCIA CONTRA CIDADÃO, FAMÍLIA OU COMUNIDADE"/>
    <s v="VIZINHO(A)"/>
    <x v="0"/>
    <x v="3"/>
    <s v="MG"/>
    <x v="0"/>
    <x v="3"/>
    <x v="3"/>
    <s v="NULL"/>
    <x v="2"/>
    <x v="0"/>
    <s v="NÃO"/>
    <s v="MG"/>
    <s v="AGNÓSTICO/ATEU/SEM RELIGIÃO"/>
    <x v="1"/>
    <s v="NULL"/>
    <x v="0"/>
    <x v="3"/>
  </r>
  <r>
    <s v="33FE6787E45169CF8DE9B80545E5D562FF8C34EADC54FBB4FC003E084A37599C"/>
    <x v="79"/>
    <s v="OUTROS ESTABELECIMENTOS"/>
    <x v="13"/>
    <s v="HÁ UMA SEMANA"/>
    <s v="VIOLÊNCIA CONTRA CIDADÃO, FAMÍLIA OU COMUNIDADE"/>
    <s v="DIRETOR(A) DE UNIDADE PRISIONAL"/>
    <x v="1"/>
    <x v="1"/>
    <s v="DENUNCIANTE NÃO SOUBE INFORMAR"/>
    <x v="0"/>
    <x v="0"/>
    <x v="1"/>
    <s v="NULL"/>
    <x v="1"/>
    <x v="0"/>
    <s v="NÃO INFORMADO"/>
    <s v="PE"/>
    <s v="AGNÓSTICO/ATEU/SEM RELIGIÃO"/>
    <x v="1"/>
    <s v="SEGURANÇA PÚBLICA, FORÇAS ARMADAS, DEFESA CIVIL, BOMBEIROS E ASSEMELHADOS ? ESTADUAL/DISTRITO FEDERAL"/>
    <x v="0"/>
    <x v="3"/>
  </r>
  <r>
    <s v="CBEC99B18FCFD09BD8C9E5454BB3A945F8F3F16175E30530F433C0A726534038"/>
    <x v="79"/>
    <s v="CASA DO SUSPEITO"/>
    <x v="3"/>
    <s v="HÁ MAIS DE CINCO ANOS"/>
    <s v="VIOLÊNCIA CONTRA CIDADÃO, FAMÍLIA OU COMUNIDADE"/>
    <s v="MÃE"/>
    <x v="0"/>
    <x v="3"/>
    <s v="BA"/>
    <x v="2"/>
    <x v="0"/>
    <x v="3"/>
    <s v="NULL"/>
    <x v="2"/>
    <x v="8"/>
    <s v="NÃO"/>
    <s v="BA"/>
    <s v="AGNÓSTICO/ATEU/SEM RELIGIÃO"/>
    <x v="2"/>
    <s v="NULL"/>
    <x v="2"/>
    <x v="3"/>
  </r>
  <r>
    <s v="7C94408D01C40D7E25900DC29AAD7DF5215CBF73E7F96AD309B31199F7C62421"/>
    <x v="79"/>
    <s v="OUTROS ESTABELECIMENTOS"/>
    <x v="4"/>
    <s v="HÁ MAIS DE SEIS MESES"/>
    <s v="VIOLÊNCIA CONTRA CIDADÃO, FAMÍLIA OU COMUNIDADE"/>
    <s v="DESCONHECIDO(A)"/>
    <x v="1"/>
    <x v="4"/>
    <s v="MG"/>
    <x v="0"/>
    <x v="0"/>
    <x v="1"/>
    <s v="NULL"/>
    <x v="2"/>
    <x v="0"/>
    <s v="NÃO INFORMADO"/>
    <s v="MG"/>
    <s v="AGNÓSTICO/ATEU/SEM RELIGIÃO"/>
    <x v="1"/>
    <s v="NULL"/>
    <x v="1"/>
    <x v="3"/>
  </r>
  <r>
    <s v="7C94408D01C40D7E25900DC29AAD7DF5215CBF73E7F96AD309B31199F7C62421"/>
    <x v="79"/>
    <s v="OUTROS ESTABELECIMENTOS"/>
    <x v="4"/>
    <s v="HÁ MAIS DE SEIS MESES"/>
    <s v="VIOLÊNCIA CONTRA CIDADÃO, FAMÍLIA OU COMUNIDADE"/>
    <s v="DESCONHECIDO(A)"/>
    <x v="1"/>
    <x v="4"/>
    <s v="MG"/>
    <x v="0"/>
    <x v="0"/>
    <x v="1"/>
    <s v="NULL"/>
    <x v="2"/>
    <x v="0"/>
    <s v="NÃO INFORMADO"/>
    <s v="MG"/>
    <s v="AGNÓSTICO/ATEU/SEM RELIGIÃO"/>
    <x v="1"/>
    <s v="NULL"/>
    <x v="0"/>
    <x v="3"/>
  </r>
  <r>
    <s v="7C94408D01C40D7E25900DC29AAD7DF5215CBF73E7F96AD309B31199F7C62421"/>
    <x v="79"/>
    <s v="OUTROS ESTABELECIMENTOS"/>
    <x v="4"/>
    <s v="HÁ MAIS DE SEIS MESES"/>
    <s v="VIOLÊNCIA CONTRA CIDADÃO, FAMÍLIA OU COMUNIDADE"/>
    <s v="DESCONHECIDO(A)"/>
    <x v="1"/>
    <x v="4"/>
    <s v="MG"/>
    <x v="0"/>
    <x v="0"/>
    <x v="1"/>
    <s v="NULL"/>
    <x v="2"/>
    <x v="0"/>
    <s v="NÃO INFORMADO"/>
    <s v="MG"/>
    <s v="AGNÓSTICO/ATEU/SEM RELIGIÃO"/>
    <x v="1"/>
    <s v="NULL"/>
    <x v="2"/>
    <x v="3"/>
  </r>
  <r>
    <s v="160358985866680D8BD21F81F5EB2C24E16808F9C3BD61F9501D27292274F824"/>
    <x v="79"/>
    <s v="OUTROS ESTABELECIMENTOS"/>
    <x v="19"/>
    <s v="NÃO SE APLICA"/>
    <s v="VIOLÊNCIA CONTRA CIDADÃO, FAMÍLIA OU COMUNIDADE"/>
    <s v="OUTROS"/>
    <x v="0"/>
    <x v="3"/>
    <s v="PB"/>
    <x v="0"/>
    <x v="0"/>
    <x v="1"/>
    <s v="NULL"/>
    <x v="1"/>
    <x v="0"/>
    <s v="NÃO INFORMADO"/>
    <s v="PB"/>
    <s v="AGNÓSTICO/ATEU/SEM RELIGIÃO"/>
    <x v="1"/>
    <s v="DEFENSORIA PÚBLICA - ESTADUAL"/>
    <x v="1"/>
    <x v="3"/>
  </r>
  <r>
    <s v="96F563AA039DEECCED5BE7A02E6D70105F0938F571B6459D2EF6384C03A85663"/>
    <x v="79"/>
    <s v="AMBIENTE VIRTUAL (NO ÂMBITO DA INTERNET)"/>
    <x v="1"/>
    <s v="HÁ UMA SEMANA"/>
    <s v="VIOLÊNCIA CONTRA CIDADÃO, FAMÍLIA OU COMUNIDADE"/>
    <s v="DESCONHECIDO(A)"/>
    <x v="0"/>
    <x v="5"/>
    <s v="SP"/>
    <x v="8"/>
    <x v="3"/>
    <x v="2"/>
    <s v="NULL"/>
    <x v="2"/>
    <x v="2"/>
    <s v="NÃO"/>
    <s v="SP"/>
    <s v="AGNÓSTICO/ATEU/SEM RELIGIÃO"/>
    <x v="0"/>
    <s v="NULL"/>
    <x v="2"/>
    <x v="3"/>
  </r>
  <r>
    <s v="6572AC4D6DC1440E54D9D5FC75839BD328F4032BDEFEAAAF506BB13230976353"/>
    <x v="79"/>
    <s v="CASA ONDE RESIDE A VÍTIMA E O SUSPEITO"/>
    <x v="1"/>
    <s v="HÁ MAIS DE SEIS MESES"/>
    <s v="VIOLÊNCIA CONTRA CIDADÃO, FAMÍLIA OU COMUNIDADE"/>
    <s v="SOBRINHO(A)"/>
    <x v="1"/>
    <x v="0"/>
    <s v="SP"/>
    <x v="0"/>
    <x v="0"/>
    <x v="1"/>
    <s v="NULL"/>
    <x v="2"/>
    <x v="3"/>
    <s v="NÃO"/>
    <s v="SP"/>
    <s v="AGNÓSTICO/ATEU/SEM RELIGIÃO"/>
    <x v="2"/>
    <s v="NULL"/>
    <x v="0"/>
    <x v="3"/>
  </r>
  <r>
    <s v="EE1015C3983933A4BE2307C540B83291DF24C040508F9165AFFD7670492F34F1"/>
    <x v="80"/>
    <s v="CASA DA VÍTIMA"/>
    <x v="4"/>
    <s v="HÁ MAIS DE UM ANO"/>
    <s v="VIOLÊNCIA CONTRA CIDADÃO, FAMÍLIA OU COMUNIDADE"/>
    <s v="OUTROS"/>
    <x v="0"/>
    <x v="0"/>
    <s v="MG"/>
    <x v="0"/>
    <x v="3"/>
    <x v="0"/>
    <s v="NULL"/>
    <x v="1"/>
    <x v="0"/>
    <s v="NÃO INFORMADO"/>
    <s v="MG"/>
    <s v="AGNÓSTICO/ATEU/SEM RELIGIÃO"/>
    <x v="1"/>
    <s v="PODER EXECUTIVO EM GERAL - MUNICIPAL"/>
    <x v="1"/>
    <x v="3"/>
  </r>
  <r>
    <s v="EE1015C3983933A4BE2307C540B83291DF24C040508F9165AFFD7670492F34F1"/>
    <x v="80"/>
    <s v="CASA DA VÍTIMA"/>
    <x v="4"/>
    <s v="HÁ MAIS DE UM ANO"/>
    <s v="VIOLÊNCIA CONTRA CIDADÃO, FAMÍLIA OU COMUNIDADE"/>
    <s v="OUTROS"/>
    <x v="0"/>
    <x v="0"/>
    <s v="MG"/>
    <x v="0"/>
    <x v="3"/>
    <x v="0"/>
    <s v="NULL"/>
    <x v="1"/>
    <x v="0"/>
    <s v="NÃO INFORMADO"/>
    <s v="MG"/>
    <s v="AGNÓSTICO/ATEU/SEM RELIGIÃO"/>
    <x v="1"/>
    <s v="PODER EXECUTIVO EM GERAL - MUNICIPAL"/>
    <x v="0"/>
    <x v="3"/>
  </r>
  <r>
    <s v="C7A0CE74176C8A39E4713E0CEE2B9E6F43B336F67F5709D8AB2D9DAAD9C8B22E"/>
    <x v="81"/>
    <s v="CASA DA VÍTIMA"/>
    <x v="12"/>
    <s v="HÁ MAIS DE UM ANO"/>
    <s v="VIOLÊNCIA CONTRA CIDADÃO, FAMÍLIA OU COMUNIDADE"/>
    <s v="NÃO SABE INFORMAR"/>
    <x v="0"/>
    <x v="4"/>
    <s v="DENUNCIANTE NÃO SOUBE INFORMAR"/>
    <x v="0"/>
    <x v="0"/>
    <x v="1"/>
    <s v="NULL"/>
    <x v="0"/>
    <x v="0"/>
    <s v="NÃO INFORMADO"/>
    <s v="DENUNCIANTE NÃO SOUBE INFORMAR"/>
    <s v="AGNÓSTICO/ATEU/SEM RELIGIÃO"/>
    <x v="1"/>
    <s v="NULL"/>
    <x v="2"/>
    <x v="3"/>
  </r>
  <r>
    <s v="5526AE673A0F1726527AE91AEF45024EDFABDFE695B58E05D2F1FE4652A37430"/>
    <x v="81"/>
    <s v="CASA DA VÍTIMA"/>
    <x v="12"/>
    <s v="HÁ MAIS DE UM ANO"/>
    <s v="VIOLÊNCIA CONTRA CIDADÃO, FAMÍLIA OU COMUNIDADE"/>
    <s v="NÃO SABE INFORMAR"/>
    <x v="0"/>
    <x v="4"/>
    <s v="DENUNCIANTE NÃO SOUBE INFORMAR"/>
    <x v="0"/>
    <x v="0"/>
    <x v="1"/>
    <s v="NULL"/>
    <x v="0"/>
    <x v="0"/>
    <s v="NÃO"/>
    <s v="DENUNCIANTE NÃO SOUBE INFORMAR"/>
    <s v="AGNÓSTICO/ATEU/SEM RELIGIÃO"/>
    <x v="1"/>
    <s v="NULL"/>
    <x v="2"/>
    <x v="3"/>
  </r>
  <r>
    <s v="A6E238F46C50A90EFBF72BD119701E9EDE2C98556407FD37EDBE23E3B364F481"/>
    <x v="81"/>
    <s v="CASA DA VÍTIMA"/>
    <x v="12"/>
    <s v="HÁ MAIS DE UM ANO"/>
    <s v="VIOLÊNCIA CONTRA CIDADÃO, FAMÍLIA OU COMUNIDADE"/>
    <s v="NÃO SABE INFORMAR"/>
    <x v="0"/>
    <x v="4"/>
    <s v="DENUNCIANTE NÃO SOUBE INFORMAR"/>
    <x v="0"/>
    <x v="0"/>
    <x v="1"/>
    <s v="NULL"/>
    <x v="0"/>
    <x v="0"/>
    <s v="NÃO INFORMADO"/>
    <s v="SP"/>
    <s v="AGNÓSTICO/ATEU/SEM RELIGIÃO"/>
    <x v="1"/>
    <s v="NULL"/>
    <x v="2"/>
    <x v="3"/>
  </r>
  <r>
    <s v="C9C91C9CB62584BD7A64262A866433271150D44CEB4EC4678342EF982B022087"/>
    <x v="81"/>
    <s v="CASA DA VÍTIMA"/>
    <x v="12"/>
    <s v="HÁ MAIS DE UM ANO"/>
    <s v="VIOLÊNCIA CONTRA CIDADÃO, FAMÍLIA OU COMUNIDADE"/>
    <s v="NÃO SABE INFORMAR"/>
    <x v="0"/>
    <x v="4"/>
    <s v="DENUNCIANTE NÃO SOUBE INFORMAR"/>
    <x v="0"/>
    <x v="0"/>
    <x v="1"/>
    <s v="NULL"/>
    <x v="1"/>
    <x v="0"/>
    <s v="NÃO INFORMADO"/>
    <s v="DENUNCIANTE NÃO SOUBE INFORMAR"/>
    <s v="AGNÓSTICO/ATEU/SEM RELIGIÃO"/>
    <x v="1"/>
    <s v="SEGURANÇA PÚBLICA, FORÇAS ARMADAS, DEFESA CIVIL, BOMBEIROS E ASSEMELHADOS ? MUNICIPAL"/>
    <x v="2"/>
    <x v="3"/>
  </r>
  <r>
    <s v="C9BFD8D8611E58465E5B4825DD39DB15E902750559E5D9B309FAD7BEF2024B13"/>
    <x v="81"/>
    <s v="CASA DA VÍTIMA"/>
    <x v="12"/>
    <s v="HÁ MAIS DE UM ANO"/>
    <s v="VIOLÊNCIA CONTRA CIDADÃO, FAMÍLIA OU COMUNIDADE"/>
    <s v="NÃO SABE INFORMAR"/>
    <x v="0"/>
    <x v="4"/>
    <s v="DENUNCIANTE NÃO SOUBE INFORMAR"/>
    <x v="0"/>
    <x v="0"/>
    <x v="1"/>
    <s v="NULL"/>
    <x v="1"/>
    <x v="0"/>
    <s v="NÃO INFORMADO"/>
    <s v="DENUNCIANTE NÃO SOUBE INFORMAR"/>
    <s v="AGNÓSTICO/ATEU/SEM RELIGIÃO"/>
    <x v="1"/>
    <s v="SEGURANÇA PÚBLICA, FORÇAS ARMADAS, DEFESA CIVIL, BOMBEIROS E ASSEMELHADOS ? MUNICIPAL"/>
    <x v="2"/>
    <x v="3"/>
  </r>
  <r>
    <s v="00827450D4393B26D98B6377A05F1B88BEACBBC3D38D3043F57DF01B69F9E632"/>
    <x v="81"/>
    <s v="LOCAL DE TRABALHO DA VÍTIMA"/>
    <x v="1"/>
    <s v="HÁ MAIS DE UM ANO"/>
    <s v="VIOLÊNCIA CONTRA CIDADÃO, FAMÍLIA OU COMUNIDADE"/>
    <s v="OUTROS"/>
    <x v="1"/>
    <x v="1"/>
    <s v="DENUNCIANTE NÃO SOUBE INFORMAR"/>
    <x v="0"/>
    <x v="0"/>
    <x v="1"/>
    <s v="NULL"/>
    <x v="1"/>
    <x v="0"/>
    <s v="NÃO INFORMADO"/>
    <s v="SP"/>
    <s v="AGNÓSTICO/ATEU/SEM RELIGIÃO"/>
    <x v="1"/>
    <s v="COMÉRCIO, REPARAÇÃO DE VEÍCULOS AUTOMOTORES E MOTOCICLETAS"/>
    <x v="0"/>
    <x v="3"/>
  </r>
  <r>
    <s v="8BF942E5B37F54ABAD392CB7416A8236F720BDE0141786FB3812AAE77F11788F"/>
    <x v="81"/>
    <s v="LOCAL DE TRABALHO DA VÍTIMA"/>
    <x v="1"/>
    <s v="HÁ MAIS DE UM ANO"/>
    <s v="VIOLÊNCIA CONTRA CIDADÃO, FAMÍLIA OU COMUNIDADE"/>
    <s v="OUTROS"/>
    <x v="1"/>
    <x v="1"/>
    <s v="DENUNCIANTE NÃO SOUBE INFORMAR"/>
    <x v="0"/>
    <x v="0"/>
    <x v="1"/>
    <s v="NULL"/>
    <x v="1"/>
    <x v="0"/>
    <s v="NÃO INFORMADO"/>
    <s v="SP"/>
    <s v="AGNÓSTICO/ATEU/SEM RELIGIÃO"/>
    <x v="1"/>
    <s v="NULL"/>
    <x v="0"/>
    <x v="3"/>
  </r>
  <r>
    <s v="4B42562EEF1D2CCD9EB1262156A8132A9686258D296D780B7136A83D1B63CCB1"/>
    <x v="81"/>
    <s v="AMBIENTE VIRTUAL (NO ÂMBITO DA INTERNET)"/>
    <x v="15"/>
    <s v="NÃO SE APLICA"/>
    <s v="VIOLÊNCIA CONTRA CIDADÃO, FAMÍLIA OU COMUNIDADE"/>
    <s v="NAMORADO(A)"/>
    <x v="0"/>
    <x v="1"/>
    <s v="PR"/>
    <x v="0"/>
    <x v="0"/>
    <x v="0"/>
    <s v="NULL"/>
    <x v="2"/>
    <x v="10"/>
    <s v="NÃO"/>
    <s v="PR"/>
    <s v="AGNÓSTICO/ATEU/SEM RELIGIÃO"/>
    <x v="2"/>
    <s v="NULL"/>
    <x v="0"/>
    <x v="3"/>
  </r>
  <r>
    <s v="4B42562EEF1D2CCD9EB1262156A8132A9686258D296D780B7136A83D1B63CCB1"/>
    <x v="81"/>
    <s v="AMBIENTE VIRTUAL (NO ÂMBITO DA INTERNET)"/>
    <x v="15"/>
    <s v="NÃO SE APLICA"/>
    <s v="VIOLÊNCIA CONTRA CIDADÃO, FAMÍLIA OU COMUNIDADE"/>
    <s v="NAMORADO(A)"/>
    <x v="0"/>
    <x v="1"/>
    <s v="PR"/>
    <x v="0"/>
    <x v="0"/>
    <x v="0"/>
    <s v="NULL"/>
    <x v="2"/>
    <x v="10"/>
    <s v="NÃO"/>
    <s v="PR"/>
    <s v="AGNÓSTICO/ATEU/SEM RELIGIÃO"/>
    <x v="2"/>
    <s v="NULL"/>
    <x v="1"/>
    <x v="3"/>
  </r>
  <r>
    <s v="CB5B6050EA1203802295CCEE7CA86E8E86234FB30349F6182720934C8BC9F574"/>
    <x v="82"/>
    <s v="CASA DA VÍTIMA"/>
    <x v="3"/>
    <s v="HÁ UMA SEMANA"/>
    <s v="VIOLÊNCIA CONTRA CIDADÃO, FAMÍLIA OU COMUNIDADE"/>
    <s v="MÃE"/>
    <x v="0"/>
    <x v="3"/>
    <s v="BA"/>
    <x v="0"/>
    <x v="0"/>
    <x v="3"/>
    <s v="NULL"/>
    <x v="2"/>
    <x v="8"/>
    <s v="NÃO"/>
    <s v="BA"/>
    <s v="AGNÓSTICO/ATEU/SEM RELIGIÃO"/>
    <x v="2"/>
    <s v="NULL"/>
    <x v="0"/>
    <x v="3"/>
  </r>
  <r>
    <s v="DE38202274F70872097BFA038E7129D095D7955A0353CA2FA9B9CDEA40F69CCC"/>
    <x v="83"/>
    <s v="AMBIENTE VIRTUAL (NO ÂMBITO DA INTERNET)"/>
    <x v="4"/>
    <s v="NÃO SE APLICA"/>
    <s v="VIOLÊNCIA CONTRA CIDADÃO, FAMÍLIA OU COMUNIDADE"/>
    <s v="DESCONHECIDO(A)"/>
    <x v="1"/>
    <x v="1"/>
    <s v="DENUNCIANTE NÃO SOUBE INFORMAR"/>
    <x v="0"/>
    <x v="1"/>
    <x v="1"/>
    <s v="NULL"/>
    <x v="2"/>
    <x v="0"/>
    <s v="NÃO"/>
    <s v="MG"/>
    <s v="AGNÓSTICO/ATEU/SEM RELIGIÃO"/>
    <x v="1"/>
    <s v="NULL"/>
    <x v="0"/>
    <x v="3"/>
  </r>
  <r>
    <s v="24759985F0216CEB7BA1FB36A7A58863ADADC3B2DD80DFC3C7835B85D225823A"/>
    <x v="84"/>
    <s v="AMBIENTE VIRTUAL (NO ÂMBITO DA INTERNET)"/>
    <x v="12"/>
    <s v="NÃO SE APLICA"/>
    <s v="VIOLÊNCIA CONTRA CIDADÃO, FAMÍLIA OU COMUNIDADE"/>
    <s v="LÍDER RELIGIOSO(A)"/>
    <x v="0"/>
    <x v="6"/>
    <s v="MG"/>
    <x v="0"/>
    <x v="0"/>
    <x v="0"/>
    <s v="NULL"/>
    <x v="0"/>
    <x v="1"/>
    <s v="NÃO"/>
    <s v="DENUNCIANTE NÃO SOUBE INFORMAR"/>
    <s v="AGNÓSTICO/ATEU/SEM RELIGIÃO"/>
    <x v="3"/>
    <s v="NULL"/>
    <x v="0"/>
    <x v="3"/>
  </r>
  <r>
    <s v="A926DA4D5467FEDDBB135C44BF66CE45DB7D6872189EA7D4EAEFD2E72468B53E"/>
    <x v="84"/>
    <s v="CASA DA VÍTIMA"/>
    <x v="15"/>
    <s v="HÁ MAIS DE UM ANO"/>
    <s v="VIOLÊNCIA CONTRA CIDADÃO, FAMÍLIA OU COMUNIDADE"/>
    <s v="OUTROS"/>
    <x v="0"/>
    <x v="2"/>
    <s v="PR"/>
    <x v="0"/>
    <x v="6"/>
    <x v="3"/>
    <s v="NULL"/>
    <x v="1"/>
    <x v="0"/>
    <s v="NÃO INFORMADO"/>
    <s v="PR"/>
    <s v="AGNÓSTICO/ATEU/SEM RELIGIÃO"/>
    <x v="1"/>
    <s v="NULL"/>
    <x v="2"/>
    <x v="3"/>
  </r>
  <r>
    <s v="A926DA4D5467FEDDBB135C44BF66CE45DB7D6872189EA7D4EAEFD2E72468B53E"/>
    <x v="84"/>
    <s v="CASA DA VÍTIMA"/>
    <x v="15"/>
    <s v="HÁ MAIS DE UM ANO"/>
    <s v="VIOLÊNCIA CONTRA CIDADÃO, FAMÍLIA OU COMUNIDADE"/>
    <s v="OUTROS"/>
    <x v="0"/>
    <x v="2"/>
    <s v="PR"/>
    <x v="0"/>
    <x v="6"/>
    <x v="3"/>
    <s v="NULL"/>
    <x v="1"/>
    <x v="0"/>
    <s v="NÃO INFORMADO"/>
    <s v="PR"/>
    <s v="AGNÓSTICO/ATEU/SEM RELIGIÃO"/>
    <x v="1"/>
    <s v="NULL"/>
    <x v="0"/>
    <x v="3"/>
  </r>
  <r>
    <s v="0055546D9936CF7B176D35AFCA966CF8F2A3ED1A0CACC429B92312DF60CAE152"/>
    <x v="84"/>
    <s v="ESTABELECIMENTO DE SAÚDE"/>
    <x v="19"/>
    <s v="HÁ MAIS DE UM ANO"/>
    <s v="VIOLÊNCIA CONTRA CIDADÃO, FAMÍLIA OU COMUNIDADE"/>
    <s v="OUTROS"/>
    <x v="1"/>
    <x v="1"/>
    <s v="PB"/>
    <x v="0"/>
    <x v="0"/>
    <x v="1"/>
    <s v="NULL"/>
    <x v="2"/>
    <x v="2"/>
    <s v="NÃO"/>
    <s v="PB"/>
    <s v="AGNÓSTICO/ATEU/SEM RELIGIÃO"/>
    <x v="2"/>
    <s v="NULL"/>
    <x v="0"/>
    <x v="3"/>
  </r>
  <r>
    <s v="6E34A3ED23DFC7BBDAD98D38D458C1848944207AE6076758F445B38911BBA991"/>
    <x v="84"/>
    <s v="AMBIENTE VIRTUAL (NO ÂMBITO DA INTERNET)"/>
    <x v="13"/>
    <s v="NÃO SABE INFORMAR"/>
    <s v="VIOLÊNCIA CONTRA CIDADÃO, FAMÍLIA OU COMUNIDADE"/>
    <s v="OUTROS"/>
    <x v="1"/>
    <x v="7"/>
    <s v="PE"/>
    <x v="0"/>
    <x v="0"/>
    <x v="1"/>
    <s v="NULL"/>
    <x v="1"/>
    <x v="0"/>
    <s v="NÃO INFORMADO"/>
    <s v="PE"/>
    <s v="AGNÓSTICO/ATEU/SEM RELIGIÃO"/>
    <x v="1"/>
    <s v="NULL"/>
    <x v="0"/>
    <x v="3"/>
  </r>
  <r>
    <s v="323C81FDEEA9AA060BF6990FAFA0240E62B3DEA375944F4846ACCB04C35C93E4"/>
    <x v="85"/>
    <s v="AMBIENTE VIRTUAL (NO ÂMBITO DA INTERNET)"/>
    <x v="12"/>
    <s v="NÃO SE APLICA"/>
    <s v="VIOLÊNCIA CONTRA CIDADÃO, FAMÍLIA OU COMUNIDADE"/>
    <s v="DESCONHECIDO(A)"/>
    <x v="1"/>
    <x v="7"/>
    <s v="DENUNCIANTE NÃO SOUBE INFORMAR"/>
    <x v="0"/>
    <x v="0"/>
    <x v="1"/>
    <s v="NULL"/>
    <x v="1"/>
    <x v="0"/>
    <s v="NÃO INFORMADO"/>
    <s v="DENUNCIANTE NÃO SOUBE INFORMAR"/>
    <s v="AGNÓSTICO/ATEU/SEM RELIGIÃO"/>
    <x v="1"/>
    <s v="NULL"/>
    <x v="0"/>
    <x v="3"/>
  </r>
  <r>
    <s v="C4BB060095122877BA48ADFB7D9150163BA115650F9D2C3D9F4B94F9DB671846"/>
    <x v="85"/>
    <s v="AMBIENTE VIRTUAL (NO ÂMBITO DA INTERNET)"/>
    <x v="12"/>
    <s v="NÃO SE APLICA"/>
    <s v="VIOLÊNCIA CONTRA CIDADÃO, FAMÍLIA OU COMUNIDADE"/>
    <s v="DESCONHECIDO(A)"/>
    <x v="1"/>
    <x v="7"/>
    <s v="DENUNCIANTE NÃO SOUBE INFORMAR"/>
    <x v="0"/>
    <x v="0"/>
    <x v="1"/>
    <s v="NULL"/>
    <x v="1"/>
    <x v="0"/>
    <s v="NÃO INFORMADO"/>
    <s v="DF"/>
    <s v="AGNÓSTICO/ATEU/SEM RELIGIÃO"/>
    <x v="1"/>
    <s v="SEGURANÇA PÚBLICA, FORÇAS ARMADAS, DEFESA CIVIL, BOMBEIROS E ASSEMELHADOS ? ESTADUAL/DISTRITO FEDERAL"/>
    <x v="0"/>
    <x v="3"/>
  </r>
  <r>
    <s v="003BD25B6466E4003F298D1B5053732B5DDBDBCA00D423F72D9F52B7185C57C2"/>
    <x v="85"/>
    <s v="CASA DO SUSPEITO"/>
    <x v="16"/>
    <s v="NÃO SE APLICA"/>
    <s v="VIOLÊNCIA CONTRA CIDADÃO, FAMÍLIA OU COMUNIDADE"/>
    <s v="EX-ESPOSA(O)"/>
    <x v="0"/>
    <x v="3"/>
    <s v="RS"/>
    <x v="8"/>
    <x v="0"/>
    <x v="2"/>
    <s v="NULL"/>
    <x v="2"/>
    <x v="2"/>
    <s v="NÃO"/>
    <s v="RS"/>
    <s v="AGNÓSTICO/ATEU/SEM RELIGIÃO"/>
    <x v="0"/>
    <s v="NULL"/>
    <x v="0"/>
    <x v="3"/>
  </r>
  <r>
    <s v="0BB447E972D4931C1C7C079CFF4D476987B041C15E2ED6F44277746636DA895F"/>
    <x v="85"/>
    <s v="CASA DO SUSPEITO"/>
    <x v="3"/>
    <s v="NÃO SE APLICA"/>
    <s v="VIOLÊNCIA CONTRA CIDADÃO, FAMÍLIA OU COMUNIDADE"/>
    <s v="OUTROS"/>
    <x v="0"/>
    <x v="7"/>
    <s v="BA"/>
    <x v="6"/>
    <x v="3"/>
    <x v="0"/>
    <s v="NULL"/>
    <x v="2"/>
    <x v="1"/>
    <s v="NÃO"/>
    <s v="BA"/>
    <s v="AGNÓSTICO/ATEU/SEM RELIGIÃO"/>
    <x v="0"/>
    <s v="NULL"/>
    <x v="0"/>
    <x v="3"/>
  </r>
  <r>
    <s v="0BB447E972D4931C1C7C079CFF4D476987B041C15E2ED6F44277746636DA895F"/>
    <x v="85"/>
    <s v="CASA DO SUSPEITO"/>
    <x v="3"/>
    <s v="NÃO SE APLICA"/>
    <s v="VIOLÊNCIA CONTRA CIDADÃO, FAMÍLIA OU COMUNIDADE"/>
    <s v="OUTROS"/>
    <x v="0"/>
    <x v="7"/>
    <s v="BA"/>
    <x v="6"/>
    <x v="3"/>
    <x v="0"/>
    <s v="NULL"/>
    <x v="2"/>
    <x v="1"/>
    <s v="NÃO"/>
    <s v="BA"/>
    <s v="AGNÓSTICO/ATEU/SEM RELIGIÃO"/>
    <x v="0"/>
    <s v="NULL"/>
    <x v="2"/>
    <x v="3"/>
  </r>
  <r>
    <s v="2B7FEE31DEE17D792376B3F22713B4E2ED0EAAB9CD2A321C3CF6EFDA814FF623"/>
    <x v="85"/>
    <s v="CASA DA VÍTIMA"/>
    <x v="12"/>
    <s v="HÁ MAIS DE SEIS MESES"/>
    <s v="VIOLÊNCIA CONTRA CIDADÃO, FAMÍLIA OU COMUNIDADE"/>
    <s v="VIZINHO(A)"/>
    <x v="0"/>
    <x v="0"/>
    <s v="DENUNCIANTE NÃO SOUBE INFORMAR"/>
    <x v="1"/>
    <x v="2"/>
    <x v="1"/>
    <s v="NULL"/>
    <x v="2"/>
    <x v="1"/>
    <s v="NÃO INFORMADO"/>
    <s v="PR"/>
    <s v="EVANGÉLICA"/>
    <x v="2"/>
    <s v="NULL"/>
    <x v="0"/>
    <x v="3"/>
  </r>
  <r>
    <s v="27C2C696285D2FCF8BE7717DE213E704AF45AF8F51E2882FDB7F3CBF9162FA79"/>
    <x v="86"/>
    <s v="ESTABELECIMENTO DE SAÚDE"/>
    <x v="2"/>
    <s v="HÁ MAIS DE DEZ ANOS"/>
    <s v="VIOLÊNCIA CONTRA CIDADÃO, FAMÍLIA OU COMUNIDADE"/>
    <s v="PRESTADOR(A) DE SERVIÇO"/>
    <x v="0"/>
    <x v="0"/>
    <s v="RJ"/>
    <x v="0"/>
    <x v="0"/>
    <x v="2"/>
    <s v="NULL"/>
    <x v="1"/>
    <x v="0"/>
    <s v="NÃO INFORMADO"/>
    <s v="RJ"/>
    <s v="AGNÓSTICO/ATEU/SEM RELIGIÃO"/>
    <x v="1"/>
    <s v="SAÚDE HUMANA E SERVIÇOS SOCIAIS"/>
    <x v="0"/>
    <x v="3"/>
  </r>
  <r>
    <s v="043F4DBC2B4E636DE107D216DD33D342D3A42EE50F5F2015C72352C6906E4C2A"/>
    <x v="86"/>
    <s v="OUTROS ESTABELECIMENTOS"/>
    <x v="19"/>
    <s v="HÁ MAIS DE UM ANO"/>
    <s v="VIOLÊNCIA CONTRA CIDADÃO, FAMÍLIA OU COMUNIDADE"/>
    <s v="OUTROS"/>
    <x v="1"/>
    <x v="3"/>
    <s v="PB"/>
    <x v="0"/>
    <x v="0"/>
    <x v="1"/>
    <s v="NULL"/>
    <x v="0"/>
    <x v="5"/>
    <s v="NÃO"/>
    <s v="PB"/>
    <s v="AGNÓSTICO/ATEU/SEM RELIGIÃO"/>
    <x v="2"/>
    <s v="NULL"/>
    <x v="1"/>
    <x v="3"/>
  </r>
  <r>
    <s v="6695568C6ED528E29582A833F9E8EFB5375EB5DEED7FE83F9C101AA2B4BB77FC"/>
    <x v="86"/>
    <s v="OUTROS ESTABELECIMENTOS"/>
    <x v="19"/>
    <s v="HÁ MAIS DE UM ANO"/>
    <s v="VIOLÊNCIA CONTRA CIDADÃO, FAMÍLIA OU COMUNIDADE"/>
    <s v="OUTROS"/>
    <x v="1"/>
    <x v="3"/>
    <s v="PB"/>
    <x v="0"/>
    <x v="0"/>
    <x v="1"/>
    <s v="NULL"/>
    <x v="1"/>
    <x v="0"/>
    <s v="NÃO INFORMADO"/>
    <s v="PB"/>
    <s v="AGNÓSTICO/ATEU/SEM RELIGIÃO"/>
    <x v="1"/>
    <s v="AGÊNCIA REGULADORA ? MUNICIPAL"/>
    <x v="1"/>
    <x v="3"/>
  </r>
  <r>
    <s v="A12A0D311CA02CF1EECB7089D4105699725BBFC77CD0BE73835361A547A632D5"/>
    <x v="86"/>
    <s v="OUTROS ESTABELECIMENTOS"/>
    <x v="19"/>
    <s v="HÁ MAIS DE UM ANO"/>
    <s v="VIOLÊNCIA CONTRA CIDADÃO, FAMÍLIA OU COMUNIDADE"/>
    <s v="OUTROS"/>
    <x v="1"/>
    <x v="3"/>
    <s v="PB"/>
    <x v="0"/>
    <x v="0"/>
    <x v="1"/>
    <s v="NULL"/>
    <x v="2"/>
    <x v="2"/>
    <s v="NÃO"/>
    <s v="PB"/>
    <s v="AGNÓSTICO/ATEU/SEM RELIGIÃO"/>
    <x v="0"/>
    <s v="NULL"/>
    <x v="1"/>
    <x v="3"/>
  </r>
  <r>
    <s v="B9BA6D56E0E07F64A0D67CEF84FFB00E2A3F77565DE04481D4F767E9C98D6923"/>
    <x v="86"/>
    <s v="LOCAL DE TRABALHO DA VÍTIMA"/>
    <x v="2"/>
    <s v="HÁ UM MÊS"/>
    <s v="VIOLÊNCIA CONTRA CIDADÃO, FAMÍLIA OU COMUNIDADE"/>
    <s v="FUNCIONÁRIO, VOLUNTÁRIO OU PRESTADOR DE SERVIÇO PARA INSTITUIÇÃO"/>
    <x v="1"/>
    <x v="7"/>
    <s v="RJ"/>
    <x v="0"/>
    <x v="0"/>
    <x v="1"/>
    <s v="NULL"/>
    <x v="1"/>
    <x v="0"/>
    <s v="NÃO INFORMADO"/>
    <s v="RJ"/>
    <s v="AGNÓSTICO/ATEU/SEM RELIGIÃO"/>
    <x v="1"/>
    <s v="AGÊNCIA REGULADORA ? MUNICIPAL"/>
    <x v="2"/>
    <x v="3"/>
  </r>
  <r>
    <s v="B9BA6D56E0E07F64A0D67CEF84FFB00E2A3F77565DE04481D4F767E9C98D6923"/>
    <x v="86"/>
    <s v="LOCAL DE TRABALHO DA VÍTIMA"/>
    <x v="2"/>
    <s v="HÁ UM MÊS"/>
    <s v="VIOLÊNCIA CONTRA CIDADÃO, FAMÍLIA OU COMUNIDADE"/>
    <s v="FUNCIONÁRIO, VOLUNTÁRIO OU PRESTADOR DE SERVIÇO PARA INSTITUIÇÃO"/>
    <x v="1"/>
    <x v="7"/>
    <s v="RJ"/>
    <x v="0"/>
    <x v="0"/>
    <x v="1"/>
    <s v="NULL"/>
    <x v="1"/>
    <x v="0"/>
    <s v="NÃO INFORMADO"/>
    <s v="RJ"/>
    <s v="AGNÓSTICO/ATEU/SEM RELIGIÃO"/>
    <x v="1"/>
    <s v="AGÊNCIA REGULADORA ? MUNICIPAL"/>
    <x v="0"/>
    <x v="3"/>
  </r>
  <r>
    <s v="B9BA6D56E0E07F64A0D67CEF84FFB00E2A3F77565DE04481D4F767E9C98D6923"/>
    <x v="86"/>
    <s v="LOCAL DE TRABALHO DA VÍTIMA"/>
    <x v="2"/>
    <s v="HÁ UM MÊS"/>
    <s v="VIOLÊNCIA CONTRA CIDADÃO, FAMÍLIA OU COMUNIDADE"/>
    <s v="FUNCIONÁRIO, VOLUNTÁRIO OU PRESTADOR DE SERVIÇO PARA INSTITUIÇÃO"/>
    <x v="1"/>
    <x v="7"/>
    <s v="RJ"/>
    <x v="0"/>
    <x v="0"/>
    <x v="1"/>
    <s v="NULL"/>
    <x v="1"/>
    <x v="0"/>
    <s v="NÃO INFORMADO"/>
    <s v="RJ"/>
    <s v="AGNÓSTICO/ATEU/SEM RELIGIÃO"/>
    <x v="1"/>
    <s v="AGÊNCIA REGULADORA ? MUNICIPAL"/>
    <x v="1"/>
    <x v="3"/>
  </r>
  <r>
    <s v="1D8A907C00FC2D946B981D0B2F1D46811E70AE3BD649FB3E2035A83906D92127"/>
    <x v="86"/>
    <s v="CASA ONDE RESIDE A VÍTIMA E O SUSPEITO"/>
    <x v="1"/>
    <s v="NÃO SABE INFORMAR"/>
    <s v="VIOLÊNCIA CONTRA CIDADÃO, FAMÍLIA OU COMUNIDADE"/>
    <s v="PAI"/>
    <x v="0"/>
    <x v="3"/>
    <s v="SP"/>
    <x v="0"/>
    <x v="0"/>
    <x v="0"/>
    <s v="NULL"/>
    <x v="0"/>
    <x v="1"/>
    <s v="NÃO"/>
    <s v="SP"/>
    <s v="AGNÓSTICO/ATEU/SEM RELIGIÃO"/>
    <x v="2"/>
    <s v="NULL"/>
    <x v="0"/>
    <x v="3"/>
  </r>
  <r>
    <s v="1D8A907C00FC2D946B981D0B2F1D46811E70AE3BD649FB3E2035A83906D92127"/>
    <x v="86"/>
    <s v="CASA ONDE RESIDE A VÍTIMA E O SUSPEITO"/>
    <x v="1"/>
    <s v="NÃO SABE INFORMAR"/>
    <s v="VIOLÊNCIA CONTRA CIDADÃO, FAMÍLIA OU COMUNIDADE"/>
    <s v="PAI"/>
    <x v="0"/>
    <x v="3"/>
    <s v="SP"/>
    <x v="0"/>
    <x v="0"/>
    <x v="0"/>
    <s v="NULL"/>
    <x v="0"/>
    <x v="1"/>
    <s v="NÃO"/>
    <s v="SP"/>
    <s v="AGNÓSTICO/ATEU/SEM RELIGIÃO"/>
    <x v="2"/>
    <s v="NULL"/>
    <x v="2"/>
    <x v="3"/>
  </r>
  <r>
    <s v="F837EEA7292611E79CE58C370CC1227FCB7293849209DBA3982471AADD2A6F42"/>
    <x v="87"/>
    <s v="OUTROS ESTABELECIMENTOS"/>
    <x v="15"/>
    <s v="HÁ MAIS DE SEIS MESES"/>
    <s v="VIOLÊNCIA CONTRA CIDADÃO, FAMÍLIA OU COMUNIDADE"/>
    <s v="VIZINHO(A)"/>
    <x v="1"/>
    <x v="7"/>
    <s v="PR"/>
    <x v="0"/>
    <x v="3"/>
    <x v="1"/>
    <s v="NULL"/>
    <x v="0"/>
    <x v="0"/>
    <s v="NÃO"/>
    <s v="PR"/>
    <s v="AGNÓSTICO/ATEU/SEM RELIGIÃO"/>
    <x v="0"/>
    <s v="NULL"/>
    <x v="0"/>
    <x v="3"/>
  </r>
  <r>
    <s v="F837EEA7292611E79CE58C370CC1227FCB7293849209DBA3982471AADD2A6F42"/>
    <x v="87"/>
    <s v="OUTROS ESTABELECIMENTOS"/>
    <x v="15"/>
    <s v="HÁ MAIS DE SEIS MESES"/>
    <s v="VIOLÊNCIA CONTRA CIDADÃO, FAMÍLIA OU COMUNIDADE"/>
    <s v="VIZINHO(A)"/>
    <x v="1"/>
    <x v="7"/>
    <s v="PR"/>
    <x v="0"/>
    <x v="3"/>
    <x v="1"/>
    <s v="NULL"/>
    <x v="0"/>
    <x v="0"/>
    <s v="NÃO"/>
    <s v="PR"/>
    <s v="AGNÓSTICO/ATEU/SEM RELIGIÃO"/>
    <x v="0"/>
    <s v="NULL"/>
    <x v="2"/>
    <x v="3"/>
  </r>
  <r>
    <s v="F837EEA7292611E79CE58C370CC1227FCB7293849209DBA3982471AADD2A6F42"/>
    <x v="87"/>
    <s v="OUTROS ESTABELECIMENTOS"/>
    <x v="15"/>
    <s v="HÁ MAIS DE SEIS MESES"/>
    <s v="VIOLÊNCIA CONTRA CIDADÃO, FAMÍLIA OU COMUNIDADE"/>
    <s v="VIZINHO(A)"/>
    <x v="1"/>
    <x v="7"/>
    <s v="PR"/>
    <x v="0"/>
    <x v="3"/>
    <x v="1"/>
    <s v="NULL"/>
    <x v="0"/>
    <x v="0"/>
    <s v="NÃO"/>
    <s v="PR"/>
    <s v="AGNÓSTICO/ATEU/SEM RELIGIÃO"/>
    <x v="0"/>
    <s v="NULL"/>
    <x v="1"/>
    <x v="3"/>
  </r>
  <r>
    <s v="467898A1ECA0470B3CB1BED15255A6D9B6EC202C80EFB6B027BA1A8ECE3B1D52"/>
    <x v="87"/>
    <s v="CASA DA VÍTIMA"/>
    <x v="15"/>
    <s v="HÁ UM MÊS"/>
    <s v="VIOLÊNCIA CONTRA CIDADÃO, FAMÍLIA OU COMUNIDADE"/>
    <s v="VIZINHO(A)"/>
    <x v="1"/>
    <x v="4"/>
    <s v="PR"/>
    <x v="0"/>
    <x v="1"/>
    <x v="1"/>
    <s v="NULL"/>
    <x v="0"/>
    <x v="7"/>
    <s v="NÃO"/>
    <s v="PR"/>
    <s v="AGNÓSTICO/ATEU/SEM RELIGIÃO"/>
    <x v="2"/>
    <s v="NULL"/>
    <x v="1"/>
    <x v="3"/>
  </r>
  <r>
    <s v="467898A1ECA0470B3CB1BED15255A6D9B6EC202C80EFB6B027BA1A8ECE3B1D52"/>
    <x v="87"/>
    <s v="CASA DA VÍTIMA"/>
    <x v="15"/>
    <s v="HÁ UM MÊS"/>
    <s v="VIOLÊNCIA CONTRA CIDADÃO, FAMÍLIA OU COMUNIDADE"/>
    <s v="VIZINHO(A)"/>
    <x v="1"/>
    <x v="4"/>
    <s v="PR"/>
    <x v="0"/>
    <x v="1"/>
    <x v="1"/>
    <s v="NULL"/>
    <x v="0"/>
    <x v="7"/>
    <s v="NÃO"/>
    <s v="PR"/>
    <s v="AGNÓSTICO/ATEU/SEM RELIGIÃO"/>
    <x v="2"/>
    <s v="NULL"/>
    <x v="0"/>
    <x v="3"/>
  </r>
  <r>
    <s v="467898A1ECA0470B3CB1BED15255A6D9B6EC202C80EFB6B027BA1A8ECE3B1D52"/>
    <x v="87"/>
    <s v="CASA DA VÍTIMA"/>
    <x v="15"/>
    <s v="HÁ UM MÊS"/>
    <s v="VIOLÊNCIA CONTRA CIDADÃO, FAMÍLIA OU COMUNIDADE"/>
    <s v="VIZINHO(A)"/>
    <x v="1"/>
    <x v="4"/>
    <s v="PR"/>
    <x v="0"/>
    <x v="1"/>
    <x v="1"/>
    <s v="NULL"/>
    <x v="0"/>
    <x v="7"/>
    <s v="NÃO"/>
    <s v="PR"/>
    <s v="AGNÓSTICO/ATEU/SEM RELIGIÃO"/>
    <x v="2"/>
    <s v="NULL"/>
    <x v="2"/>
    <x v="3"/>
  </r>
  <r>
    <s v="3BA64E5D898B2833610A543215729F8FA00A7E0D474C703F9DECB06E8431800E"/>
    <x v="87"/>
    <s v="OUTROS ESTABELECIMENTOS"/>
    <x v="15"/>
    <s v="HÁ MAIS DE SEIS MESES"/>
    <s v="VIOLÊNCIA CONTRA CIDADÃO, FAMÍLIA OU COMUNIDADE"/>
    <s v="VIZINHO(A)"/>
    <x v="1"/>
    <x v="3"/>
    <s v="DENUNCIANTE NÃO SOUBE INFORMAR"/>
    <x v="0"/>
    <x v="3"/>
    <x v="1"/>
    <s v="NULL"/>
    <x v="0"/>
    <x v="4"/>
    <s v="NÃO"/>
    <s v="PR"/>
    <s v="AGNÓSTICO/ATEU/SEM RELIGIÃO"/>
    <x v="1"/>
    <s v="NULL"/>
    <x v="0"/>
    <x v="3"/>
  </r>
  <r>
    <s v="3BA64E5D898B2833610A543215729F8FA00A7E0D474C703F9DECB06E8431800E"/>
    <x v="87"/>
    <s v="OUTROS ESTABELECIMENTOS"/>
    <x v="15"/>
    <s v="HÁ MAIS DE SEIS MESES"/>
    <s v="VIOLÊNCIA CONTRA CIDADÃO, FAMÍLIA OU COMUNIDADE"/>
    <s v="VIZINHO(A)"/>
    <x v="1"/>
    <x v="3"/>
    <s v="DENUNCIANTE NÃO SOUBE INFORMAR"/>
    <x v="0"/>
    <x v="3"/>
    <x v="1"/>
    <s v="NULL"/>
    <x v="0"/>
    <x v="4"/>
    <s v="NÃO"/>
    <s v="PR"/>
    <s v="AGNÓSTICO/ATEU/SEM RELIGIÃO"/>
    <x v="1"/>
    <s v="NULL"/>
    <x v="2"/>
    <x v="3"/>
  </r>
  <r>
    <s v="91FA2DA5A11F32A23DAE19C4F6E7A9AE7820175FD9C6A312D4D7BD7A3548B833"/>
    <x v="87"/>
    <s v="OUTROS ESTABELECIMENTOS"/>
    <x v="15"/>
    <s v="HÁ MAIS DE SEIS MESES"/>
    <s v="VIOLÊNCIA CONTRA CIDADÃO, FAMÍLIA OU COMUNIDADE"/>
    <s v="VIZINHO(A)"/>
    <x v="1"/>
    <x v="3"/>
    <s v="DENUNCIANTE NÃO SOUBE INFORMAR"/>
    <x v="0"/>
    <x v="3"/>
    <x v="1"/>
    <s v="NULL"/>
    <x v="2"/>
    <x v="0"/>
    <s v="NÃO"/>
    <s v="PR"/>
    <s v="AGNÓSTICO/ATEU/SEM RELIGIÃO"/>
    <x v="1"/>
    <s v="NULL"/>
    <x v="2"/>
    <x v="3"/>
  </r>
  <r>
    <s v="91FA2DA5A11F32A23DAE19C4F6E7A9AE7820175FD9C6A312D4D7BD7A3548B833"/>
    <x v="87"/>
    <s v="OUTROS ESTABELECIMENTOS"/>
    <x v="15"/>
    <s v="HÁ MAIS DE SEIS MESES"/>
    <s v="VIOLÊNCIA CONTRA CIDADÃO, FAMÍLIA OU COMUNIDADE"/>
    <s v="VIZINHO(A)"/>
    <x v="1"/>
    <x v="3"/>
    <s v="DENUNCIANTE NÃO SOUBE INFORMAR"/>
    <x v="0"/>
    <x v="3"/>
    <x v="1"/>
    <s v="NULL"/>
    <x v="2"/>
    <x v="0"/>
    <s v="NÃO"/>
    <s v="PR"/>
    <s v="AGNÓSTICO/ATEU/SEM RELIGIÃO"/>
    <x v="1"/>
    <s v="NULL"/>
    <x v="0"/>
    <x v="3"/>
  </r>
  <r>
    <s v="DF71AF5E55C478B5C302855DE88FB82095B0342B2B286CD26C79D0416B710150"/>
    <x v="87"/>
    <s v="OUTROS ESTABELECIMENTOS"/>
    <x v="1"/>
    <s v="HÁ UM MÊS"/>
    <s v="VIOLÊNCIA CONTRA CIDADÃO, FAMÍLIA OU COMUNIDADE"/>
    <s v="NÃO SE APLICA"/>
    <x v="1"/>
    <x v="3"/>
    <s v="SP"/>
    <x v="0"/>
    <x v="0"/>
    <x v="1"/>
    <s v="NULL"/>
    <x v="0"/>
    <x v="4"/>
    <s v="NÃO"/>
    <s v="SP"/>
    <s v="OUTRAS RELIGIOSIDADES CRISTÃS"/>
    <x v="0"/>
    <s v="NULL"/>
    <x v="1"/>
    <x v="3"/>
  </r>
  <r>
    <s v="DF71AF5E55C478B5C302855DE88FB82095B0342B2B286CD26C79D0416B710150"/>
    <x v="87"/>
    <s v="OUTROS ESTABELECIMENTOS"/>
    <x v="1"/>
    <s v="HÁ UM MÊS"/>
    <s v="VIOLÊNCIA CONTRA CIDADÃO, FAMÍLIA OU COMUNIDADE"/>
    <s v="NÃO SE APLICA"/>
    <x v="1"/>
    <x v="3"/>
    <s v="SP"/>
    <x v="0"/>
    <x v="0"/>
    <x v="1"/>
    <s v="NULL"/>
    <x v="0"/>
    <x v="4"/>
    <s v="NÃO"/>
    <s v="SP"/>
    <s v="OUTRAS RELIGIOSIDADES CRISTÃS"/>
    <x v="0"/>
    <s v="NULL"/>
    <x v="0"/>
    <x v="3"/>
  </r>
  <r>
    <s v="53F520190B249D65FF72F08B5D48506B9EFE8AB89BEF21AF9AAD88FEA32AD26F"/>
    <x v="88"/>
    <s v="OUTROS ESTABELECIMENTOS"/>
    <x v="4"/>
    <s v="NÃO SE APLICA"/>
    <s v="VIOLÊNCIA CONTRA CIDADÃO, FAMÍLIA OU COMUNIDADE"/>
    <s v="LÍDER RELIGIOSO(A)"/>
    <x v="1"/>
    <x v="8"/>
    <s v="MG"/>
    <x v="0"/>
    <x v="0"/>
    <x v="1"/>
    <s v="NULL"/>
    <x v="0"/>
    <x v="1"/>
    <s v="NÃO"/>
    <s v="MG"/>
    <s v="AGNÓSTICO/ATEU/SEM RELIGIÃO"/>
    <x v="1"/>
    <s v="NULL"/>
    <x v="0"/>
    <x v="3"/>
  </r>
  <r>
    <s v="C68577178D0BD6A7C0E5E52724319AE88F9B8AD27C2220893875DB19CA2499BD"/>
    <x v="89"/>
    <s v="CASA DA VÍTIMA"/>
    <x v="15"/>
    <s v="HÁ MAIS DE UM ANO"/>
    <s v="VIOLÊNCIA CONTRA CIDADÃO, FAMÍLIA OU COMUNIDADE"/>
    <s v="EMPREGADOR/PATRÃO (HIERARQUICAMENTE SUPERIOR)"/>
    <x v="0"/>
    <x v="7"/>
    <s v="PR"/>
    <x v="9"/>
    <x v="0"/>
    <x v="0"/>
    <s v="NULL"/>
    <x v="1"/>
    <x v="0"/>
    <s v="NÃO INFORMADO"/>
    <s v="PR"/>
    <s v="AGNÓSTICO/ATEU/SEM RELIGIÃO"/>
    <x v="1"/>
    <s v="INDÚSTRIAS DE TRANSFORMAÇÃO"/>
    <x v="0"/>
    <x v="3"/>
  </r>
  <r>
    <s v="98A89A63E0AEEFCDBCF017848CC8FB1D5DB79CE2E1EB1F583FA82EEB362B8764"/>
    <x v="89"/>
    <s v="AMBIENTE VIRTUAL (NO ÂMBITO DA INTERNET)"/>
    <x v="12"/>
    <s v="NÃO SABE INFORMAR"/>
    <s v="VIOLÊNCIA CONTRA CIDADÃO, FAMÍLIA OU COMUNIDADE"/>
    <s v="VIZINHO(A)"/>
    <x v="0"/>
    <x v="4"/>
    <s v="SC"/>
    <x v="0"/>
    <x v="0"/>
    <x v="3"/>
    <s v="NULL"/>
    <x v="2"/>
    <x v="0"/>
    <s v="NÃO INFORMADO"/>
    <s v="SC"/>
    <s v="AGNÓSTICO/ATEU/SEM RELIGIÃO"/>
    <x v="1"/>
    <s v="NULL"/>
    <x v="0"/>
    <x v="3"/>
  </r>
  <r>
    <s v="9CBC8A1E6D1D3401F70F326BB1A5A1AD61E6D46414D18886C221E9E47536F37D"/>
    <x v="90"/>
    <s v="CASA DA VÍTIMA"/>
    <x v="4"/>
    <s v="NÃO SE APLICA"/>
    <s v="VIOLÊNCIA CONTRA CIDADÃO, FAMÍLIA OU COMUNIDADE"/>
    <s v="DESCONHECIDO(A)"/>
    <x v="0"/>
    <x v="2"/>
    <s v="MG"/>
    <x v="9"/>
    <x v="0"/>
    <x v="4"/>
    <s v="NULL"/>
    <x v="2"/>
    <x v="4"/>
    <s v="NÃO"/>
    <s v="MG"/>
    <s v="AGNÓSTICO/ATEU/SEM RELIGIÃO"/>
    <x v="3"/>
    <s v="NULL"/>
    <x v="0"/>
    <x v="3"/>
  </r>
  <r>
    <s v="9CBC8A1E6D1D3401F70F326BB1A5A1AD61E6D46414D18886C221E9E47536F37D"/>
    <x v="90"/>
    <s v="CASA DA VÍTIMA"/>
    <x v="4"/>
    <s v="NÃO SE APLICA"/>
    <s v="VIOLÊNCIA CONTRA CIDADÃO, FAMÍLIA OU COMUNIDADE"/>
    <s v="DESCONHECIDO(A)"/>
    <x v="0"/>
    <x v="2"/>
    <s v="MG"/>
    <x v="9"/>
    <x v="0"/>
    <x v="4"/>
    <s v="NULL"/>
    <x v="2"/>
    <x v="4"/>
    <s v="NÃO"/>
    <s v="MG"/>
    <s v="AGNÓSTICO/ATEU/SEM RELIGIÃO"/>
    <x v="3"/>
    <s v="NULL"/>
    <x v="1"/>
    <x v="3"/>
  </r>
  <r>
    <s v="9CBC8A1E6D1D3401F70F326BB1A5A1AD61E6D46414D18886C221E9E47536F37D"/>
    <x v="90"/>
    <s v="CASA DA VÍTIMA"/>
    <x v="4"/>
    <s v="NÃO SE APLICA"/>
    <s v="VIOLÊNCIA CONTRA CIDADÃO, FAMÍLIA OU COMUNIDADE"/>
    <s v="DESCONHECIDO(A)"/>
    <x v="0"/>
    <x v="2"/>
    <s v="MG"/>
    <x v="9"/>
    <x v="0"/>
    <x v="4"/>
    <s v="NULL"/>
    <x v="2"/>
    <x v="4"/>
    <s v="NÃO"/>
    <s v="MG"/>
    <s v="AGNÓSTICO/ATEU/SEM RELIGIÃO"/>
    <x v="3"/>
    <s v="NULL"/>
    <x v="2"/>
    <x v="3"/>
  </r>
  <r>
    <s v="96837458FDF66090FC1779D30B92EC9B16D261F1C663D579CBE13E2B35BAD883"/>
    <x v="90"/>
    <s v="OUTROS ESTABELECIMENTOS"/>
    <x v="15"/>
    <s v="HÁ UM MÊS"/>
    <s v="VIOLÊNCIA CONTRA CIDADÃO, FAMÍLIA OU COMUNIDADE"/>
    <s v="OUTROS"/>
    <x v="0"/>
    <x v="3"/>
    <s v="PR"/>
    <x v="0"/>
    <x v="3"/>
    <x v="1"/>
    <s v="NULL"/>
    <x v="0"/>
    <x v="4"/>
    <s v="NÃO"/>
    <s v="PR"/>
    <s v="AGNÓSTICO/ATEU/SEM RELIGIÃO"/>
    <x v="0"/>
    <s v="NULL"/>
    <x v="2"/>
    <x v="3"/>
  </r>
  <r>
    <s v="B56B325422DA56B723AACDD53983D12DA53486C00B4BB612F38D51A284AF4F4E"/>
    <x v="90"/>
    <s v="OUTROS ESTABELECIMENTOS"/>
    <x v="15"/>
    <s v="HÁ UM MÊS"/>
    <s v="VIOLÊNCIA CONTRA CIDADÃO, FAMÍLIA OU COMUNIDADE"/>
    <s v="OUTROS"/>
    <x v="0"/>
    <x v="3"/>
    <s v="PR"/>
    <x v="0"/>
    <x v="3"/>
    <x v="1"/>
    <s v="NULL"/>
    <x v="0"/>
    <x v="2"/>
    <s v="NÃO"/>
    <s v="PR"/>
    <s v="AGNÓSTICO/ATEU/SEM RELIGIÃO"/>
    <x v="0"/>
    <s v="NULL"/>
    <x v="2"/>
    <x v="3"/>
  </r>
  <r>
    <s v="D9FC55679F0D4A3A7586FDA555E529745F0C70A929725B8199A665B1E53D1D93"/>
    <x v="90"/>
    <s v="ESTABELECIMENTO DE SAÚDE"/>
    <x v="4"/>
    <s v="HÁ MAIS DE UM ANO"/>
    <s v="VIOLÊNCIA CONTRA CIDADÃO, FAMÍLIA OU COMUNIDADE"/>
    <s v="DIRETOR/GESTOR DE INSTITUIÇÃO"/>
    <x v="1"/>
    <x v="7"/>
    <s v="MG"/>
    <x v="0"/>
    <x v="0"/>
    <x v="1"/>
    <s v="NULL"/>
    <x v="1"/>
    <x v="0"/>
    <s v="NÃO INFORMADO"/>
    <s v="MG"/>
    <s v="AGNÓSTICO/ATEU/SEM RELIGIÃO"/>
    <x v="1"/>
    <s v="ALOJAMENTO E ALIMENTAÇÃO"/>
    <x v="2"/>
    <x v="3"/>
  </r>
  <r>
    <s v="939696CD4880C2E159A1DE0673A399E86266B9AEC1BAAA3F079F7B11D1DED4DC"/>
    <x v="90"/>
    <s v="CASA DA VÍTIMA"/>
    <x v="22"/>
    <s v="HÁ UMA SEMANA"/>
    <s v="VIOLÊNCIA CONTRA CIDADÃO, FAMÍLIA OU COMUNIDADE"/>
    <s v="OUTROS FAMILIARES"/>
    <x v="0"/>
    <x v="4"/>
    <s v="AL"/>
    <x v="0"/>
    <x v="0"/>
    <x v="0"/>
    <s v="NULL"/>
    <x v="2"/>
    <x v="0"/>
    <s v="NÃO INFORMADO"/>
    <s v="AL"/>
    <s v="AGNÓSTICO/ATEU/SEM RELIGIÃO"/>
    <x v="2"/>
    <s v="NULL"/>
    <x v="2"/>
    <x v="3"/>
  </r>
  <r>
    <s v="939696CD4880C2E159A1DE0673A399E86266B9AEC1BAAA3F079F7B11D1DED4DC"/>
    <x v="90"/>
    <s v="CASA DA VÍTIMA"/>
    <x v="22"/>
    <s v="HÁ UMA SEMANA"/>
    <s v="VIOLÊNCIA CONTRA CIDADÃO, FAMÍLIA OU COMUNIDADE"/>
    <s v="OUTROS FAMILIARES"/>
    <x v="0"/>
    <x v="4"/>
    <s v="AL"/>
    <x v="0"/>
    <x v="0"/>
    <x v="0"/>
    <s v="NULL"/>
    <x v="2"/>
    <x v="0"/>
    <s v="NÃO INFORMADO"/>
    <s v="AL"/>
    <s v="AGNÓSTICO/ATEU/SEM RELIGIÃO"/>
    <x v="2"/>
    <s v="NULL"/>
    <x v="0"/>
    <x v="3"/>
  </r>
  <r>
    <s v="1C3CA18EE91A0AEB59B4E17ED1CA6A9F8695187D9EE2B88E1337FDE332926B12"/>
    <x v="90"/>
    <s v="CASA DA VÍTIMA"/>
    <x v="22"/>
    <s v="HÁ UMA SEMANA"/>
    <s v="VIOLÊNCIA CONTRA CIDADÃO, FAMÍLIA OU COMUNIDADE"/>
    <s v="OUTROS FAMILIARES"/>
    <x v="0"/>
    <x v="4"/>
    <s v="AL"/>
    <x v="0"/>
    <x v="0"/>
    <x v="0"/>
    <s v="NULL"/>
    <x v="1"/>
    <x v="0"/>
    <s v="NÃO INFORMADO"/>
    <s v="AL"/>
    <s v="AGNÓSTICO/ATEU/SEM RELIGIÃO"/>
    <x v="2"/>
    <s v="NULL"/>
    <x v="0"/>
    <x v="3"/>
  </r>
  <r>
    <s v="1C3CA18EE91A0AEB59B4E17ED1CA6A9F8695187D9EE2B88E1337FDE332926B12"/>
    <x v="90"/>
    <s v="CASA DA VÍTIMA"/>
    <x v="22"/>
    <s v="HÁ UMA SEMANA"/>
    <s v="VIOLÊNCIA CONTRA CIDADÃO, FAMÍLIA OU COMUNIDADE"/>
    <s v="OUTROS FAMILIARES"/>
    <x v="0"/>
    <x v="4"/>
    <s v="AL"/>
    <x v="0"/>
    <x v="0"/>
    <x v="0"/>
    <s v="NULL"/>
    <x v="1"/>
    <x v="0"/>
    <s v="NÃO INFORMADO"/>
    <s v="AL"/>
    <s v="AGNÓSTICO/ATEU/SEM RELIGIÃO"/>
    <x v="2"/>
    <s v="NULL"/>
    <x v="2"/>
    <x v="3"/>
  </r>
  <r>
    <s v="7F1A0B12BBB49B43150B7E2A4A21E6DA9798B8C22E9D0DE0372180B2309143DB"/>
    <x v="90"/>
    <s v="OUTROS ESTABELECIMENTOS"/>
    <x v="7"/>
    <s v="NÃO SE APLICA"/>
    <s v="VIOLÊNCIA CONTRA CIDADÃO, FAMÍLIA OU COMUNIDADE"/>
    <s v="DESCONHECIDO(A)"/>
    <x v="0"/>
    <x v="2"/>
    <s v="ES"/>
    <x v="0"/>
    <x v="0"/>
    <x v="0"/>
    <s v="NULL"/>
    <x v="0"/>
    <x v="2"/>
    <s v="NÃO INFORMADO"/>
    <s v="ES"/>
    <s v="AGNÓSTICO/ATEU/SEM RELIGIÃO"/>
    <x v="0"/>
    <s v="NULL"/>
    <x v="2"/>
    <x v="3"/>
  </r>
  <r>
    <s v="7F1A0B12BBB49B43150B7E2A4A21E6DA9798B8C22E9D0DE0372180B2309143DB"/>
    <x v="90"/>
    <s v="OUTROS ESTABELECIMENTOS"/>
    <x v="7"/>
    <s v="NÃO SE APLICA"/>
    <s v="VIOLÊNCIA CONTRA CIDADÃO, FAMÍLIA OU COMUNIDADE"/>
    <s v="DESCONHECIDO(A)"/>
    <x v="0"/>
    <x v="2"/>
    <s v="ES"/>
    <x v="0"/>
    <x v="0"/>
    <x v="0"/>
    <s v="NULL"/>
    <x v="0"/>
    <x v="2"/>
    <s v="NÃO INFORMADO"/>
    <s v="ES"/>
    <s v="AGNÓSTICO/ATEU/SEM RELIGIÃO"/>
    <x v="0"/>
    <s v="NULL"/>
    <x v="0"/>
    <x v="3"/>
  </r>
  <r>
    <s v="2356D7D7C4E5B0A4D9AA59A1E1E80AC6A968EA4D84AA87420E3B2187619BC3BD"/>
    <x v="91"/>
    <s v="CASA DA VÍTIMA"/>
    <x v="4"/>
    <s v="HÁ MAIS DE SEIS MESES"/>
    <s v="VIOLÊNCIA CONTRA CIDADÃO, FAMÍLIA OU COMUNIDADE"/>
    <s v="VIZINHO(A)"/>
    <x v="0"/>
    <x v="7"/>
    <s v="MG"/>
    <x v="8"/>
    <x v="3"/>
    <x v="2"/>
    <s v="NULL"/>
    <x v="2"/>
    <x v="7"/>
    <s v="NÃO"/>
    <s v="MG"/>
    <s v="AGNÓSTICO/ATEU/SEM RELIGIÃO"/>
    <x v="0"/>
    <s v="NULL"/>
    <x v="2"/>
    <x v="4"/>
  </r>
  <r>
    <s v="767AFDF4308A61781624A08F5AA8042A705544688F4B49FD7A3E95C782CBC818"/>
    <x v="91"/>
    <s v="CASA DA VÍTIMA"/>
    <x v="4"/>
    <s v="HÁ MAIS DE SEIS MESES"/>
    <s v="VIOLÊNCIA CONTRA CIDADÃO, FAMÍLIA OU COMUNIDADE"/>
    <s v="VIZINHO(A)"/>
    <x v="0"/>
    <x v="7"/>
    <s v="MG"/>
    <x v="8"/>
    <x v="3"/>
    <x v="2"/>
    <s v="NULL"/>
    <x v="2"/>
    <x v="7"/>
    <s v="NÃO"/>
    <s v="MG"/>
    <s v="AGNÓSTICO/ATEU/SEM RELIGIÃO"/>
    <x v="3"/>
    <s v="NULL"/>
    <x v="2"/>
    <x v="4"/>
  </r>
  <r>
    <s v="D4A7039ECFA240126DC10ED1477D457FF78C502D5EAC55A4C8D9C8ACFF57725C"/>
    <x v="91"/>
    <s v="CASA DA VÍTIMA"/>
    <x v="1"/>
    <s v="HÁ UM MÊS"/>
    <s v="VIOLÊNCIA CONTRA CIDADÃO, FAMÍLIA OU COMUNIDADE"/>
    <s v="OUTROS"/>
    <x v="0"/>
    <x v="7"/>
    <s v="SP"/>
    <x v="9"/>
    <x v="0"/>
    <x v="0"/>
    <s v="NULL"/>
    <x v="0"/>
    <x v="1"/>
    <s v="NÃO"/>
    <s v="SP"/>
    <s v="AGNÓSTICO/ATEU/SEM RELIGIÃO"/>
    <x v="3"/>
    <s v="NULL"/>
    <x v="0"/>
    <x v="4"/>
  </r>
  <r>
    <s v="55A43D78A187111D580E0848C724D7E8F42F11DBB4AA860DEF1F07712B9C3F77"/>
    <x v="91"/>
    <s v="OUTROS ESTABELECIMENTOS"/>
    <x v="1"/>
    <s v="HÁ MAIS DE DEZ ANOS"/>
    <s v="VIOLÊNCIA CONTRA CIDADÃO, FAMÍLIA OU COMUNIDADE"/>
    <s v="OUTROS"/>
    <x v="0"/>
    <x v="7"/>
    <s v="SP"/>
    <x v="0"/>
    <x v="0"/>
    <x v="3"/>
    <s v="NULL"/>
    <x v="1"/>
    <x v="0"/>
    <s v="NÃO INFORMADO"/>
    <s v="SP"/>
    <s v="AGNÓSTICO/ATEU/SEM RELIGIÃO"/>
    <x v="1"/>
    <s v="OUTRAS ATIVIDADES DE SERVIÇOS"/>
    <x v="1"/>
    <x v="4"/>
  </r>
  <r>
    <s v="6BCABD05214253BE2CB84E49D8340FC6D1EF531AD6FD42E0CE4C1E9C6660F261"/>
    <x v="92"/>
    <s v="OUTROS ESTABELECIMENTOS"/>
    <x v="7"/>
    <s v="NÃO SE APLICA"/>
    <s v="VIOLÊNCIA CONTRA CIDADÃO, FAMÍLIA OU COMUNIDADE"/>
    <s v="DESCONHECIDO(A)"/>
    <x v="0"/>
    <x v="9"/>
    <s v="ES"/>
    <x v="8"/>
    <x v="2"/>
    <x v="3"/>
    <s v="NULL"/>
    <x v="1"/>
    <x v="0"/>
    <s v="NÃO INFORMADO"/>
    <s v="ES"/>
    <s v="AGNÓSTICO/ATEU/SEM RELIGIÃO"/>
    <x v="1"/>
    <s v="PODER EXECUTIVO EM GERAL ? ESTADUAL/DISTRITO FEDERAL"/>
    <x v="0"/>
    <x v="4"/>
  </r>
  <r>
    <s v="FFEADFDACB724C6AAE12803A096D8B6FCCCF0A3233991E0D3AB8C68C151664E4"/>
    <x v="92"/>
    <s v="OUTROS ESTABELECIMENTOS"/>
    <x v="7"/>
    <s v="NÃO SE APLICA"/>
    <s v="VIOLÊNCIA CONTRA CIDADÃO, FAMÍLIA OU COMUNIDADE"/>
    <s v="DESCONHECIDO(A)"/>
    <x v="0"/>
    <x v="9"/>
    <s v="ES"/>
    <x v="8"/>
    <x v="2"/>
    <x v="3"/>
    <s v="NULL"/>
    <x v="1"/>
    <x v="0"/>
    <s v="NÃO INFORMADO"/>
    <s v="ES"/>
    <s v="AGNÓSTICO/ATEU/SEM RELIGIÃO"/>
    <x v="1"/>
    <s v="PODER EXECUTIVO EM GERAL ? ESTADUAL/DISTRITO FEDERAL"/>
    <x v="0"/>
    <x v="4"/>
  </r>
  <r>
    <s v="83EE753FCECB6FD57274AEAD7238EF5E2398E99247423A467FCAAE134DCDCEB9"/>
    <x v="92"/>
    <s v="OUTROS ESTABELECIMENTOS"/>
    <x v="7"/>
    <s v="NÃO SE APLICA"/>
    <s v="VIOLÊNCIA CONTRA CIDADÃO, FAMÍLIA OU COMUNIDADE"/>
    <s v="DESCONHECIDO(A)"/>
    <x v="0"/>
    <x v="9"/>
    <s v="ES"/>
    <x v="8"/>
    <x v="2"/>
    <x v="3"/>
    <s v="NULL"/>
    <x v="1"/>
    <x v="0"/>
    <s v="NÃO INFORMADO"/>
    <s v="ES"/>
    <s v="AGNÓSTICO/ATEU/SEM RELIGIÃO"/>
    <x v="1"/>
    <s v="PODER EXECUTIVO EM GERAL ? ESTADUAL/DISTRITO FEDERAL"/>
    <x v="0"/>
    <x v="4"/>
  </r>
  <r>
    <s v="7F9D722325C236E3D044B0BEAEDB4E2EBBFF83E3A7754DFE323F1DE60D6FBE4D"/>
    <x v="92"/>
    <s v="CASA DA VÍTIMA"/>
    <x v="16"/>
    <s v="NÃO SE APLICA"/>
    <s v="VIOLÊNCIA CONTRA CIDADÃO, FAMÍLIA OU COMUNIDADE"/>
    <s v="OUTROS FAMILIARES"/>
    <x v="0"/>
    <x v="2"/>
    <s v="RS"/>
    <x v="0"/>
    <x v="0"/>
    <x v="2"/>
    <s v="NULL"/>
    <x v="0"/>
    <x v="4"/>
    <s v="NÃO"/>
    <s v="RS"/>
    <s v="AGNÓSTICO/ATEU/SEM RELIGIÃO"/>
    <x v="1"/>
    <s v="NULL"/>
    <x v="0"/>
    <x v="4"/>
  </r>
  <r>
    <s v="51ACF4F45961838052B5329414031A6BEC15BC376763E866986496E384526862"/>
    <x v="93"/>
    <s v="CASA DA VÍTIMA"/>
    <x v="19"/>
    <s v="HÁ MAIS DE CINCO ANOS"/>
    <s v="VIOLÊNCIA CONTRA CIDADÃO, FAMÍLIA OU COMUNIDADE"/>
    <s v="VIZINHO(A)"/>
    <x v="1"/>
    <x v="2"/>
    <s v="PB"/>
    <x v="0"/>
    <x v="0"/>
    <x v="1"/>
    <s v="NULL"/>
    <x v="0"/>
    <x v="1"/>
    <s v="NÃO"/>
    <s v="PB"/>
    <s v="AGNÓSTICO/ATEU/SEM RELIGIÃO"/>
    <x v="0"/>
    <s v="NULL"/>
    <x v="2"/>
    <x v="4"/>
  </r>
  <r>
    <s v="54C23786F34FFF0825229F6BC98BD87FF810ADFDC8557973DCBBAFCE47649E2A"/>
    <x v="93"/>
    <s v="CASA DA VÍTIMA"/>
    <x v="19"/>
    <s v="HÁ MAIS DE CINCO ANOS"/>
    <s v="VIOLÊNCIA CONTRA CIDADÃO, FAMÍLIA OU COMUNIDADE"/>
    <s v="VIZINHO(A)"/>
    <x v="1"/>
    <x v="2"/>
    <s v="PB"/>
    <x v="0"/>
    <x v="0"/>
    <x v="1"/>
    <s v="NULL"/>
    <x v="2"/>
    <x v="1"/>
    <s v="NÃO"/>
    <s v="PB"/>
    <s v="AGNÓSTICO/ATEU/SEM RELIGIÃO"/>
    <x v="0"/>
    <s v="NULL"/>
    <x v="2"/>
    <x v="4"/>
  </r>
  <r>
    <s v="BD7C15E9563D11BEDE5C98047EB640F79A017F78193BF92E135456FCD87278CC"/>
    <x v="93"/>
    <s v="CASA DA VÍTIMA"/>
    <x v="19"/>
    <s v="HÁ MAIS DE CINCO ANOS"/>
    <s v="VIOLÊNCIA CONTRA CIDADÃO, FAMÍLIA OU COMUNIDADE"/>
    <s v="VIZINHO(A)"/>
    <x v="1"/>
    <x v="2"/>
    <s v="PB"/>
    <x v="0"/>
    <x v="0"/>
    <x v="1"/>
    <s v="NULL"/>
    <x v="0"/>
    <x v="2"/>
    <s v="NÃO"/>
    <s v="PB"/>
    <s v="AGNÓSTICO/ATEU/SEM RELIGIÃO"/>
    <x v="2"/>
    <s v="NULL"/>
    <x v="2"/>
    <x v="4"/>
  </r>
  <r>
    <s v="A55D13A2CA060E00E210B2927C4533C75AFFA8940CDC7A58FFAC4633E7C20E82"/>
    <x v="93"/>
    <s v="CASA DA VÍTIMA"/>
    <x v="19"/>
    <s v="HÁ MAIS DE CINCO ANOS"/>
    <s v="VIOLÊNCIA CONTRA CIDADÃO, FAMÍLIA OU COMUNIDADE"/>
    <s v="VIZINHO(A)"/>
    <x v="1"/>
    <x v="2"/>
    <s v="PB"/>
    <x v="0"/>
    <x v="0"/>
    <x v="1"/>
    <s v="NULL"/>
    <x v="0"/>
    <x v="2"/>
    <s v="NÃO"/>
    <s v="PB"/>
    <s v="AGNÓSTICO/ATEU/SEM RELIGIÃO"/>
    <x v="2"/>
    <s v="NULL"/>
    <x v="2"/>
    <x v="4"/>
  </r>
  <r>
    <s v="F0EC6AA4CD28EA961235305355148F83BB515F788293238BD48A683ED0E1DE1E"/>
    <x v="93"/>
    <s v="CASA DA VÍTIMA"/>
    <x v="19"/>
    <s v="HÁ MAIS DE CINCO ANOS"/>
    <s v="VIOLÊNCIA CONTRA CIDADÃO, FAMÍLIA OU COMUNIDADE"/>
    <s v="VIZINHO(A)"/>
    <x v="1"/>
    <x v="2"/>
    <s v="PB"/>
    <x v="0"/>
    <x v="0"/>
    <x v="1"/>
    <s v="NULL"/>
    <x v="2"/>
    <x v="1"/>
    <s v="NÃO"/>
    <s v="PB"/>
    <s v="AGNÓSTICO/ATEU/SEM RELIGIÃO"/>
    <x v="0"/>
    <s v="NULL"/>
    <x v="2"/>
    <x v="4"/>
  </r>
  <r>
    <s v="0D91C2251258909FB71F95E2F81E8930ADD8AC58B0BE68EDCCCABE4719790B86"/>
    <x v="94"/>
    <s v="CASA DA VÍTIMA"/>
    <x v="2"/>
    <s v="NÃO SE APLICA"/>
    <s v="VIOLÊNCIA CONTRA CIDADÃO, FAMÍLIA OU COMUNIDADE"/>
    <s v="DESCONHECIDO(A)"/>
    <x v="0"/>
    <x v="6"/>
    <s v="RJ"/>
    <x v="3"/>
    <x v="0"/>
    <x v="0"/>
    <s v="NULL"/>
    <x v="0"/>
    <x v="3"/>
    <s v="NÃO INFORMADO"/>
    <s v="RJ"/>
    <s v="AGNÓSTICO/ATEU/SEM RELIGIÃO"/>
    <x v="2"/>
    <s v="NULL"/>
    <x v="0"/>
    <x v="4"/>
  </r>
  <r>
    <s v="07A2073A675B67CDF4DF00F6D561190C0B50FF5184DF90465140EE3CA8EC4199"/>
    <x v="94"/>
    <s v="OUTROS ESTABELECIMENTOS"/>
    <x v="1"/>
    <s v="HÁ MAIS DE UM ANO"/>
    <s v="VIOLÊNCIA CONTRA CIDADÃO, FAMÍLIA OU COMUNIDADE"/>
    <s v="NÃO SABE INFORMAR"/>
    <x v="0"/>
    <x v="3"/>
    <s v="SP"/>
    <x v="3"/>
    <x v="0"/>
    <x v="2"/>
    <s v="NULL"/>
    <x v="1"/>
    <x v="6"/>
    <s v="NÃO INFORMADO"/>
    <s v="SP"/>
    <s v="AGNÓSTICO/ATEU/SEM RELIGIÃO"/>
    <x v="1"/>
    <s v="NULL"/>
    <x v="0"/>
    <x v="4"/>
  </r>
  <r>
    <s v="4F9C851C5B17A51D40E67452C2FDE8761C4545B165AE544E26012E7B844C7859"/>
    <x v="95"/>
    <s v="OUTROS ESTABELECIMENTOS"/>
    <x v="1"/>
    <s v="NÃO SE APLICA"/>
    <s v="VIOLÊNCIA CONTRA CIDADÃO, FAMÍLIA OU COMUNIDADE"/>
    <s v="DIRETOR/GESTOR DE INSTITUIÇÃO"/>
    <x v="0"/>
    <x v="7"/>
    <s v="SP"/>
    <x v="0"/>
    <x v="0"/>
    <x v="0"/>
    <s v="NULL"/>
    <x v="1"/>
    <x v="0"/>
    <s v="NÃO INFORMADO"/>
    <s v="SP"/>
    <s v="AGNÓSTICO/ATEU/SEM RELIGIÃO"/>
    <x v="1"/>
    <s v="EDUCAÇÃO"/>
    <x v="2"/>
    <x v="4"/>
  </r>
  <r>
    <s v="013FE04F88848A0C565C4692CAFD0F39DFD242ABEFB9C9AF911BE4414F79F191"/>
    <x v="96"/>
    <s v="OUTROS ESTABELECIMENTOS"/>
    <x v="17"/>
    <s v="HÁ MAIS DE SEIS MESES"/>
    <s v="VIOLÊNCIA CONTRA CIDADÃO, FAMÍLIA OU COMUNIDADE"/>
    <s v="FUNCIONÁRIO, VOLUNTÁRIO OU PRESTADOR DE SERVIÇO PARA INSTITUIÇÃO"/>
    <x v="0"/>
    <x v="4"/>
    <s v="PA"/>
    <x v="0"/>
    <x v="0"/>
    <x v="3"/>
    <s v="NULL"/>
    <x v="1"/>
    <x v="0"/>
    <s v="NÃO INFORMADO"/>
    <s v="DENUNCIANTE NÃO SOUBE INFORMAR"/>
    <s v="AGNÓSTICO/ATEU/SEM RELIGIÃO"/>
    <x v="1"/>
    <s v="SEGURANÇA PÚBLICA, FORÇAS ARMADAS, DEFESA CIVIL, BOMBEIROS E ASSEMELHADOS ? MUNICIPAL"/>
    <x v="0"/>
    <x v="4"/>
  </r>
  <r>
    <s v="ACDC9EA81FB0A071391ABF4F22F23A04425A211C4B180E3EB7FBE6005E2C8C2D"/>
    <x v="96"/>
    <s v="ESTABELECIMENTO DE SAÚDE"/>
    <x v="1"/>
    <s v="HÁ UM MÊS"/>
    <s v="VIOLÊNCIA CONTRA CIDADÃO, FAMÍLIA OU COMUNIDADE"/>
    <s v="FUNCIONÁRIO, VOLUNTÁRIO OU PRESTADOR DE SERVIÇO PARA INSTITUIÇÃO"/>
    <x v="0"/>
    <x v="1"/>
    <s v="SP"/>
    <x v="1"/>
    <x v="0"/>
    <x v="1"/>
    <s v="NULL"/>
    <x v="1"/>
    <x v="0"/>
    <s v="NÃO INFORMADO"/>
    <s v="SP"/>
    <s v="AGNÓSTICO/ATEU/SEM RELIGIÃO"/>
    <x v="1"/>
    <s v="ALOJAMENTO E ALIMENTAÇÃO"/>
    <x v="1"/>
    <x v="4"/>
  </r>
  <r>
    <s v="90AAEEBA47F11A47E5AC27015FA68D401E25832FF91307520559010C0E4FB9B8"/>
    <x v="96"/>
    <s v="ESTABELECIMENTO DE SAÚDE"/>
    <x v="1"/>
    <s v="HÁ UM MÊS"/>
    <s v="VIOLÊNCIA CONTRA CIDADÃO, FAMÍLIA OU COMUNIDADE"/>
    <s v="FUNCIONÁRIO, VOLUNTÁRIO OU PRESTADOR DE SERVIÇO PARA INSTITUIÇÃO"/>
    <x v="0"/>
    <x v="1"/>
    <s v="SP"/>
    <x v="1"/>
    <x v="0"/>
    <x v="1"/>
    <s v="NULL"/>
    <x v="1"/>
    <x v="0"/>
    <s v="NÃO INFORMADO"/>
    <s v="SP"/>
    <s v="AGNÓSTICO/ATEU/SEM RELIGIÃO"/>
    <x v="1"/>
    <s v="ALOJAMENTO E ALIMENTAÇÃO"/>
    <x v="0"/>
    <x v="4"/>
  </r>
  <r>
    <s v="90AAEEBA47F11A47E5AC27015FA68D401E25832FF91307520559010C0E4FB9B8"/>
    <x v="96"/>
    <s v="ESTABELECIMENTO DE SAÚDE"/>
    <x v="1"/>
    <s v="HÁ UM MÊS"/>
    <s v="VIOLÊNCIA CONTRA CIDADÃO, FAMÍLIA OU COMUNIDADE"/>
    <s v="FUNCIONÁRIO, VOLUNTÁRIO OU PRESTADOR DE SERVIÇO PARA INSTITUIÇÃO"/>
    <x v="0"/>
    <x v="1"/>
    <s v="SP"/>
    <x v="1"/>
    <x v="0"/>
    <x v="1"/>
    <s v="NULL"/>
    <x v="1"/>
    <x v="0"/>
    <s v="NÃO INFORMADO"/>
    <s v="SP"/>
    <s v="AGNÓSTICO/ATEU/SEM RELIGIÃO"/>
    <x v="1"/>
    <s v="ALOJAMENTO E ALIMENTAÇÃO"/>
    <x v="1"/>
    <x v="4"/>
  </r>
  <r>
    <s v="ACDC9EA81FB0A071391ABF4F22F23A04425A211C4B180E3EB7FBE6005E2C8C2D"/>
    <x v="96"/>
    <s v="ESTABELECIMENTO DE SAÚDE"/>
    <x v="1"/>
    <s v="HÁ UM MÊS"/>
    <s v="VIOLÊNCIA CONTRA CIDADÃO, FAMÍLIA OU COMUNIDADE"/>
    <s v="FUNCIONÁRIO, VOLUNTÁRIO OU PRESTADOR DE SERVIÇO PARA INSTITUIÇÃO"/>
    <x v="0"/>
    <x v="1"/>
    <s v="SP"/>
    <x v="1"/>
    <x v="0"/>
    <x v="1"/>
    <s v="NULL"/>
    <x v="1"/>
    <x v="0"/>
    <s v="NÃO INFORMADO"/>
    <s v="SP"/>
    <s v="AGNÓSTICO/ATEU/SEM RELIGIÃO"/>
    <x v="1"/>
    <s v="ALOJAMENTO E ALIMENTAÇÃO"/>
    <x v="0"/>
    <x v="4"/>
  </r>
  <r>
    <s v="8A5A9E888EDAA44731CFF247424DB3F7A947619425F1630B59142C2AFB7D0716"/>
    <x v="96"/>
    <s v="LOCAL DE TRABALHO DA VÍTIMA"/>
    <x v="2"/>
    <s v="HÁ MAIS DE SEIS MESES"/>
    <s v="VIOLÊNCIA CONTRA CIDADÃO, FAMÍLIA OU COMUNIDADE"/>
    <s v="EMPREGADO (HIERARQUICAMENTE INFERIOR)"/>
    <x v="0"/>
    <x v="3"/>
    <s v="RJ"/>
    <x v="0"/>
    <x v="3"/>
    <x v="2"/>
    <s v="NULL"/>
    <x v="0"/>
    <x v="9"/>
    <s v="NÃO"/>
    <s v="RJ"/>
    <s v="EVANGÉLICA"/>
    <x v="2"/>
    <s v="NULL"/>
    <x v="2"/>
    <x v="4"/>
  </r>
  <r>
    <s v="8A5A9E888EDAA44731CFF247424DB3F7A947619425F1630B59142C2AFB7D0716"/>
    <x v="96"/>
    <s v="LOCAL DE TRABALHO DA VÍTIMA"/>
    <x v="2"/>
    <s v="HÁ MAIS DE SEIS MESES"/>
    <s v="VIOLÊNCIA CONTRA CIDADÃO, FAMÍLIA OU COMUNIDADE"/>
    <s v="EMPREGADO (HIERARQUICAMENTE INFERIOR)"/>
    <x v="0"/>
    <x v="3"/>
    <s v="RJ"/>
    <x v="0"/>
    <x v="3"/>
    <x v="2"/>
    <s v="NULL"/>
    <x v="0"/>
    <x v="9"/>
    <s v="NÃO"/>
    <s v="RJ"/>
    <s v="EVANGÉLICA"/>
    <x v="2"/>
    <s v="NULL"/>
    <x v="0"/>
    <x v="4"/>
  </r>
  <r>
    <s v="523B5F1C41B984EEDB900A2622027D9F9000867F6790346078AB0DA7DF094D94"/>
    <x v="97"/>
    <s v="LOCAL DE TRABALHO DA VÍTIMA"/>
    <x v="7"/>
    <s v="NÃO SABE INFORMAR"/>
    <s v="VIOLÊNCIA CONTRA CIDADÃO, FAMÍLIA OU COMUNIDADE"/>
    <s v="OUTROS"/>
    <x v="0"/>
    <x v="0"/>
    <s v="ES"/>
    <x v="5"/>
    <x v="0"/>
    <x v="0"/>
    <s v="NULL"/>
    <x v="1"/>
    <x v="0"/>
    <s v="NÃO INFORMADO"/>
    <s v="ES"/>
    <s v="AGNÓSTICO/ATEU/SEM RELIGIÃO"/>
    <x v="1"/>
    <s v="PODER LEGISLATIVO ? MUNICIPAL"/>
    <x v="0"/>
    <x v="4"/>
  </r>
  <r>
    <s v="640CC51607D6250B4F16F8D8C9F9292C8BE6CED6388318A2A287E03A043774D2"/>
    <x v="98"/>
    <s v="AMBIENTE VIRTUAL (NO ÂMBITO DA INTERNET)"/>
    <x v="1"/>
    <s v="NÃO SE APLICA"/>
    <s v="VIOLÊNCIA CONTRA CIDADÃO, FAMÍLIA OU COMUNIDADE"/>
    <s v="OUTROS"/>
    <x v="0"/>
    <x v="3"/>
    <s v="SP"/>
    <x v="0"/>
    <x v="0"/>
    <x v="2"/>
    <s v="NULL"/>
    <x v="2"/>
    <x v="5"/>
    <s v="NÃO"/>
    <s v="DENUNCIANTE NÃO SOUBE INFORMAR"/>
    <s v="AGNÓSTICO/ATEU/SEM RELIGIÃO"/>
    <x v="0"/>
    <s v="NULL"/>
    <x v="0"/>
    <x v="4"/>
  </r>
  <r>
    <s v="2BEFFEFEB2C12A7BF7094493F7DD5D949BCCAA35412855E682ECF4BC42FCD424"/>
    <x v="98"/>
    <s v="OUTROS ESTABELECIMENTOS"/>
    <x v="1"/>
    <s v="NÃO SE APLICA"/>
    <s v="VIOLÊNCIA CONTRA CIDADÃO, FAMÍLIA OU COMUNIDADE"/>
    <s v="OUTROS"/>
    <x v="0"/>
    <x v="7"/>
    <s v="RJ"/>
    <x v="0"/>
    <x v="3"/>
    <x v="3"/>
    <s v="NULL"/>
    <x v="0"/>
    <x v="0"/>
    <s v="NÃO INFORMADO"/>
    <s v="SP"/>
    <s v="AGNÓSTICO/ATEU/SEM RELIGIÃO"/>
    <x v="1"/>
    <s v="NULL"/>
    <x v="1"/>
    <x v="4"/>
  </r>
  <r>
    <s v="434BBAE2533E4DAFC2BC2AF0EBFD56F6EEB375B39A841EAD905C1CBF4C169722"/>
    <x v="98"/>
    <s v="CASA DO SUSPEITO"/>
    <x v="2"/>
    <s v="HÁ MAIS DE UM ANO"/>
    <s v="VIOLÊNCIA CONTRA CIDADÃO, FAMÍLIA OU COMUNIDADE"/>
    <s v="IRMÃO(Ã)"/>
    <x v="0"/>
    <x v="7"/>
    <s v="RJ"/>
    <x v="1"/>
    <x v="3"/>
    <x v="0"/>
    <s v="NULL"/>
    <x v="0"/>
    <x v="9"/>
    <s v="NÃO INFORMADO"/>
    <s v="RJ"/>
    <s v="CATÓLICA"/>
    <x v="3"/>
    <s v="NULL"/>
    <x v="0"/>
    <x v="4"/>
  </r>
  <r>
    <s v="596358DB680F9A46ACC31CC5B25483E6E839300A036F30FE0FD3192CFF3E22BE"/>
    <x v="99"/>
    <s v="OUTROS ESTABELECIMENTOS"/>
    <x v="20"/>
    <s v="NÃO SE APLICA"/>
    <s v="VIOLÊNCIA CONTRA CIDADÃO, FAMÍLIA OU COMUNIDADE"/>
    <s v="OUTROS"/>
    <x v="0"/>
    <x v="8"/>
    <s v="DENUNCIANTE NÃO SOUBE INFORMAR"/>
    <x v="0"/>
    <x v="0"/>
    <x v="1"/>
    <s v="NULL"/>
    <x v="0"/>
    <x v="3"/>
    <s v="NÃO INFORMADO"/>
    <s v="DENUNCIANTE NÃO SOUBE INFORMAR"/>
    <s v="AGNÓSTICO/ATEU/SEM RELIGIÃO"/>
    <x v="1"/>
    <s v="NULL"/>
    <x v="0"/>
    <x v="4"/>
  </r>
  <r>
    <s v="52BEA17C03571C04815D8DB725FE5FC6E9839B7D97D599D3ABD565A888C9BF89"/>
    <x v="99"/>
    <s v="OUTROS ESTABELECIMENTOS"/>
    <x v="20"/>
    <s v="NÃO SE APLICA"/>
    <s v="VIOLÊNCIA CONTRA CIDADÃO, FAMÍLIA OU COMUNIDADE"/>
    <s v="OUTROS"/>
    <x v="0"/>
    <x v="8"/>
    <s v="DENUNCIANTE NÃO SOUBE INFORMAR"/>
    <x v="0"/>
    <x v="0"/>
    <x v="1"/>
    <s v="NULL"/>
    <x v="0"/>
    <x v="9"/>
    <s v="NÃO"/>
    <s v="DENUNCIANTE NÃO SOUBE INFORMAR"/>
    <s v="AGNÓSTICO/ATEU/SEM RELIGIÃO"/>
    <x v="1"/>
    <s v="NULL"/>
    <x v="0"/>
    <x v="4"/>
  </r>
  <r>
    <s v="F6DDF17F03CE63DC5ADE687D18893F6F79FCDA5C7CF315994DE9B3B793278468"/>
    <x v="99"/>
    <s v="OUTROS ESTABELECIMENTOS"/>
    <x v="20"/>
    <s v="NÃO SE APLICA"/>
    <s v="VIOLÊNCIA CONTRA CIDADÃO, FAMÍLIA OU COMUNIDADE"/>
    <s v="OUTROS"/>
    <x v="0"/>
    <x v="8"/>
    <s v="DENUNCIANTE NÃO SOUBE INFORMAR"/>
    <x v="0"/>
    <x v="0"/>
    <x v="1"/>
    <s v="NULL"/>
    <x v="0"/>
    <x v="3"/>
    <s v="NÃO"/>
    <s v="DENUNCIANTE NÃO SOUBE INFORMAR"/>
    <s v="AGNÓSTICO/ATEU/SEM RELIGIÃO"/>
    <x v="1"/>
    <s v="NULL"/>
    <x v="0"/>
    <x v="4"/>
  </r>
  <r>
    <s v="10AF79ED200CA22265F14A5D2C23DE3E5745C924B0B90F2D4D148A880A8E002D"/>
    <x v="99"/>
    <s v="CASA DA VÍTIMA"/>
    <x v="19"/>
    <s v="NÃO SE APLICA"/>
    <s v="VIOLÊNCIA CONTRA CIDADÃO, FAMÍLIA OU COMUNIDADE"/>
    <s v="VIZINHO(A)"/>
    <x v="1"/>
    <x v="0"/>
    <s v="PB"/>
    <x v="0"/>
    <x v="9"/>
    <x v="1"/>
    <s v="NULL"/>
    <x v="2"/>
    <x v="1"/>
    <s v="NÃO INFORMADO"/>
    <s v="PB"/>
    <s v="AGNÓSTICO/ATEU/SEM RELIGIÃO"/>
    <x v="0"/>
    <s v="NULL"/>
    <x v="0"/>
    <x v="4"/>
  </r>
  <r>
    <s v="BF9DA0B37CD40E2F90E720AC8912FC94F141CA39B5E9669B1844892A8948C353"/>
    <x v="99"/>
    <s v="CASA DA VÍTIMA"/>
    <x v="1"/>
    <s v="HÁ MAIS DE SEIS MESES"/>
    <s v="VIOLÊNCIA CONTRA CIDADÃO, FAMÍLIA OU COMUNIDADE"/>
    <s v="VIZINHO(A)"/>
    <x v="0"/>
    <x v="0"/>
    <s v="SP"/>
    <x v="0"/>
    <x v="0"/>
    <x v="0"/>
    <s v="NULL"/>
    <x v="0"/>
    <x v="0"/>
    <s v="NÃO INFORMADO"/>
    <s v="SP"/>
    <s v="AGNÓSTICO/ATEU/SEM RELIGIÃO"/>
    <x v="1"/>
    <s v="NULL"/>
    <x v="0"/>
    <x v="4"/>
  </r>
  <r>
    <s v="D6FA3E28FB59A4284DDCE37742E9DAA69C2A5F8C7F7B018786EB3C570D8B7CEB"/>
    <x v="100"/>
    <s v="CASA DO SUSPEITO"/>
    <x v="6"/>
    <s v="NÃO SE APLICA"/>
    <s v="VIOLÊNCIA CONTRA CIDADÃO, FAMÍLIA OU COMUNIDADE"/>
    <s v="FUNCIONÁRIO, VOLUNTÁRIO OU PRESTADOR DE SERVIÇO PARA INSTITUIÇÃO"/>
    <x v="0"/>
    <x v="3"/>
    <s v="GO"/>
    <x v="0"/>
    <x v="0"/>
    <x v="0"/>
    <s v="NULL"/>
    <x v="1"/>
    <x v="0"/>
    <s v="NÃO INFORMADO"/>
    <s v="GO"/>
    <s v="AGNÓSTICO/ATEU/SEM RELIGIÃO"/>
    <x v="1"/>
    <s v="OUTRAS ATIVIDADES DE SERVIÇOS"/>
    <x v="1"/>
    <x v="4"/>
  </r>
  <r>
    <s v="D6FA3E28FB59A4284DDCE37742E9DAA69C2A5F8C7F7B018786EB3C570D8B7CEB"/>
    <x v="100"/>
    <s v="CASA DO SUSPEITO"/>
    <x v="6"/>
    <s v="NÃO SE APLICA"/>
    <s v="VIOLÊNCIA CONTRA CIDADÃO, FAMÍLIA OU COMUNIDADE"/>
    <s v="FUNCIONÁRIO, VOLUNTÁRIO OU PRESTADOR DE SERVIÇO PARA INSTITUIÇÃO"/>
    <x v="0"/>
    <x v="3"/>
    <s v="GO"/>
    <x v="0"/>
    <x v="0"/>
    <x v="0"/>
    <s v="NULL"/>
    <x v="1"/>
    <x v="0"/>
    <s v="NÃO INFORMADO"/>
    <s v="GO"/>
    <s v="AGNÓSTICO/ATEU/SEM RELIGIÃO"/>
    <x v="1"/>
    <s v="OUTRAS ATIVIDADES DE SERVIÇOS"/>
    <x v="0"/>
    <x v="4"/>
  </r>
  <r>
    <s v="8BEB28D805930E89A70E143D3B47DCAAC717A59D2B89DDC7C1801CFB5771D579"/>
    <x v="100"/>
    <s v="CASA DA VÍTIMA"/>
    <x v="6"/>
    <s v="HÁ MAIS DE UM ANO"/>
    <s v="VIOLÊNCIA CONTRA CIDADÃO, FAMÍLIA OU COMUNIDADE"/>
    <s v="LÍDER RELIGIOSO(A)"/>
    <x v="0"/>
    <x v="2"/>
    <s v="GO"/>
    <x v="0"/>
    <x v="3"/>
    <x v="0"/>
    <s v="NULL"/>
    <x v="0"/>
    <x v="9"/>
    <s v="NÃO"/>
    <s v="GO"/>
    <s v="AGNÓSTICO/ATEU/SEM RELIGIÃO"/>
    <x v="2"/>
    <s v="NULL"/>
    <x v="0"/>
    <x v="4"/>
  </r>
  <r>
    <s v="7544209F71D8E00FAC6A5CBA488F5E33E6865DA646228BD1B80BE4952D5FF535"/>
    <x v="100"/>
    <s v="CASA DA VÍTIMA"/>
    <x v="6"/>
    <s v="HÁ MAIS DE UM ANO"/>
    <s v="VIOLÊNCIA CONTRA CIDADÃO, FAMÍLIA OU COMUNIDADE"/>
    <s v="LÍDER RELIGIOSO(A)"/>
    <x v="0"/>
    <x v="2"/>
    <s v="GO"/>
    <x v="0"/>
    <x v="3"/>
    <x v="0"/>
    <s v="NULL"/>
    <x v="2"/>
    <x v="2"/>
    <s v="NÃO"/>
    <s v="GO"/>
    <s v="UMBANDA E CANDOMBLÉ"/>
    <x v="0"/>
    <s v="NULL"/>
    <x v="0"/>
    <x v="4"/>
  </r>
  <r>
    <s v="4E24FFDA7BE4D8BCFF7AFA456B234667C7565CD82E14E4F8779F037FD038576E"/>
    <x v="100"/>
    <s v="CASA DA VÍTIMA"/>
    <x v="1"/>
    <s v="NÃO SE APLICA"/>
    <s v="VIOLÊNCIA CONTRA CIDADÃO, FAMÍLIA OU COMUNIDADE"/>
    <s v="VIZINHO(A)"/>
    <x v="0"/>
    <x v="3"/>
    <s v="SP"/>
    <x v="0"/>
    <x v="3"/>
    <x v="3"/>
    <s v="NULL"/>
    <x v="1"/>
    <x v="0"/>
    <s v="NÃO INFORMADO"/>
    <s v="SP"/>
    <s v="AGNÓSTICO/ATEU/SEM RELIGIÃO"/>
    <x v="1"/>
    <s v="NULL"/>
    <x v="0"/>
    <x v="4"/>
  </r>
  <r>
    <s v="0698CDA3F71AA5FC491E503857FA81B8AF5B3AF3F7D1AEB7B7717256E4B775BF"/>
    <x v="101"/>
    <s v="OUTROS ESTABELECIMENTOS"/>
    <x v="19"/>
    <s v="HÁ MAIS DE DEZ ANOS"/>
    <s v="VIOLÊNCIA CONTRA CIDADÃO, FAMÍLIA OU COMUNIDADE"/>
    <s v="PRESTADOR(A) DE SERVIÇO"/>
    <x v="1"/>
    <x v="2"/>
    <s v="PB"/>
    <x v="0"/>
    <x v="0"/>
    <x v="1"/>
    <s v="NULL"/>
    <x v="1"/>
    <x v="0"/>
    <s v="NÃO INFORMADO"/>
    <s v="PB"/>
    <s v="AGNÓSTICO/ATEU/SEM RELIGIÃO"/>
    <x v="1"/>
    <s v="PODER EXECUTIVO EM GERAL - MUNICIPAL"/>
    <x v="1"/>
    <x v="4"/>
  </r>
  <r>
    <s v="E9CA00BC1A4BD559C9E1A5CC1B8BCB8E6FABA14EF2B8557DF96000201149DD9F"/>
    <x v="101"/>
    <s v="OUTROS ESTABELECIMENTOS"/>
    <x v="19"/>
    <s v="HÁ MAIS DE DEZ ANOS"/>
    <s v="VIOLÊNCIA CONTRA CIDADÃO, FAMÍLIA OU COMUNIDADE"/>
    <s v="PRESTADOR(A) DE SERVIÇO"/>
    <x v="1"/>
    <x v="2"/>
    <s v="PB"/>
    <x v="0"/>
    <x v="0"/>
    <x v="1"/>
    <s v="NULL"/>
    <x v="1"/>
    <x v="0"/>
    <s v="NÃO INFORMADO"/>
    <s v="PB"/>
    <s v="AGNÓSTICO/ATEU/SEM RELIGIÃO"/>
    <x v="1"/>
    <s v="PODER EXECUTIVO EM GERAL - MUNICIPAL"/>
    <x v="1"/>
    <x v="4"/>
  </r>
  <r>
    <s v="81119FC267B2CEB2D32F18E35842A47CFA505ED30A0A10CD860EE76AC7B7919B"/>
    <x v="101"/>
    <s v="OUTROS ESTABELECIMENTOS"/>
    <x v="19"/>
    <s v="HÁ MAIS DE DEZ ANOS"/>
    <s v="VIOLÊNCIA CONTRA CIDADÃO, FAMÍLIA OU COMUNIDADE"/>
    <s v="PRESTADOR(A) DE SERVIÇO"/>
    <x v="1"/>
    <x v="2"/>
    <s v="PB"/>
    <x v="0"/>
    <x v="0"/>
    <x v="1"/>
    <s v="NULL"/>
    <x v="1"/>
    <x v="0"/>
    <s v="NÃO INFORMADO"/>
    <s v="PB"/>
    <s v="AGNÓSTICO/ATEU/SEM RELIGIÃO"/>
    <x v="1"/>
    <s v="PODER EXECUTIVO EM GERAL - MUNICIPAL"/>
    <x v="1"/>
    <x v="4"/>
  </r>
  <r>
    <s v="82349FBFE765B517AC202944EE7A375B41AA44C643F6B8E851CCA6DAE9FCAB48"/>
    <x v="102"/>
    <s v="CASA DA VÍTIMA"/>
    <x v="21"/>
    <s v="NÃO SE APLICA"/>
    <s v="VIOLÊNCIA CONTRA CIDADÃO, FAMÍLIA OU COMUNIDADE"/>
    <s v="OUTROS"/>
    <x v="0"/>
    <x v="2"/>
    <s v="PI"/>
    <x v="3"/>
    <x v="2"/>
    <x v="0"/>
    <s v="NULL"/>
    <x v="1"/>
    <x v="0"/>
    <s v="NÃO INFORMADO"/>
    <s v="PI"/>
    <s v="AGNÓSTICO/ATEU/SEM RELIGIÃO"/>
    <x v="1"/>
    <s v="SAÚDE HUMANA E SERVIÇOS SOCIAIS"/>
    <x v="2"/>
    <x v="4"/>
  </r>
  <r>
    <s v="73A59600209372C999421811D3EA1D4CA2FC0D544A151D28D54C82D7020802D9"/>
    <x v="102"/>
    <s v="CASA DA VÍTIMA"/>
    <x v="21"/>
    <s v="NÃO SE APLICA"/>
    <s v="VIOLÊNCIA CONTRA CIDADÃO, FAMÍLIA OU COMUNIDADE"/>
    <s v="OUTROS"/>
    <x v="0"/>
    <x v="2"/>
    <s v="PI"/>
    <x v="3"/>
    <x v="2"/>
    <x v="0"/>
    <s v="NULL"/>
    <x v="0"/>
    <x v="1"/>
    <s v="NÃO"/>
    <s v="PI"/>
    <s v="CATÓLICA"/>
    <x v="0"/>
    <s v="NULL"/>
    <x v="2"/>
    <x v="4"/>
  </r>
  <r>
    <s v="EBA480564C365C0C24E3AE6568A374BBE055B7BD4E45208597D3B96CC076D949"/>
    <x v="102"/>
    <s v="LOCAL DE TRABALHO DA VÍTIMA"/>
    <x v="2"/>
    <s v="HÁ MAIS DE UM ANO"/>
    <s v="VIOLÊNCIA CONTRA CIDADÃO, FAMÍLIA OU COMUNIDADE"/>
    <s v="EMPREGADOR/PATRÃO (HIERARQUICAMENTE SUPERIOR)"/>
    <x v="0"/>
    <x v="7"/>
    <s v="RJ"/>
    <x v="3"/>
    <x v="0"/>
    <x v="0"/>
    <s v="NULL"/>
    <x v="1"/>
    <x v="0"/>
    <s v="NÃO INFORMADO"/>
    <s v="RJ"/>
    <s v="AGNÓSTICO/ATEU/SEM RELIGIÃO"/>
    <x v="1"/>
    <s v="TRANSPORTE, ARMAZENAGEM E CORREIO"/>
    <x v="0"/>
    <x v="4"/>
  </r>
  <r>
    <s v="F1039C9D9DADE92D30E3970AC77544DF9FC0358FBF7803C02ADA42DD936894DD"/>
    <x v="102"/>
    <s v="LOCAL DE TRABALHO DA VÍTIMA"/>
    <x v="2"/>
    <s v="HÁ MAIS DE UM ANO"/>
    <s v="VIOLÊNCIA CONTRA CIDADÃO, FAMÍLIA OU COMUNIDADE"/>
    <s v="EMPREGADOR/PATRÃO (HIERARQUICAMENTE SUPERIOR)"/>
    <x v="0"/>
    <x v="7"/>
    <s v="RJ"/>
    <x v="3"/>
    <x v="0"/>
    <x v="0"/>
    <s v="NULL"/>
    <x v="1"/>
    <x v="0"/>
    <s v="NÃO INFORMADO"/>
    <s v="RJ"/>
    <s v="AGNÓSTICO/ATEU/SEM RELIGIÃO"/>
    <x v="1"/>
    <s v="ALOJAMENTO E ALIMENTAÇÃO"/>
    <x v="0"/>
    <x v="4"/>
  </r>
  <r>
    <s v="0D12D3DBF2170C2B909CC788DCBB7692384BA24AE65F03615C687DB624BB704A"/>
    <x v="103"/>
    <s v="CASA DO SUSPEITO"/>
    <x v="16"/>
    <s v="NÃO SE APLICA"/>
    <s v="VIOLÊNCIA CONTRA CIDADÃO, FAMÍLIA OU COMUNIDADE"/>
    <s v="OUTROS"/>
    <x v="1"/>
    <x v="7"/>
    <s v="DENUNCIANTE NÃO SOUBE INFORMAR"/>
    <x v="0"/>
    <x v="0"/>
    <x v="1"/>
    <s v="NULL"/>
    <x v="2"/>
    <x v="0"/>
    <s v="NÃO INFORMADO"/>
    <s v="RS"/>
    <s v="AGNÓSTICO/ATEU/SEM RELIGIÃO"/>
    <x v="1"/>
    <s v="NULL"/>
    <x v="1"/>
    <x v="4"/>
  </r>
  <r>
    <s v="0D12D3DBF2170C2B909CC788DCBB7692384BA24AE65F03615C687DB624BB704A"/>
    <x v="103"/>
    <s v="CASA DO SUSPEITO"/>
    <x v="16"/>
    <s v="NÃO SE APLICA"/>
    <s v="VIOLÊNCIA CONTRA CIDADÃO, FAMÍLIA OU COMUNIDADE"/>
    <s v="OUTROS"/>
    <x v="1"/>
    <x v="7"/>
    <s v="DENUNCIANTE NÃO SOUBE INFORMAR"/>
    <x v="0"/>
    <x v="0"/>
    <x v="1"/>
    <s v="NULL"/>
    <x v="2"/>
    <x v="0"/>
    <s v="NÃO INFORMADO"/>
    <s v="RS"/>
    <s v="AGNÓSTICO/ATEU/SEM RELIGIÃO"/>
    <x v="1"/>
    <s v="NULL"/>
    <x v="0"/>
    <x v="4"/>
  </r>
  <r>
    <s v="0D12D3DBF2170C2B909CC788DCBB7692384BA24AE65F03615C687DB624BB704A"/>
    <x v="103"/>
    <s v="CASA DO SUSPEITO"/>
    <x v="16"/>
    <s v="NÃO SE APLICA"/>
    <s v="VIOLÊNCIA CONTRA CIDADÃO, FAMÍLIA OU COMUNIDADE"/>
    <s v="OUTROS"/>
    <x v="1"/>
    <x v="7"/>
    <s v="DENUNCIANTE NÃO SOUBE INFORMAR"/>
    <x v="0"/>
    <x v="0"/>
    <x v="1"/>
    <s v="NULL"/>
    <x v="2"/>
    <x v="0"/>
    <s v="NÃO INFORMADO"/>
    <s v="RS"/>
    <s v="AGNÓSTICO/ATEU/SEM RELIGIÃO"/>
    <x v="1"/>
    <s v="NULL"/>
    <x v="2"/>
    <x v="4"/>
  </r>
  <r>
    <s v="2AEBD3D6C57FCD7A891FD1FF045E29AE5510A7B6DAFC1890A65DCB9E4DD1280A"/>
    <x v="104"/>
    <s v="CASA DA VÍTIMA"/>
    <x v="18"/>
    <s v="NÃO SE APLICA"/>
    <s v="VIOLÊNCIA CONTRA CIDADÃO, FAMÍLIA OU COMUNIDADE"/>
    <s v="VIZINHO(A)"/>
    <x v="0"/>
    <x v="6"/>
    <s v="MA"/>
    <x v="0"/>
    <x v="0"/>
    <x v="0"/>
    <s v="NULL"/>
    <x v="0"/>
    <x v="4"/>
    <s v="NÃO"/>
    <s v="MA"/>
    <s v="AGNÓSTICO/ATEU/SEM RELIGIÃO"/>
    <x v="0"/>
    <s v="NULL"/>
    <x v="2"/>
    <x v="4"/>
  </r>
  <r>
    <s v="2AEBD3D6C57FCD7A891FD1FF045E29AE5510A7B6DAFC1890A65DCB9E4DD1280A"/>
    <x v="104"/>
    <s v="CASA DA VÍTIMA"/>
    <x v="18"/>
    <s v="NÃO SE APLICA"/>
    <s v="VIOLÊNCIA CONTRA CIDADÃO, FAMÍLIA OU COMUNIDADE"/>
    <s v="VIZINHO(A)"/>
    <x v="0"/>
    <x v="6"/>
    <s v="MA"/>
    <x v="0"/>
    <x v="0"/>
    <x v="0"/>
    <s v="NULL"/>
    <x v="0"/>
    <x v="4"/>
    <s v="NÃO"/>
    <s v="MA"/>
    <s v="AGNÓSTICO/ATEU/SEM RELIGIÃO"/>
    <x v="0"/>
    <s v="NULL"/>
    <x v="0"/>
    <x v="4"/>
  </r>
  <r>
    <s v="FA84A1BB8726E82CFF36AA497837F706D19C1640B91731F583272331B0BEC90F"/>
    <x v="104"/>
    <s v="CASA DO SUSPEITO"/>
    <x v="19"/>
    <s v="HÁ UM MÊS"/>
    <s v="VIOLÊNCIA CONTRA CIDADÃO, FAMÍLIA OU COMUNIDADE"/>
    <s v="VIZINHO(A)"/>
    <x v="1"/>
    <x v="7"/>
    <s v="PB"/>
    <x v="0"/>
    <x v="0"/>
    <x v="1"/>
    <s v="NULL"/>
    <x v="2"/>
    <x v="2"/>
    <s v="NÃO"/>
    <s v="PB"/>
    <s v="AGNÓSTICO/ATEU/SEM RELIGIÃO"/>
    <x v="2"/>
    <s v="NULL"/>
    <x v="2"/>
    <x v="4"/>
  </r>
  <r>
    <s v="FA84A1BB8726E82CFF36AA497837F706D19C1640B91731F583272331B0BEC90F"/>
    <x v="104"/>
    <s v="CASA DO SUSPEITO"/>
    <x v="19"/>
    <s v="HÁ UM MÊS"/>
    <s v="VIOLÊNCIA CONTRA CIDADÃO, FAMÍLIA OU COMUNIDADE"/>
    <s v="VIZINHO(A)"/>
    <x v="1"/>
    <x v="7"/>
    <s v="PB"/>
    <x v="0"/>
    <x v="0"/>
    <x v="1"/>
    <s v="NULL"/>
    <x v="2"/>
    <x v="2"/>
    <s v="NÃO"/>
    <s v="PB"/>
    <s v="AGNÓSTICO/ATEU/SEM RELIGIÃO"/>
    <x v="2"/>
    <s v="NULL"/>
    <x v="0"/>
    <x v="4"/>
  </r>
  <r>
    <s v="24F8EDD7BE6FCD17DFAF714FFED179E839656EAF20C00E79AE226F4615260034"/>
    <x v="105"/>
    <s v="AMBIENTE VIRTUAL (NO ÂMBITO DA INTERNET)"/>
    <x v="12"/>
    <s v="NÃO SABE INFORMAR"/>
    <s v="VIOLÊNCIA CONTRA CIDADÃO, FAMÍLIA OU COMUNIDADE"/>
    <s v="DESCONHECIDO(A)"/>
    <x v="0"/>
    <x v="6"/>
    <s v="SP"/>
    <x v="0"/>
    <x v="0"/>
    <x v="0"/>
    <s v="NULL"/>
    <x v="0"/>
    <x v="0"/>
    <s v="NÃO INFORMADO"/>
    <s v="DENUNCIANTE NÃO SOUBE INFORMAR"/>
    <s v="AGNÓSTICO/ATEU/SEM RELIGIÃO"/>
    <x v="2"/>
    <s v="NULL"/>
    <x v="1"/>
    <x v="4"/>
  </r>
  <r>
    <s v="24F8EDD7BE6FCD17DFAF714FFED179E839656EAF20C00E79AE226F4615260034"/>
    <x v="105"/>
    <s v="AMBIENTE VIRTUAL (NO ÂMBITO DA INTERNET)"/>
    <x v="12"/>
    <s v="NÃO SABE INFORMAR"/>
    <s v="VIOLÊNCIA CONTRA CIDADÃO, FAMÍLIA OU COMUNIDADE"/>
    <s v="DESCONHECIDO(A)"/>
    <x v="0"/>
    <x v="6"/>
    <s v="SP"/>
    <x v="0"/>
    <x v="0"/>
    <x v="0"/>
    <s v="NULL"/>
    <x v="0"/>
    <x v="0"/>
    <s v="NÃO INFORMADO"/>
    <s v="DENUNCIANTE NÃO SOUBE INFORMAR"/>
    <s v="AGNÓSTICO/ATEU/SEM RELIGIÃO"/>
    <x v="2"/>
    <s v="NULL"/>
    <x v="0"/>
    <x v="4"/>
  </r>
  <r>
    <s v="BBFC454236F8F324105B6699D12A68A5B52C46BBF62506EE4EC11938B9E99425"/>
    <x v="105"/>
    <s v="AMBIENTE VIRTUAL (NO ÂMBITO DA INTERNET)"/>
    <x v="12"/>
    <s v="NÃO SABE INFORMAR"/>
    <s v="VIOLÊNCIA CONTRA CIDADÃO, FAMÍLIA OU COMUNIDADE"/>
    <s v="NÃO SABE INFORMAR"/>
    <x v="1"/>
    <x v="4"/>
    <s v="DENUNCIANTE NÃO SOUBE INFORMAR"/>
    <x v="0"/>
    <x v="0"/>
    <x v="5"/>
    <s v="NULL"/>
    <x v="1"/>
    <x v="0"/>
    <s v="NÃO INFORMADO"/>
    <s v="DENUNCIANTE NÃO SOUBE INFORMAR"/>
    <s v="AGNÓSTICO/ATEU/SEM RELIGIÃO"/>
    <x v="1"/>
    <s v="NULL"/>
    <x v="0"/>
    <x v="4"/>
  </r>
  <r>
    <s v="472F76EE0E7FEE0D8D55729ECFA9032B25566FCC04A50E8916DDBB2AB1344477"/>
    <x v="105"/>
    <s v="OUTROS ESTABELECIMENTOS"/>
    <x v="1"/>
    <s v="NÃO SABE INFORMAR"/>
    <s v="VIOLÊNCIA CONTRA CIDADÃO, FAMÍLIA OU COMUNIDADE"/>
    <s v="LÍDER RELIGIOSO(A)"/>
    <x v="0"/>
    <x v="9"/>
    <s v="SP"/>
    <x v="0"/>
    <x v="0"/>
    <x v="2"/>
    <s v="NULL"/>
    <x v="0"/>
    <x v="4"/>
    <s v="NÃO"/>
    <s v="SP"/>
    <s v="AGNÓSTICO/ATEU/SEM RELIGIÃO"/>
    <x v="0"/>
    <s v="NULL"/>
    <x v="0"/>
    <x v="4"/>
  </r>
  <r>
    <s v="00121E073D9608928B1B5DC0BD5E1644D9DA9B9368749746E0F16BA3A788D7BE"/>
    <x v="106"/>
    <s v="CASA DO SUSPEITO"/>
    <x v="1"/>
    <s v="NÃO SABE INFORMAR"/>
    <s v="VIOLÊNCIA CONTRA CIDADÃO, FAMÍLIA OU COMUNIDADE"/>
    <s v="IRMÃO(Ã)"/>
    <x v="0"/>
    <x v="6"/>
    <s v="SP"/>
    <x v="1"/>
    <x v="3"/>
    <x v="2"/>
    <s v="NULL"/>
    <x v="2"/>
    <x v="8"/>
    <s v="NÃO INFORMADO"/>
    <s v="SP"/>
    <s v="EVANGÉLICA"/>
    <x v="1"/>
    <s v="NULL"/>
    <x v="0"/>
    <x v="4"/>
  </r>
  <r>
    <s v="00121E073D9608928B1B5DC0BD5E1644D9DA9B9368749746E0F16BA3A788D7BE"/>
    <x v="106"/>
    <s v="CASA DO SUSPEITO"/>
    <x v="1"/>
    <s v="NÃO SABE INFORMAR"/>
    <s v="VIOLÊNCIA CONTRA CIDADÃO, FAMÍLIA OU COMUNIDADE"/>
    <s v="IRMÃO(Ã)"/>
    <x v="0"/>
    <x v="6"/>
    <s v="SP"/>
    <x v="1"/>
    <x v="3"/>
    <x v="2"/>
    <s v="NULL"/>
    <x v="2"/>
    <x v="8"/>
    <s v="NÃO INFORMADO"/>
    <s v="SP"/>
    <s v="EVANGÉLICA"/>
    <x v="1"/>
    <s v="NULL"/>
    <x v="2"/>
    <x v="4"/>
  </r>
  <r>
    <s v="00121E073D9608928B1B5DC0BD5E1644D9DA9B9368749746E0F16BA3A788D7BE"/>
    <x v="106"/>
    <s v="CASA DO SUSPEITO"/>
    <x v="1"/>
    <s v="NÃO SABE INFORMAR"/>
    <s v="VIOLÊNCIA CONTRA CIDADÃO, FAMÍLIA OU COMUNIDADE"/>
    <s v="IRMÃO(Ã)"/>
    <x v="0"/>
    <x v="6"/>
    <s v="SP"/>
    <x v="1"/>
    <x v="3"/>
    <x v="2"/>
    <s v="NULL"/>
    <x v="2"/>
    <x v="8"/>
    <s v="NÃO INFORMADO"/>
    <s v="SP"/>
    <s v="EVANGÉLICA"/>
    <x v="1"/>
    <s v="NULL"/>
    <x v="1"/>
    <x v="4"/>
  </r>
  <r>
    <s v="4BE6A5827D3C5E9AD707611B25541712D122220047D68E1C01DC536CEE408B2C"/>
    <x v="106"/>
    <s v="CASA DA VÍTIMA"/>
    <x v="18"/>
    <s v="NÃO SABE INFORMAR"/>
    <s v="VIOLÊNCIA CONTRA CIDADÃO, FAMÍLIA OU COMUNIDADE"/>
    <s v="NÃO SABE INFORMAR"/>
    <x v="1"/>
    <x v="1"/>
    <s v="MA"/>
    <x v="0"/>
    <x v="0"/>
    <x v="1"/>
    <s v="NULL"/>
    <x v="0"/>
    <x v="4"/>
    <s v="NÃO INFORMADO"/>
    <s v="MA"/>
    <s v="AGNÓSTICO/ATEU/SEM RELIGIÃO"/>
    <x v="3"/>
    <s v="NULL"/>
    <x v="0"/>
    <x v="4"/>
  </r>
  <r>
    <s v="BFA548299F7236EB4F1CD931AAF56445C0AD58E03EA1E991C02366A6E11CC7C8"/>
    <x v="107"/>
    <s v="CASA DA VÍTIMA"/>
    <x v="3"/>
    <s v="HÁ MAIS DE UM ANO"/>
    <s v="VIOLÊNCIA CONTRA CIDADÃO, FAMÍLIA OU COMUNIDADE"/>
    <s v="OUTROS"/>
    <x v="0"/>
    <x v="3"/>
    <s v="BA"/>
    <x v="0"/>
    <x v="0"/>
    <x v="0"/>
    <s v="NULL"/>
    <x v="0"/>
    <x v="2"/>
    <s v="NÃO"/>
    <s v="BA"/>
    <s v="AGNÓSTICO/ATEU/SEM RELIGIÃO"/>
    <x v="0"/>
    <s v="NULL"/>
    <x v="2"/>
    <x v="4"/>
  </r>
  <r>
    <s v="DAC192776D612C165A72A3A930FFC1BC57AEBED6666BE045CC15ED53E3BA07AF"/>
    <x v="107"/>
    <s v="CASA DA VÍTIMA"/>
    <x v="3"/>
    <s v="HÁ MAIS DE UM ANO"/>
    <s v="VIOLÊNCIA CONTRA CIDADÃO, FAMÍLIA OU COMUNIDADE"/>
    <s v="OUTROS"/>
    <x v="0"/>
    <x v="3"/>
    <s v="BA"/>
    <x v="0"/>
    <x v="0"/>
    <x v="0"/>
    <s v="NULL"/>
    <x v="1"/>
    <x v="0"/>
    <s v="NÃO INFORMADO"/>
    <s v="BA"/>
    <s v="AGNÓSTICO/ATEU/SEM RELIGIÃO"/>
    <x v="1"/>
    <s v="DEFENSORIA PÚBLICA - ESTADUAL"/>
    <x v="2"/>
    <x v="4"/>
  </r>
  <r>
    <s v="104D9CCCD56E52B954E9394D75730CE74AE02FF183608FE71D0450324B151751"/>
    <x v="107"/>
    <s v="AMBIENTE VIRTUAL (NO ÂMBITO DA INTERNET)"/>
    <x v="20"/>
    <s v="HÁ MAIS DE SEIS MESES"/>
    <s v="VIOLÊNCIA CONTRA CIDADÃO, FAMÍLIA OU COMUNIDADE"/>
    <s v="OUTROS"/>
    <x v="0"/>
    <x v="7"/>
    <s v="AM"/>
    <x v="0"/>
    <x v="0"/>
    <x v="1"/>
    <s v="NULL"/>
    <x v="0"/>
    <x v="3"/>
    <s v="NÃO INFORMADO"/>
    <s v="AM"/>
    <s v="AGNÓSTICO/ATEU/SEM RELIGIÃO"/>
    <x v="3"/>
    <s v="NULL"/>
    <x v="0"/>
    <x v="4"/>
  </r>
  <r>
    <s v="36574DCE9C54E7B188A09401B18F5D9A4DBD32F512F7DEFB6EE4C5F4F406A152"/>
    <x v="107"/>
    <s v="AMBIENTE VIRTUAL (NO ÂMBITO DA INTERNET)"/>
    <x v="20"/>
    <s v="HÁ MAIS DE SEIS MESES"/>
    <s v="VIOLÊNCIA CONTRA CIDADÃO, FAMÍLIA OU COMUNIDADE"/>
    <s v="OUTROS"/>
    <x v="0"/>
    <x v="7"/>
    <s v="AM"/>
    <x v="0"/>
    <x v="0"/>
    <x v="1"/>
    <s v="NULL"/>
    <x v="0"/>
    <x v="9"/>
    <s v="NÃO"/>
    <s v="AM"/>
    <s v="AGNÓSTICO/ATEU/SEM RELIGIÃO"/>
    <x v="0"/>
    <s v="NULL"/>
    <x v="0"/>
    <x v="4"/>
  </r>
  <r>
    <s v="4CD8122FD775DC1B7DF686002210EDCAF185DEE5628881111080DA0FA5D6714D"/>
    <x v="107"/>
    <s v="AMBIENTE VIRTUAL (NO ÂMBITO DA INTERNET)"/>
    <x v="20"/>
    <s v="HÁ MAIS DE SEIS MESES"/>
    <s v="VIOLÊNCIA CONTRA CIDADÃO, FAMÍLIA OU COMUNIDADE"/>
    <s v="OUTROS"/>
    <x v="0"/>
    <x v="7"/>
    <s v="AM"/>
    <x v="0"/>
    <x v="0"/>
    <x v="1"/>
    <s v="NULL"/>
    <x v="0"/>
    <x v="3"/>
    <s v="NÃO INFORMADO"/>
    <s v="AM"/>
    <s v="AGNÓSTICO/ATEU/SEM RELIGIÃO"/>
    <x v="3"/>
    <s v="NULL"/>
    <x v="0"/>
    <x v="4"/>
  </r>
  <r>
    <s v="88F471DA9898157415B063F3EE688E671409DF0D27914D1435A92A66FDF29C93"/>
    <x v="107"/>
    <s v="AMBIENTE VIRTUAL (NO ÂMBITO DA INTERNET)"/>
    <x v="1"/>
    <s v="HÁ UM MÊS"/>
    <s v="VIOLÊNCIA CONTRA CIDADÃO, FAMÍLIA OU COMUNIDADE"/>
    <s v="OUTROS"/>
    <x v="1"/>
    <x v="1"/>
    <s v="DENUNCIANTE NÃO SOUBE INFORMAR"/>
    <x v="0"/>
    <x v="0"/>
    <x v="1"/>
    <s v="NULL"/>
    <x v="0"/>
    <x v="0"/>
    <s v="NÃO"/>
    <s v="SP"/>
    <s v="AGNÓSTICO/ATEU/SEM RELIGIÃO"/>
    <x v="0"/>
    <s v="NULL"/>
    <x v="0"/>
    <x v="4"/>
  </r>
  <r>
    <s v="70BCC686CDCFE0A05728B18AF94DBFADD4F9AEE6D26A961258084FC9607CE90B"/>
    <x v="108"/>
    <s v="AMBIENTE VIRTUAL (NO ÂMBITO DA INTERNET)"/>
    <x v="12"/>
    <s v="HÁ MAIS DE UM ANO"/>
    <s v="VIOLÊNCIA CONTRA CIDADÃO, FAMÍLIA OU COMUNIDADE"/>
    <s v="DESCONHECIDO(A)"/>
    <x v="1"/>
    <x v="1"/>
    <s v="DENUNCIANTE NÃO SOUBE INFORMAR"/>
    <x v="0"/>
    <x v="0"/>
    <x v="1"/>
    <s v="NULL"/>
    <x v="0"/>
    <x v="7"/>
    <s v="NÃO INFORMADO"/>
    <s v="SP"/>
    <s v="EVANGÉLICA"/>
    <x v="2"/>
    <s v="NULL"/>
    <x v="0"/>
    <x v="4"/>
  </r>
  <r>
    <s v="70BCC686CDCFE0A05728B18AF94DBFADD4F9AEE6D26A961258084FC9607CE90B"/>
    <x v="108"/>
    <s v="AMBIENTE VIRTUAL (NO ÂMBITO DA INTERNET)"/>
    <x v="12"/>
    <s v="HÁ MAIS DE UM ANO"/>
    <s v="VIOLÊNCIA CONTRA CIDADÃO, FAMÍLIA OU COMUNIDADE"/>
    <s v="DESCONHECIDO(A)"/>
    <x v="1"/>
    <x v="1"/>
    <s v="DENUNCIANTE NÃO SOUBE INFORMAR"/>
    <x v="0"/>
    <x v="0"/>
    <x v="1"/>
    <s v="NULL"/>
    <x v="0"/>
    <x v="7"/>
    <s v="NÃO INFORMADO"/>
    <s v="SP"/>
    <s v="EVANGÉLICA"/>
    <x v="2"/>
    <s v="NULL"/>
    <x v="2"/>
    <x v="4"/>
  </r>
  <r>
    <s v="70BCC686CDCFE0A05728B18AF94DBFADD4F9AEE6D26A961258084FC9607CE90B"/>
    <x v="108"/>
    <s v="AMBIENTE VIRTUAL (NO ÂMBITO DA INTERNET)"/>
    <x v="12"/>
    <s v="HÁ MAIS DE UM ANO"/>
    <s v="VIOLÊNCIA CONTRA CIDADÃO, FAMÍLIA OU COMUNIDADE"/>
    <s v="DESCONHECIDO(A)"/>
    <x v="1"/>
    <x v="1"/>
    <s v="DENUNCIANTE NÃO SOUBE INFORMAR"/>
    <x v="0"/>
    <x v="0"/>
    <x v="1"/>
    <s v="NULL"/>
    <x v="0"/>
    <x v="7"/>
    <s v="NÃO INFORMADO"/>
    <s v="SP"/>
    <s v="EVANGÉLICA"/>
    <x v="2"/>
    <s v="NULL"/>
    <x v="1"/>
    <x v="4"/>
  </r>
  <r>
    <s v="6F56296D187AD7D6EAB4F13C9A3C244ECDC1E436BCB8EFDEE86993411DB18F3C"/>
    <x v="108"/>
    <s v="CASA DO SUSPEITO"/>
    <x v="2"/>
    <s v="NÃO SABE INFORMAR"/>
    <s v="VIOLÊNCIA CONTRA CIDADÃO, FAMÍLIA OU COMUNIDADE"/>
    <s v="SOGRO(A)"/>
    <x v="0"/>
    <x v="1"/>
    <s v="RJ"/>
    <x v="3"/>
    <x v="0"/>
    <x v="2"/>
    <s v="NULL"/>
    <x v="0"/>
    <x v="7"/>
    <s v="NÃO"/>
    <s v="RJ"/>
    <s v="EVANGÉLICA"/>
    <x v="0"/>
    <s v="NULL"/>
    <x v="0"/>
    <x v="4"/>
  </r>
  <r>
    <s v="0710B70CF5DB4854742FA12B2EF1602F23666646A776208B56EC5911E8B0C1E4"/>
    <x v="108"/>
    <s v="CASA DA VÍTIMA"/>
    <x v="1"/>
    <s v="HÁ MAIS DE UM ANO"/>
    <s v="VIOLÊNCIA CONTRA CIDADÃO, FAMÍLIA OU COMUNIDADE"/>
    <s v="FUNCIONÁRIO, VOLUNTÁRIO OU PRESTADOR DE SERVIÇO PARA INSTITUIÇÃO"/>
    <x v="0"/>
    <x v="3"/>
    <s v="SP"/>
    <x v="0"/>
    <x v="0"/>
    <x v="4"/>
    <s v="NULL"/>
    <x v="1"/>
    <x v="0"/>
    <s v="NÃO INFORMADO"/>
    <s v="SP"/>
    <s v="AGNÓSTICO/ATEU/SEM RELIGIÃO"/>
    <x v="1"/>
    <s v="SEGURANÇA PÚBLICA, FORÇAS ARMADAS, DEFESA CIVIL, BOMBEIROS E ASSEMELHADOS ? MUNICIPAL"/>
    <x v="0"/>
    <x v="4"/>
  </r>
  <r>
    <s v="1BB1679174B92F3883ADD3C115CF24773A65CC51D56E11BCD8859A565761DBFF"/>
    <x v="108"/>
    <s v="CASA DA VÍTIMA"/>
    <x v="1"/>
    <s v="HÁ MAIS DE UM ANO"/>
    <s v="VIOLÊNCIA CONTRA CIDADÃO, FAMÍLIA OU COMUNIDADE"/>
    <s v="FUNCIONÁRIO, VOLUNTÁRIO OU PRESTADOR DE SERVIÇO PARA INSTITUIÇÃO"/>
    <x v="0"/>
    <x v="3"/>
    <s v="SP"/>
    <x v="0"/>
    <x v="0"/>
    <x v="4"/>
    <s v="NULL"/>
    <x v="1"/>
    <x v="0"/>
    <s v="NÃO INFORMADO"/>
    <s v="SP"/>
    <s v="AGNÓSTICO/ATEU/SEM RELIGIÃO"/>
    <x v="1"/>
    <s v="SEGURANÇA PÚBLICA, FORÇAS ARMADAS, DEFESA CIVIL, BOMBEIROS E ASSEMELHADOS ? ESTADUAL/DISTRITO FEDERAL"/>
    <x v="0"/>
    <x v="4"/>
  </r>
  <r>
    <s v="58A2C33A786AF571801C9F69DD3F0C49ED243555BC615E161B02E3A24F086960"/>
    <x v="108"/>
    <s v="CASA DA VÍTIMA"/>
    <x v="1"/>
    <s v="HÁ MAIS DE UM ANO"/>
    <s v="VIOLÊNCIA CONTRA CIDADÃO, FAMÍLIA OU COMUNIDADE"/>
    <s v="FUNCIONÁRIO, VOLUNTÁRIO OU PRESTADOR DE SERVIÇO PARA INSTITUIÇÃO"/>
    <x v="0"/>
    <x v="3"/>
    <s v="SP"/>
    <x v="0"/>
    <x v="0"/>
    <x v="4"/>
    <s v="NULL"/>
    <x v="1"/>
    <x v="0"/>
    <s v="NÃO INFORMADO"/>
    <s v="SP"/>
    <s v="AGNÓSTICO/ATEU/SEM RELIGIÃO"/>
    <x v="1"/>
    <s v="SEGURANÇA PÚBLICA, FORÇAS ARMADAS, DEFESA CIVIL, BOMBEIROS E ASSEMELHADOS ? MUNICIPAL"/>
    <x v="0"/>
    <x v="4"/>
  </r>
  <r>
    <s v="C4B0BA3336EF8C5E3FDC56ED88BF09C509A36EF8AA27C7DA345823BC86016025"/>
    <x v="108"/>
    <s v="CASA DA VÍTIMA"/>
    <x v="1"/>
    <s v="HÁ MAIS DE UM ANO"/>
    <s v="VIOLÊNCIA CONTRA CIDADÃO, FAMÍLIA OU COMUNIDADE"/>
    <s v="FUNCIONÁRIO, VOLUNTÁRIO OU PRESTADOR DE SERVIÇO PARA INSTITUIÇÃO"/>
    <x v="0"/>
    <x v="3"/>
    <s v="SP"/>
    <x v="0"/>
    <x v="0"/>
    <x v="4"/>
    <s v="NULL"/>
    <x v="1"/>
    <x v="0"/>
    <s v="NÃO INFORMADO"/>
    <s v="SP"/>
    <s v="AGNÓSTICO/ATEU/SEM RELIGIÃO"/>
    <x v="1"/>
    <s v="SEGURANÇA PÚBLICA, FORÇAS ARMADAS, DEFESA CIVIL, BOMBEIROS E ASSEMELHADOS ? MUNICIPAL"/>
    <x v="0"/>
    <x v="4"/>
  </r>
  <r>
    <s v="775559A503E45F3576F8CC9F7523A66DE5A952CF4671C983A6069B203413C932"/>
    <x v="108"/>
    <s v="CASA DA VÍTIMA"/>
    <x v="1"/>
    <s v="HÁ MAIS DE UM ANO"/>
    <s v="VIOLÊNCIA CONTRA CIDADÃO, FAMÍLIA OU COMUNIDADE"/>
    <s v="FUNCIONÁRIO, VOLUNTÁRIO OU PRESTADOR DE SERVIÇO PARA INSTITUIÇÃO"/>
    <x v="0"/>
    <x v="3"/>
    <s v="SP"/>
    <x v="0"/>
    <x v="0"/>
    <x v="4"/>
    <s v="NULL"/>
    <x v="1"/>
    <x v="0"/>
    <s v="NÃO INFORMADO"/>
    <s v="SP"/>
    <s v="AGNÓSTICO/ATEU/SEM RELIGIÃO"/>
    <x v="1"/>
    <s v="SEGURANÇA PÚBLICA, FORÇAS ARMADAS, DEFESA CIVIL, BOMBEIROS E ASSEMELHADOS ? MUNICIPAL"/>
    <x v="0"/>
    <x v="4"/>
  </r>
  <r>
    <s v="23CD43A48AF5040160A3A9D8938DDE40CCA50AD8D179A1A10279CFBA16882962"/>
    <x v="108"/>
    <s v="CASA DA VÍTIMA"/>
    <x v="1"/>
    <s v="HÁ MAIS DE UM ANO"/>
    <s v="VIOLÊNCIA CONTRA CIDADÃO, FAMÍLIA OU COMUNIDADE"/>
    <s v="FUNCIONÁRIO, VOLUNTÁRIO OU PRESTADOR DE SERVIÇO PARA INSTITUIÇÃO"/>
    <x v="0"/>
    <x v="3"/>
    <s v="SP"/>
    <x v="0"/>
    <x v="0"/>
    <x v="4"/>
    <s v="NULL"/>
    <x v="2"/>
    <x v="0"/>
    <s v="NÃO INFORMADO"/>
    <s v="SP"/>
    <s v="AGNÓSTICO/ATEU/SEM RELIGIÃO"/>
    <x v="1"/>
    <s v="NULL"/>
    <x v="0"/>
    <x v="4"/>
  </r>
  <r>
    <s v="2883847B29A9037A46F066D08495056304DD7F3D66997DBFCEC7873D58193642"/>
    <x v="109"/>
    <s v="OUTROS ESTABELECIMENTOS"/>
    <x v="2"/>
    <s v="NÃO SE APLICA"/>
    <s v="VIOLÊNCIA CONTRA CIDADÃO, FAMÍLIA OU COMUNIDADE"/>
    <s v="CUNHADO(A)"/>
    <x v="0"/>
    <x v="5"/>
    <s v="RJ"/>
    <x v="7"/>
    <x v="0"/>
    <x v="2"/>
    <s v="NULL"/>
    <x v="0"/>
    <x v="4"/>
    <s v="NÃO"/>
    <s v="RJ"/>
    <s v="AGNÓSTICO/ATEU/SEM RELIGIÃO"/>
    <x v="2"/>
    <s v="NULL"/>
    <x v="0"/>
    <x v="4"/>
  </r>
  <r>
    <s v="2934B9DFE2C207FA2BCE7B95D2642F10CE5443B29B4D49B99E78EBD3A5703E94"/>
    <x v="110"/>
    <s v="CASA ONDE RESIDE A VÍTIMA E O SUSPEITO"/>
    <x v="2"/>
    <s v="HÁ MAIS DE CINCO ANOS"/>
    <s v="VIOLÊNCIA CONTRA CIDADÃO, FAMÍLIA OU COMUNIDADE"/>
    <s v="VIZINHO(A)"/>
    <x v="0"/>
    <x v="7"/>
    <s v="RJ"/>
    <x v="0"/>
    <x v="0"/>
    <x v="0"/>
    <s v="NULL"/>
    <x v="2"/>
    <x v="7"/>
    <s v="NÃO INFORMADO"/>
    <s v="RJ"/>
    <s v="AGNÓSTICO/ATEU/SEM RELIGIÃO"/>
    <x v="2"/>
    <s v="NULL"/>
    <x v="0"/>
    <x v="4"/>
  </r>
  <r>
    <s v="2934B9DFE2C207FA2BCE7B95D2642F10CE5443B29B4D49B99E78EBD3A5703E94"/>
    <x v="110"/>
    <s v="CASA ONDE RESIDE A VÍTIMA E O SUSPEITO"/>
    <x v="2"/>
    <s v="HÁ MAIS DE CINCO ANOS"/>
    <s v="VIOLÊNCIA CONTRA CIDADÃO, FAMÍLIA OU COMUNIDADE"/>
    <s v="VIZINHO(A)"/>
    <x v="0"/>
    <x v="7"/>
    <s v="RJ"/>
    <x v="0"/>
    <x v="0"/>
    <x v="0"/>
    <s v="NULL"/>
    <x v="2"/>
    <x v="7"/>
    <s v="NÃO INFORMADO"/>
    <s v="RJ"/>
    <s v="AGNÓSTICO/ATEU/SEM RELIGIÃO"/>
    <x v="2"/>
    <s v="NULL"/>
    <x v="1"/>
    <x v="4"/>
  </r>
  <r>
    <s v="FC42C0ED4433E52C55774C034521E7C696F7F9C8059E7E6ABA756A4B74FE52F9"/>
    <x v="111"/>
    <s v="CASA DA VÍTIMA"/>
    <x v="6"/>
    <s v="HÁ MAIS DE UM ANO"/>
    <s v="VIOLÊNCIA CONTRA CIDADÃO, FAMÍLIA OU COMUNIDADE"/>
    <s v="VIZINHO(A)"/>
    <x v="0"/>
    <x v="5"/>
    <s v="GO"/>
    <x v="6"/>
    <x v="0"/>
    <x v="2"/>
    <s v="NULL"/>
    <x v="0"/>
    <x v="8"/>
    <s v="NÃO INFORMADO"/>
    <s v="GO"/>
    <s v="AGNÓSTICO/ATEU/SEM RELIGIÃO"/>
    <x v="0"/>
    <s v="NULL"/>
    <x v="0"/>
    <x v="4"/>
  </r>
  <r>
    <s v="29CCACD7BA2FE3B6BAF7D52EB81CD0E3A0DFEC03059518E02A3298BD5D284D5A"/>
    <x v="111"/>
    <s v="CASA DA VÍTIMA"/>
    <x v="6"/>
    <s v="HÁ MAIS DE UM ANO"/>
    <s v="VIOLÊNCIA CONTRA CIDADÃO, FAMÍLIA OU COMUNIDADE"/>
    <s v="VIZINHO(A)"/>
    <x v="0"/>
    <x v="5"/>
    <s v="GO"/>
    <x v="6"/>
    <x v="0"/>
    <x v="2"/>
    <s v="NULL"/>
    <x v="0"/>
    <x v="7"/>
    <s v="NÃO INFORMADO"/>
    <s v="GO"/>
    <s v="AGNÓSTICO/ATEU/SEM RELIGIÃO"/>
    <x v="0"/>
    <s v="NULL"/>
    <x v="0"/>
    <x v="4"/>
  </r>
  <r>
    <s v="5106E9126B636429941465D866EC26B1962734447667D60014DE0FEA49F3BC90"/>
    <x v="111"/>
    <s v="OUTROS ESTABELECIMENTOS"/>
    <x v="6"/>
    <s v="NÃO SE APLICA"/>
    <s v="VIOLÊNCIA CONTRA CIDADÃO, FAMÍLIA OU COMUNIDADE"/>
    <s v="DESCONHECIDO(A)"/>
    <x v="1"/>
    <x v="7"/>
    <s v="GO"/>
    <x v="0"/>
    <x v="3"/>
    <x v="1"/>
    <s v="POVOS CIGANOS"/>
    <x v="2"/>
    <x v="0"/>
    <s v="NÃO"/>
    <s v="GO"/>
    <s v="AGNÓSTICO/ATEU/SEM RELIGIÃO"/>
    <x v="1"/>
    <s v="NULL"/>
    <x v="2"/>
    <x v="4"/>
  </r>
  <r>
    <s v="5106E9126B636429941465D866EC26B1962734447667D60014DE0FEA49F3BC90"/>
    <x v="111"/>
    <s v="OUTROS ESTABELECIMENTOS"/>
    <x v="6"/>
    <s v="NÃO SE APLICA"/>
    <s v="VIOLÊNCIA CONTRA CIDADÃO, FAMÍLIA OU COMUNIDADE"/>
    <s v="DESCONHECIDO(A)"/>
    <x v="1"/>
    <x v="7"/>
    <s v="GO"/>
    <x v="0"/>
    <x v="3"/>
    <x v="1"/>
    <s v="POVOS CIGANOS"/>
    <x v="2"/>
    <x v="0"/>
    <s v="NÃO"/>
    <s v="GO"/>
    <s v="AGNÓSTICO/ATEU/SEM RELIGIÃO"/>
    <x v="1"/>
    <s v="NULL"/>
    <x v="0"/>
    <x v="4"/>
  </r>
  <r>
    <s v="D6C904B84AB52BC84ED897B3F15FDDB56E1FC9E273CAF929CEC61F22D75228D4"/>
    <x v="112"/>
    <s v="OUTROS ESTABELECIMENTOS"/>
    <x v="1"/>
    <s v="NÃO SABE INFORMAR"/>
    <s v="VIOLÊNCIA CONTRA CIDADÃO, FAMÍLIA OU COMUNIDADE"/>
    <s v="VIZINHO(A)"/>
    <x v="0"/>
    <x v="6"/>
    <s v="SP"/>
    <x v="6"/>
    <x v="4"/>
    <x v="3"/>
    <s v="NULL"/>
    <x v="2"/>
    <x v="2"/>
    <s v="NÃO INFORMADO"/>
    <s v="SP"/>
    <s v="AGNÓSTICO/ATEU/SEM RELIGIÃO"/>
    <x v="1"/>
    <s v="NULL"/>
    <x v="2"/>
    <x v="4"/>
  </r>
  <r>
    <s v="60A075CBB5D7E4646FF1B2D9B20310C839398E80133C9A6C0C346635A73BBFBB"/>
    <x v="113"/>
    <s v="AMBIENTE VIRTUAL (NO ÂMBITO DA INTERNET)"/>
    <x v="7"/>
    <s v="NÃO SABE INFORMAR"/>
    <s v="VIOLÊNCIA CONTRA CIDADÃO, FAMÍLIA OU COMUNIDADE"/>
    <s v="LÍDER RELIGIOSO(A)"/>
    <x v="1"/>
    <x v="8"/>
    <s v="DENUNCIANTE NÃO SOUBE INFORMAR"/>
    <x v="0"/>
    <x v="0"/>
    <x v="1"/>
    <s v="NULL"/>
    <x v="0"/>
    <x v="9"/>
    <s v="NÃO"/>
    <s v="ES"/>
    <s v="AGNÓSTICO/ATEU/SEM RELIGIÃO"/>
    <x v="1"/>
    <s v="NULL"/>
    <x v="2"/>
    <x v="4"/>
  </r>
  <r>
    <s v="65695F9FC00CCA8D2B279C4CDD5856BFDFD76E0B605E5328A40CC08F9033CCB9"/>
    <x v="114"/>
    <s v="ESTABELECIMENTO DE SAÚDE"/>
    <x v="2"/>
    <s v="NÃO SE APLICA"/>
    <s v="VIOLÊNCIA CONTRA CIDADÃO, FAMÍLIA OU COMUNIDADE"/>
    <s v="DIRETOR/GESTOR DE INSTITUIÇÃO"/>
    <x v="0"/>
    <x v="9"/>
    <s v="RJ"/>
    <x v="0"/>
    <x v="0"/>
    <x v="1"/>
    <s v="NULL"/>
    <x v="1"/>
    <x v="0"/>
    <s v="NÃO INFORMADO"/>
    <s v="RJ"/>
    <s v="AGNÓSTICO/ATEU/SEM RELIGIÃO"/>
    <x v="1"/>
    <s v="SAÚDE HUMANA E SERVIÇOS SOCIAIS"/>
    <x v="2"/>
    <x v="4"/>
  </r>
  <r>
    <s v="2FF7F5B3A28CE487DC6990221456FCDDC9BDE4A9962738A79FBF7A6257190B4A"/>
    <x v="115"/>
    <s v="CASA DA VÍTIMA"/>
    <x v="1"/>
    <s v="HÁ MAIS DE DEZ ANOS"/>
    <s v="VIOLÊNCIA CONTRA CIDADÃO, FAMÍLIA OU COMUNIDADE"/>
    <s v="OUTROS FAMILIARES"/>
    <x v="0"/>
    <x v="5"/>
    <s v="SP"/>
    <x v="0"/>
    <x v="0"/>
    <x v="2"/>
    <s v="NULL"/>
    <x v="0"/>
    <x v="4"/>
    <s v="NÃO"/>
    <s v="SP"/>
    <s v="AGNÓSTICO/ATEU/SEM RELIGIÃO"/>
    <x v="0"/>
    <s v="NULL"/>
    <x v="0"/>
    <x v="4"/>
  </r>
  <r>
    <s v="7E0BD0EE026DEF34CF1E903C0BFA8301EAE8E3C81641C59CD74ACB8C82887415"/>
    <x v="115"/>
    <s v="CASA DA VÍTIMA"/>
    <x v="1"/>
    <s v="HÁ MAIS DE DEZ ANOS"/>
    <s v="VIOLÊNCIA CONTRA CIDADÃO, FAMÍLIA OU COMUNIDADE"/>
    <s v="OUTROS FAMILIARES"/>
    <x v="0"/>
    <x v="5"/>
    <s v="SP"/>
    <x v="0"/>
    <x v="0"/>
    <x v="2"/>
    <s v="NULL"/>
    <x v="2"/>
    <x v="1"/>
    <s v="NÃO"/>
    <s v="SP"/>
    <s v="AGNÓSTICO/ATEU/SEM RELIGIÃO"/>
    <x v="0"/>
    <s v="NULL"/>
    <x v="0"/>
    <x v="4"/>
  </r>
  <r>
    <s v="4CA73F2CFCB0CD7D9867C791635DF4AEFC0413B6175A176F17F03267BB8324D6"/>
    <x v="115"/>
    <s v="CASA DA VÍTIMA"/>
    <x v="1"/>
    <s v="HÁ MAIS DE DEZ ANOS"/>
    <s v="VIOLÊNCIA CONTRA CIDADÃO, FAMÍLIA OU COMUNIDADE"/>
    <s v="OUTROS FAMILIARES"/>
    <x v="0"/>
    <x v="5"/>
    <s v="SP"/>
    <x v="0"/>
    <x v="0"/>
    <x v="2"/>
    <s v="NULL"/>
    <x v="0"/>
    <x v="4"/>
    <s v="NÃO"/>
    <s v="SP"/>
    <s v="AGNÓSTICO/ATEU/SEM RELIGIÃO"/>
    <x v="1"/>
    <s v="NULL"/>
    <x v="0"/>
    <x v="4"/>
  </r>
  <r>
    <s v="C7153F59EF70C278C249F296BFEFFF78567FF20310A2114D3E518922DA604BBD"/>
    <x v="115"/>
    <s v="CASA DA VÍTIMA"/>
    <x v="1"/>
    <s v="HÁ MAIS DE DEZ ANOS"/>
    <s v="VIOLÊNCIA CONTRA CIDADÃO, FAMÍLIA OU COMUNIDADE"/>
    <s v="OUTROS FAMILIARES"/>
    <x v="0"/>
    <x v="5"/>
    <s v="SP"/>
    <x v="0"/>
    <x v="0"/>
    <x v="2"/>
    <s v="NULL"/>
    <x v="2"/>
    <x v="3"/>
    <s v="NÃO"/>
    <s v="SP"/>
    <s v="AGNÓSTICO/ATEU/SEM RELIGIÃO"/>
    <x v="1"/>
    <s v="NULL"/>
    <x v="0"/>
    <x v="4"/>
  </r>
  <r>
    <s v="6CDC42C020C5CB8A29E2143CC2B9BF7190AC83C8352B469016B060EC521459FF"/>
    <x v="116"/>
    <s v="CASA DA VÍTIMA"/>
    <x v="1"/>
    <s v="NÃO SE APLICA"/>
    <s v="VIOLÊNCIA CONTRA CIDADÃO, FAMÍLIA OU COMUNIDADE"/>
    <s v="VIZINHO(A)"/>
    <x v="0"/>
    <x v="3"/>
    <s v="SP"/>
    <x v="0"/>
    <x v="0"/>
    <x v="2"/>
    <s v="NULL"/>
    <x v="0"/>
    <x v="5"/>
    <s v="NÃO"/>
    <s v="SP"/>
    <s v="AGNÓSTICO/ATEU/SEM RELIGIÃO"/>
    <x v="1"/>
    <s v="NULL"/>
    <x v="0"/>
    <x v="5"/>
  </r>
  <r>
    <s v="6726205FA68825002EE02837CD390C9851E37C8ECF034FF5FCEF4983F841BB1E"/>
    <x v="116"/>
    <s v="OUTROS ESTABELECIMENTOS"/>
    <x v="1"/>
    <s v="HÁ MAIS DE SEIS MESES"/>
    <s v="VIOLÊNCIA CONTRA CIDADÃO, FAMÍLIA OU COMUNIDADE"/>
    <s v="OUTROS"/>
    <x v="0"/>
    <x v="7"/>
    <s v="SP"/>
    <x v="1"/>
    <x v="0"/>
    <x v="3"/>
    <s v="NULL"/>
    <x v="1"/>
    <x v="0"/>
    <s v="NÃO INFORMADO"/>
    <s v="SP"/>
    <s v="AGNÓSTICO/ATEU/SEM RELIGIÃO"/>
    <x v="1"/>
    <s v="NULL"/>
    <x v="2"/>
    <x v="5"/>
  </r>
  <r>
    <s v="6726205FA68825002EE02837CD390C9851E37C8ECF034FF5FCEF4983F841BB1E"/>
    <x v="116"/>
    <s v="OUTROS ESTABELECIMENTOS"/>
    <x v="1"/>
    <s v="HÁ MAIS DE SEIS MESES"/>
    <s v="VIOLÊNCIA CONTRA CIDADÃO, FAMÍLIA OU COMUNIDADE"/>
    <s v="OUTROS"/>
    <x v="0"/>
    <x v="7"/>
    <s v="SP"/>
    <x v="1"/>
    <x v="0"/>
    <x v="3"/>
    <s v="NULL"/>
    <x v="1"/>
    <x v="0"/>
    <s v="NÃO INFORMADO"/>
    <s v="SP"/>
    <s v="AGNÓSTICO/ATEU/SEM RELIGIÃO"/>
    <x v="1"/>
    <s v="NULL"/>
    <x v="0"/>
    <x v="5"/>
  </r>
  <r>
    <s v="8FFF1549194952603010F2F11C668D50193BCF6D63C8C6770A92A279712571CD"/>
    <x v="117"/>
    <s v="OUTROS ESTABELECIMENTOS"/>
    <x v="13"/>
    <s v="HÁ MAIS DE CINCO ANOS"/>
    <s v="VIOLÊNCIA CONTRA CIDADÃO, FAMÍLIA OU COMUNIDADE"/>
    <s v="OUTROS"/>
    <x v="0"/>
    <x v="4"/>
    <s v="PE"/>
    <x v="0"/>
    <x v="0"/>
    <x v="0"/>
    <s v="NULL"/>
    <x v="1"/>
    <x v="0"/>
    <s v="NÃO INFORMADO"/>
    <s v="PE"/>
    <s v="AGNÓSTICO/ATEU/SEM RELIGIÃO"/>
    <x v="1"/>
    <s v="OUTRAS ATIVIDADES DE SERVIÇOS"/>
    <x v="2"/>
    <x v="5"/>
  </r>
  <r>
    <s v="8FFF1549194952603010F2F11C668D50193BCF6D63C8C6770A92A279712571CD"/>
    <x v="117"/>
    <s v="OUTROS ESTABELECIMENTOS"/>
    <x v="13"/>
    <s v="HÁ MAIS DE CINCO ANOS"/>
    <s v="VIOLÊNCIA CONTRA CIDADÃO, FAMÍLIA OU COMUNIDADE"/>
    <s v="OUTROS"/>
    <x v="0"/>
    <x v="4"/>
    <s v="PE"/>
    <x v="0"/>
    <x v="0"/>
    <x v="0"/>
    <s v="NULL"/>
    <x v="1"/>
    <x v="0"/>
    <s v="NÃO INFORMADO"/>
    <s v="PE"/>
    <s v="AGNÓSTICO/ATEU/SEM RELIGIÃO"/>
    <x v="1"/>
    <s v="OUTRAS ATIVIDADES DE SERVIÇOS"/>
    <x v="1"/>
    <x v="5"/>
  </r>
  <r>
    <s v="22F45FCB7E6C2DF17EC9010D19FC494368F97F984FE215A12CF58D6BDE7805CC"/>
    <x v="117"/>
    <s v="OUTROS ESTABELECIMENTOS"/>
    <x v="10"/>
    <s v="NÃO SABE INFORMAR"/>
    <s v="VIOLÊNCIA CONTRA CIDADÃO, FAMÍLIA OU COMUNIDADE"/>
    <s v="LÍDER RELIGIOSO(A)"/>
    <x v="1"/>
    <x v="4"/>
    <s v="CE"/>
    <x v="0"/>
    <x v="4"/>
    <x v="1"/>
    <s v="NULL"/>
    <x v="1"/>
    <x v="0"/>
    <s v="NÃO INFORMADO"/>
    <s v="CE"/>
    <s v="AGNÓSTICO/ATEU/SEM RELIGIÃO"/>
    <x v="1"/>
    <s v="OUTRAS ATIVIDADES DE SERVIÇOS"/>
    <x v="2"/>
    <x v="5"/>
  </r>
  <r>
    <s v="22F45FCB7E6C2DF17EC9010D19FC494368F97F984FE215A12CF58D6BDE7805CC"/>
    <x v="117"/>
    <s v="OUTROS ESTABELECIMENTOS"/>
    <x v="10"/>
    <s v="NÃO SABE INFORMAR"/>
    <s v="VIOLÊNCIA CONTRA CIDADÃO, FAMÍLIA OU COMUNIDADE"/>
    <s v="LÍDER RELIGIOSO(A)"/>
    <x v="1"/>
    <x v="4"/>
    <s v="CE"/>
    <x v="0"/>
    <x v="4"/>
    <x v="1"/>
    <s v="NULL"/>
    <x v="1"/>
    <x v="0"/>
    <s v="NÃO INFORMADO"/>
    <s v="CE"/>
    <s v="AGNÓSTICO/ATEU/SEM RELIGIÃO"/>
    <x v="1"/>
    <s v="OUTRAS ATIVIDADES DE SERVIÇOS"/>
    <x v="0"/>
    <x v="5"/>
  </r>
  <r>
    <s v="4CA9E9D4537CCFF77F6491B4B06B207491452CAE9606BEDFB28B6C5924E689DC"/>
    <x v="118"/>
    <s v="AMBIENTE VIRTUAL (NO ÂMBITO DA INTERNET)"/>
    <x v="0"/>
    <s v="HÁ UMA SEMANA"/>
    <s v="VIOLÊNCIA CONTRA CIDADÃO, FAMÍLIA OU COMUNIDADE"/>
    <s v="PRIMO(A)"/>
    <x v="0"/>
    <x v="3"/>
    <s v="DF"/>
    <x v="0"/>
    <x v="0"/>
    <x v="2"/>
    <s v="NULL"/>
    <x v="2"/>
    <x v="2"/>
    <s v="NÃO"/>
    <s v="DF"/>
    <s v="AGNÓSTICO/ATEU/SEM RELIGIÃO"/>
    <x v="1"/>
    <s v="NULL"/>
    <x v="0"/>
    <x v="5"/>
  </r>
  <r>
    <s v="2004DF82B1DB660BF3A4E5DFEF15570D13CC4350A2458938717DCFFC52B28E99"/>
    <x v="119"/>
    <s v="AMBIENTE VIRTUAL (NO ÂMBITO DA INTERNET)"/>
    <x v="6"/>
    <s v="NÃO SABE INFORMAR"/>
    <s v="VIOLÊNCIA CONTRA CIDADÃO, FAMÍLIA OU COMUNIDADE"/>
    <s v="OUTROS"/>
    <x v="1"/>
    <x v="5"/>
    <s v="DENUNCIANTE NÃO SOUBE INFORMAR"/>
    <x v="0"/>
    <x v="0"/>
    <x v="1"/>
    <s v="NULL"/>
    <x v="2"/>
    <x v="5"/>
    <s v="NÃO"/>
    <s v="GO"/>
    <s v="AGNÓSTICO/ATEU/SEM RELIGIÃO"/>
    <x v="1"/>
    <s v="NULL"/>
    <x v="0"/>
    <x v="5"/>
  </r>
  <r>
    <s v="A86417DFF45CB0B9462FD6D43DA093F95F7AF7524E36E4B57CE78B82974C7241"/>
    <x v="119"/>
    <s v="AMBIENTE VIRTUAL (NO ÂMBITO DA INTERNET)"/>
    <x v="6"/>
    <s v="NÃO SABE INFORMAR"/>
    <s v="VIOLÊNCIA CONTRA CIDADÃO, FAMÍLIA OU COMUNIDADE"/>
    <s v="OUTROS"/>
    <x v="1"/>
    <x v="5"/>
    <s v="DENUNCIANTE NÃO SOUBE INFORMAR"/>
    <x v="0"/>
    <x v="0"/>
    <x v="1"/>
    <s v="NULL"/>
    <x v="0"/>
    <x v="11"/>
    <s v="NÃO"/>
    <s v="DENUNCIANTE NÃO SOUBE INFORMAR"/>
    <s v="AGNÓSTICO/ATEU/SEM RELIGIÃO"/>
    <x v="1"/>
    <s v="NULL"/>
    <x v="0"/>
    <x v="5"/>
  </r>
  <r>
    <s v="273CAB50FEFE1A3706E243655568283713DC1DB3150263D43EFC0C7E273E0608"/>
    <x v="119"/>
    <s v="AMBIENTE VIRTUAL (NO ÂMBITO DA INTERNET)"/>
    <x v="6"/>
    <s v="NÃO SABE INFORMAR"/>
    <s v="VIOLÊNCIA CONTRA CIDADÃO, FAMÍLIA OU COMUNIDADE"/>
    <s v="OUTROS"/>
    <x v="1"/>
    <x v="5"/>
    <s v="DENUNCIANTE NÃO SOUBE INFORMAR"/>
    <x v="0"/>
    <x v="0"/>
    <x v="1"/>
    <s v="NULL"/>
    <x v="0"/>
    <x v="12"/>
    <s v="NÃO"/>
    <s v="DENUNCIANTE NÃO SOUBE INFORMAR"/>
    <s v="AGNÓSTICO/ATEU/SEM RELIGIÃO"/>
    <x v="1"/>
    <s v="NULL"/>
    <x v="0"/>
    <x v="5"/>
  </r>
  <r>
    <s v="DA6B0CEC36048FFE7F6FA64B8BBBF685C71D247524D88B242FBABA931D9B915D"/>
    <x v="119"/>
    <s v="AMBIENTE VIRTUAL (NO ÂMBITO DA INTERNET)"/>
    <x v="6"/>
    <s v="NÃO SABE INFORMAR"/>
    <s v="VIOLÊNCIA CONTRA CIDADÃO, FAMÍLIA OU COMUNIDADE"/>
    <s v="OUTROS"/>
    <x v="1"/>
    <x v="5"/>
    <s v="DENUNCIANTE NÃO SOUBE INFORMAR"/>
    <x v="0"/>
    <x v="0"/>
    <x v="1"/>
    <s v="NULL"/>
    <x v="0"/>
    <x v="12"/>
    <s v="NÃO"/>
    <s v="DENUNCIANTE NÃO SOUBE INFORMAR"/>
    <s v="AGNÓSTICO/ATEU/SEM RELIGIÃO"/>
    <x v="1"/>
    <s v="NULL"/>
    <x v="0"/>
    <x v="5"/>
  </r>
  <r>
    <s v="A91C742A303FA476E8734FFF7879F20F0DEEEB947242138A1FC2D52CF7644424"/>
    <x v="119"/>
    <s v="AMBIENTE VIRTUAL (NO ÂMBITO DA INTERNET)"/>
    <x v="6"/>
    <s v="NÃO SABE INFORMAR"/>
    <s v="VIOLÊNCIA CONTRA CIDADÃO, FAMÍLIA OU COMUNIDADE"/>
    <s v="OUTROS"/>
    <x v="1"/>
    <x v="5"/>
    <s v="DENUNCIANTE NÃO SOUBE INFORMAR"/>
    <x v="0"/>
    <x v="0"/>
    <x v="1"/>
    <s v="NULL"/>
    <x v="1"/>
    <x v="0"/>
    <s v="NÃO"/>
    <s v="DENUNCIANTE NÃO SOUBE INFORMAR"/>
    <s v="AGNÓSTICO/ATEU/SEM RELIGIÃO"/>
    <x v="1"/>
    <s v="NULL"/>
    <x v="0"/>
    <x v="5"/>
  </r>
  <r>
    <s v="7F590ED36A94AF8A719DAD2D5F64923EE87070104EF30D3E371FD4544477D9DA"/>
    <x v="119"/>
    <s v="CASA DA VÍTIMA"/>
    <x v="15"/>
    <s v="HÁ MAIS DE SEIS MESES"/>
    <s v="VIOLÊNCIA CONTRA CIDADÃO, FAMÍLIA OU COMUNIDADE"/>
    <s v="VIZINHO(A)"/>
    <x v="0"/>
    <x v="2"/>
    <s v="PR"/>
    <x v="0"/>
    <x v="0"/>
    <x v="2"/>
    <s v="NULL"/>
    <x v="2"/>
    <x v="2"/>
    <s v="NÃO"/>
    <s v="PR"/>
    <s v="AGNÓSTICO/ATEU/SEM RELIGIÃO"/>
    <x v="0"/>
    <s v="NULL"/>
    <x v="0"/>
    <x v="5"/>
  </r>
  <r>
    <s v="89735D1A43D5DA818CC0F7B0A8D90FF198AE2EC1F7F7B55257F2AB929789C207"/>
    <x v="120"/>
    <s v="OUTROS ESTABELECIMENTOS"/>
    <x v="15"/>
    <s v="HÁ MAIS DE SEIS MESES"/>
    <s v="VIOLÊNCIA CONTRA CIDADÃO, FAMÍLIA OU COMUNIDADE"/>
    <s v="VIZINHO(A)"/>
    <x v="2"/>
    <x v="5"/>
    <s v="DENUNCIANTE NÃO SOUBE INFORMAR"/>
    <x v="0"/>
    <x v="0"/>
    <x v="0"/>
    <s v="NULL"/>
    <x v="1"/>
    <x v="0"/>
    <s v="NÃO INFORMADO"/>
    <s v="PR"/>
    <s v="AGNÓSTICO/ATEU/SEM RELIGIÃO"/>
    <x v="1"/>
    <s v="NULL"/>
    <x v="2"/>
    <x v="5"/>
  </r>
  <r>
    <s v="217D2D04C9AA0B1306F8698AED5EE2874E9F9417ED2D6B3733067D0895240845"/>
    <x v="120"/>
    <s v="OUTROS ESTABELECIMENTOS"/>
    <x v="15"/>
    <s v="HÁ MAIS DE SEIS MESES"/>
    <s v="VIOLÊNCIA CONTRA CIDADÃO, FAMÍLIA OU COMUNIDADE"/>
    <s v="VIZINHO(A)"/>
    <x v="2"/>
    <x v="5"/>
    <s v="DENUNCIANTE NÃO SOUBE INFORMAR"/>
    <x v="0"/>
    <x v="0"/>
    <x v="0"/>
    <s v="NULL"/>
    <x v="1"/>
    <x v="0"/>
    <s v="NÃO INFORMADO"/>
    <s v="PR"/>
    <s v="AGNÓSTICO/ATEU/SEM RELIGIÃO"/>
    <x v="1"/>
    <s v="NULL"/>
    <x v="1"/>
    <x v="5"/>
  </r>
  <r>
    <s v="217D2D04C9AA0B1306F8698AED5EE2874E9F9417ED2D6B3733067D0895240845"/>
    <x v="120"/>
    <s v="OUTROS ESTABELECIMENTOS"/>
    <x v="15"/>
    <s v="HÁ MAIS DE SEIS MESES"/>
    <s v="VIOLÊNCIA CONTRA CIDADÃO, FAMÍLIA OU COMUNIDADE"/>
    <s v="VIZINHO(A)"/>
    <x v="2"/>
    <x v="5"/>
    <s v="DENUNCIANTE NÃO SOUBE INFORMAR"/>
    <x v="0"/>
    <x v="0"/>
    <x v="0"/>
    <s v="NULL"/>
    <x v="1"/>
    <x v="0"/>
    <s v="NÃO INFORMADO"/>
    <s v="PR"/>
    <s v="AGNÓSTICO/ATEU/SEM RELIGIÃO"/>
    <x v="1"/>
    <s v="NULL"/>
    <x v="2"/>
    <x v="5"/>
  </r>
  <r>
    <s v="89735D1A43D5DA818CC0F7B0A8D90FF198AE2EC1F7F7B55257F2AB929789C207"/>
    <x v="120"/>
    <s v="OUTROS ESTABELECIMENTOS"/>
    <x v="15"/>
    <s v="HÁ MAIS DE SEIS MESES"/>
    <s v="VIOLÊNCIA CONTRA CIDADÃO, FAMÍLIA OU COMUNIDADE"/>
    <s v="VIZINHO(A)"/>
    <x v="2"/>
    <x v="5"/>
    <s v="DENUNCIANTE NÃO SOUBE INFORMAR"/>
    <x v="0"/>
    <x v="0"/>
    <x v="0"/>
    <s v="NULL"/>
    <x v="1"/>
    <x v="0"/>
    <s v="NÃO INFORMADO"/>
    <s v="PR"/>
    <s v="AGNÓSTICO/ATEU/SEM RELIGIÃO"/>
    <x v="1"/>
    <s v="NULL"/>
    <x v="1"/>
    <x v="5"/>
  </r>
  <r>
    <s v="F28F9D383227FF6DA86184C1ADFBB1F741577088778E6842F162A0D73333933A"/>
    <x v="120"/>
    <s v="CASA DA VÍTIMA"/>
    <x v="15"/>
    <s v="HÁ MAIS DE SEIS MESES"/>
    <s v="VIOLÊNCIA CONTRA CIDADÃO, FAMÍLIA OU COMUNIDADE"/>
    <s v="VIZINHO(A)"/>
    <x v="1"/>
    <x v="7"/>
    <s v="PR"/>
    <x v="0"/>
    <x v="3"/>
    <x v="1"/>
    <s v="NULL"/>
    <x v="1"/>
    <x v="0"/>
    <s v="NÃO INFORMADO"/>
    <s v="PR"/>
    <s v="AGNÓSTICO/ATEU/SEM RELIGIÃO"/>
    <x v="1"/>
    <s v="NULL"/>
    <x v="0"/>
    <x v="5"/>
  </r>
  <r>
    <s v="1304336F1D186B8F4DEA332DDCF8F4EBBC34E344D0E3F20B8D16155E4920A011"/>
    <x v="121"/>
    <s v="CASA DA VÍTIMA"/>
    <x v="1"/>
    <s v="HÁ MAIS DE UM ANO"/>
    <s v="VIOLÊNCIA CONTRA CIDADÃO, FAMÍLIA OU COMUNIDADE"/>
    <s v="TIO(A)"/>
    <x v="0"/>
    <x v="2"/>
    <s v="SP"/>
    <x v="3"/>
    <x v="2"/>
    <x v="2"/>
    <s v="NULL"/>
    <x v="2"/>
    <x v="4"/>
    <s v="NÃO"/>
    <s v="SP"/>
    <s v="AGNÓSTICO/ATEU/SEM RELIGIÃO"/>
    <x v="0"/>
    <s v="NULL"/>
    <x v="2"/>
    <x v="5"/>
  </r>
  <r>
    <s v="A25263257E7BB78EE4C6648DD04901DB2624726FF5E1099A5695A3988CECD3B2"/>
    <x v="121"/>
    <s v="OUTROS ESTABELECIMENTOS"/>
    <x v="3"/>
    <s v="HÁ MAIS DE DEZ ANOS"/>
    <s v="VIOLÊNCIA CONTRA CIDADÃO, FAMÍLIA OU COMUNIDADE"/>
    <s v="LÍDER RELIGIOSO(A)"/>
    <x v="0"/>
    <x v="3"/>
    <s v="BA"/>
    <x v="0"/>
    <x v="0"/>
    <x v="2"/>
    <s v="NULL"/>
    <x v="1"/>
    <x v="0"/>
    <s v="NÃO INFORMADO"/>
    <s v="BA"/>
    <s v="AGNÓSTICO/ATEU/SEM RELIGIÃO"/>
    <x v="1"/>
    <s v="OUTRAS ATIVIDADES DE SERVIÇOS"/>
    <x v="0"/>
    <x v="5"/>
  </r>
  <r>
    <s v="9713EECBCD9FA70B38581DC16170F78E593D8CAEE5420202EB83B16B9D9C474D"/>
    <x v="121"/>
    <s v="AMBIENTE VIRTUAL (NO ÂMBITO DA INTERNET)"/>
    <x v="12"/>
    <s v="NÃO SABE INFORMAR"/>
    <s v="VIOLÊNCIA CONTRA CIDADÃO, FAMÍLIA OU COMUNIDADE"/>
    <s v="OUTROS"/>
    <x v="1"/>
    <x v="1"/>
    <s v="DENUNCIANTE NÃO SOUBE INFORMAR"/>
    <x v="0"/>
    <x v="0"/>
    <x v="1"/>
    <s v="NULL"/>
    <x v="0"/>
    <x v="0"/>
    <s v="NÃO INFORMADO"/>
    <s v="MG"/>
    <s v="AGNÓSTICO/ATEU/SEM RELIGIÃO"/>
    <x v="1"/>
    <s v="NULL"/>
    <x v="0"/>
    <x v="5"/>
  </r>
  <r>
    <s v="9713EECBCD9FA70B38581DC16170F78E593D8CAEE5420202EB83B16B9D9C474D"/>
    <x v="121"/>
    <s v="AMBIENTE VIRTUAL (NO ÂMBITO DA INTERNET)"/>
    <x v="12"/>
    <s v="NÃO SABE INFORMAR"/>
    <s v="VIOLÊNCIA CONTRA CIDADÃO, FAMÍLIA OU COMUNIDADE"/>
    <s v="OUTROS"/>
    <x v="1"/>
    <x v="1"/>
    <s v="DENUNCIANTE NÃO SOUBE INFORMAR"/>
    <x v="0"/>
    <x v="0"/>
    <x v="1"/>
    <s v="NULL"/>
    <x v="0"/>
    <x v="0"/>
    <s v="NÃO INFORMADO"/>
    <s v="MG"/>
    <s v="AGNÓSTICO/ATEU/SEM RELIGIÃO"/>
    <x v="1"/>
    <s v="NULL"/>
    <x v="2"/>
    <x v="5"/>
  </r>
  <r>
    <s v="6590AC0F4C959A0C695AFB3AFBFFFC15E992D8B92ADACD7A1DDBAD1CED9452FD"/>
    <x v="121"/>
    <s v="OUTROS ESTABELECIMENTOS"/>
    <x v="13"/>
    <s v="HÁ MAIS DE UM ANO"/>
    <s v="VIOLÊNCIA CONTRA CIDADÃO, FAMÍLIA OU COMUNIDADE"/>
    <s v="OUTROS"/>
    <x v="1"/>
    <x v="3"/>
    <s v="PE"/>
    <x v="0"/>
    <x v="1"/>
    <x v="1"/>
    <s v="NULL"/>
    <x v="1"/>
    <x v="0"/>
    <s v="NÃO INFORMADO"/>
    <s v="PE"/>
    <s v="AGNÓSTICO/ATEU/SEM RELIGIÃO"/>
    <x v="1"/>
    <s v="PODER EXECUTIVO EM GERAL - MUNICIPAL"/>
    <x v="0"/>
    <x v="5"/>
  </r>
  <r>
    <s v="3A0128467A7BEB4796BABFFE7336AB171AA2D02C8C22D1C61CE28A07800097AD"/>
    <x v="121"/>
    <s v="CASA ONDE RESIDE A VÍTIMA E O SUSPEITO"/>
    <x v="13"/>
    <s v="NÃO SABE INFORMAR"/>
    <s v="VIOLÊNCIA CONTRA CIDADÃO, FAMÍLIA OU COMUNIDADE"/>
    <s v="ESPOSA(O)"/>
    <x v="0"/>
    <x v="6"/>
    <s v="PE"/>
    <x v="0"/>
    <x v="0"/>
    <x v="1"/>
    <s v="NULL"/>
    <x v="2"/>
    <x v="0"/>
    <s v="NÃO INFORMADO"/>
    <s v="PE"/>
    <s v="AGNÓSTICO/ATEU/SEM RELIGIÃO"/>
    <x v="1"/>
    <s v="NULL"/>
    <x v="0"/>
    <x v="5"/>
  </r>
  <r>
    <s v="7A9D2C74EDD3BEB22AE42FF3E753D6436EC28077799E627E3BDB18BCB79193FC"/>
    <x v="122"/>
    <s v="CASA DO SUSPEITO"/>
    <x v="0"/>
    <s v="HÁ UMA SEMANA"/>
    <s v="VIOLÊNCIA CONTRA CIDADÃO, FAMÍLIA OU COMUNIDADE"/>
    <s v="OUTROS FAMILIARES"/>
    <x v="0"/>
    <x v="0"/>
    <s v="DF"/>
    <x v="0"/>
    <x v="0"/>
    <x v="2"/>
    <s v="NULL"/>
    <x v="0"/>
    <x v="1"/>
    <s v="NÃO"/>
    <s v="DF"/>
    <s v="AGNÓSTICO/ATEU/SEM RELIGIÃO"/>
    <x v="0"/>
    <s v="NULL"/>
    <x v="0"/>
    <x v="5"/>
  </r>
  <r>
    <s v="E1B69DA89786A2BB88EE5C71BC1BB6D3888B7F5D8A138683F9AF14757A8E4017"/>
    <x v="122"/>
    <s v="CASA DO SUSPEITO"/>
    <x v="0"/>
    <s v="HÁ UMA SEMANA"/>
    <s v="VIOLÊNCIA CONTRA CIDADÃO, FAMÍLIA OU COMUNIDADE"/>
    <s v="OUTROS FAMILIARES"/>
    <x v="0"/>
    <x v="0"/>
    <s v="DF"/>
    <x v="0"/>
    <x v="0"/>
    <x v="2"/>
    <s v="NULL"/>
    <x v="2"/>
    <x v="4"/>
    <s v="NÃO"/>
    <s v="DF"/>
    <s v="AGNÓSTICO/ATEU/SEM RELIGIÃO"/>
    <x v="0"/>
    <s v="NULL"/>
    <x v="0"/>
    <x v="5"/>
  </r>
  <r>
    <s v="3EEBA7FFA54C31CDE8DA460BF46AD3CDD92A06C10A7168CA4788D60BDB5E34A5"/>
    <x v="122"/>
    <s v="AMBIENTE VIRTUAL (NO ÂMBITO DA INTERNET)"/>
    <x v="9"/>
    <s v="NÃO SE APLICA"/>
    <s v="VIOLÊNCIA CONTRA CIDADÃO, FAMÍLIA OU COMUNIDADE"/>
    <s v="NÃO SABE INFORMAR"/>
    <x v="1"/>
    <x v="0"/>
    <s v="SC"/>
    <x v="0"/>
    <x v="0"/>
    <x v="1"/>
    <s v="NULL"/>
    <x v="1"/>
    <x v="0"/>
    <s v="NÃO INFORMADO"/>
    <s v="SC"/>
    <s v="AGNÓSTICO/ATEU/SEM RELIGIÃO"/>
    <x v="1"/>
    <s v="PARTIDO POLÍTICO"/>
    <x v="2"/>
    <x v="5"/>
  </r>
  <r>
    <s v="3EEBA7FFA54C31CDE8DA460BF46AD3CDD92A06C10A7168CA4788D60BDB5E34A5"/>
    <x v="122"/>
    <s v="AMBIENTE VIRTUAL (NO ÂMBITO DA INTERNET)"/>
    <x v="9"/>
    <s v="NÃO SE APLICA"/>
    <s v="VIOLÊNCIA CONTRA CIDADÃO, FAMÍLIA OU COMUNIDADE"/>
    <s v="NÃO SABE INFORMAR"/>
    <x v="1"/>
    <x v="0"/>
    <s v="SC"/>
    <x v="0"/>
    <x v="0"/>
    <x v="1"/>
    <s v="NULL"/>
    <x v="1"/>
    <x v="0"/>
    <s v="NÃO INFORMADO"/>
    <s v="SC"/>
    <s v="AGNÓSTICO/ATEU/SEM RELIGIÃO"/>
    <x v="1"/>
    <s v="PARTIDO POLÍTICO"/>
    <x v="1"/>
    <x v="5"/>
  </r>
  <r>
    <s v="B763051D880866A5E404C34B4A6865FC5B0675148A3D38689BB4565D6B4E4B5F"/>
    <x v="122"/>
    <s v="OUTROS ESTABELECIMENTOS"/>
    <x v="1"/>
    <s v="HÁ MAIS DE UM ANO"/>
    <s v="VIOLÊNCIA CONTRA CIDADÃO, FAMÍLIA OU COMUNIDADE"/>
    <s v="LÍDER RELIGIOSO(A)"/>
    <x v="1"/>
    <x v="7"/>
    <s v="SP"/>
    <x v="0"/>
    <x v="3"/>
    <x v="1"/>
    <s v="NULL"/>
    <x v="0"/>
    <x v="8"/>
    <s v="NÃO"/>
    <s v="SP"/>
    <s v="UMBANDA E CANDOMBLÉ"/>
    <x v="0"/>
    <s v="NULL"/>
    <x v="2"/>
    <x v="5"/>
  </r>
  <r>
    <s v="D50F4386D8DB96FF86E2F2F87669D0E76E34A8841A6549BB07D455007A96AE00"/>
    <x v="122"/>
    <s v="OUTROS ESTABELECIMENTOS"/>
    <x v="1"/>
    <s v="HÁ MAIS DE UM ANO"/>
    <s v="VIOLÊNCIA CONTRA CIDADÃO, FAMÍLIA OU COMUNIDADE"/>
    <s v="LÍDER RELIGIOSO(A)"/>
    <x v="1"/>
    <x v="7"/>
    <s v="SP"/>
    <x v="0"/>
    <x v="3"/>
    <x v="1"/>
    <s v="NULL"/>
    <x v="2"/>
    <x v="1"/>
    <s v="NÃO"/>
    <s v="SP"/>
    <s v="UMBANDA E CANDOMBLÉ"/>
    <x v="0"/>
    <s v="NULL"/>
    <x v="2"/>
    <x v="5"/>
  </r>
  <r>
    <s v="4B7895D9F1BE8419C8617EC47139F7678247508240E6AD0410D290AA9EDBD86A"/>
    <x v="122"/>
    <s v="CASA DO SUSPEITO"/>
    <x v="1"/>
    <s v="NÃO SE APLICA"/>
    <s v="VIOLÊNCIA CONTRA CIDADÃO, FAMÍLIA OU COMUNIDADE"/>
    <s v="TIO(A)"/>
    <x v="0"/>
    <x v="2"/>
    <s v="SP"/>
    <x v="0"/>
    <x v="2"/>
    <x v="1"/>
    <s v="NULL"/>
    <x v="2"/>
    <x v="0"/>
    <s v="NÃO"/>
    <s v="SP"/>
    <s v="AGNÓSTICO/ATEU/SEM RELIGIÃO"/>
    <x v="1"/>
    <s v="NULL"/>
    <x v="0"/>
    <x v="5"/>
  </r>
  <r>
    <s v="566CFB0490E0673E2B1C05DBD53BF43EC912563130D3500D7D0412BA05F22E26"/>
    <x v="122"/>
    <s v="OUTROS ESTABELECIMENTOS"/>
    <x v="1"/>
    <s v="HÁ UM MÊS"/>
    <s v="VIOLÊNCIA CONTRA CIDADÃO, FAMÍLIA OU COMUNIDADE"/>
    <s v="DIRETOR(A) DE UNIDADE PRISIONAL"/>
    <x v="0"/>
    <x v="7"/>
    <s v="SP"/>
    <x v="0"/>
    <x v="0"/>
    <x v="1"/>
    <s v="NULL"/>
    <x v="1"/>
    <x v="0"/>
    <s v="NÃO INFORMADO"/>
    <s v="SP"/>
    <s v="AGNÓSTICO/ATEU/SEM RELIGIÃO"/>
    <x v="1"/>
    <s v="AGÊNCIA REGULADORA ? MUNICIPAL"/>
    <x v="0"/>
    <x v="5"/>
  </r>
  <r>
    <s v="72BEC8428DBC4507CEBF6F262EF56106A78074B8A761BFEF804F93DA265B0999"/>
    <x v="123"/>
    <s v="CASA DA VÍTIMA"/>
    <x v="1"/>
    <s v="HÁ UM MÊS"/>
    <s v="VIOLÊNCIA CONTRA CIDADÃO, FAMÍLIA OU COMUNIDADE"/>
    <s v="OUTROS"/>
    <x v="0"/>
    <x v="7"/>
    <s v="SP"/>
    <x v="0"/>
    <x v="0"/>
    <x v="2"/>
    <s v="NULL"/>
    <x v="2"/>
    <x v="1"/>
    <s v="NÃO"/>
    <s v="SP"/>
    <s v="AGNÓSTICO/ATEU/SEM RELIGIÃO"/>
    <x v="3"/>
    <s v="NULL"/>
    <x v="0"/>
    <x v="5"/>
  </r>
  <r>
    <s v="3C5BAFA1EEE1F6EDACF0688DB01881E80CC3E23287CE5AD06CAFF68A23F6E888"/>
    <x v="124"/>
    <s v="OUTROS ESTABELECIMENTOS"/>
    <x v="4"/>
    <s v="HÁ MAIS DE DEZ ANOS"/>
    <s v="VIOLÊNCIA CONTRA CIDADÃO, FAMÍLIA OU COMUNIDADE"/>
    <s v="OUTROS"/>
    <x v="0"/>
    <x v="5"/>
    <s v="MG"/>
    <x v="0"/>
    <x v="0"/>
    <x v="1"/>
    <s v="COMUNIDADES DE TERREIROS E MATRIZ AFRICANA"/>
    <x v="1"/>
    <x v="0"/>
    <s v="NÃO INFORMADO"/>
    <s v="MG"/>
    <s v="AGNÓSTICO/ATEU/SEM RELIGIÃO"/>
    <x v="1"/>
    <s v="NULL"/>
    <x v="2"/>
    <x v="5"/>
  </r>
  <r>
    <s v="5908E778B614BE915DF3287142CEB1EF67F45F8652D8618BEDC609B03C15EDE6"/>
    <x v="124"/>
    <s v="OUTROS ESTABELECIMENTOS"/>
    <x v="4"/>
    <s v="HÁ MAIS DE DEZ ANOS"/>
    <s v="VIOLÊNCIA CONTRA CIDADÃO, FAMÍLIA OU COMUNIDADE"/>
    <s v="OUTROS"/>
    <x v="0"/>
    <x v="0"/>
    <s v="MG"/>
    <x v="0"/>
    <x v="0"/>
    <x v="1"/>
    <s v="COMUNIDADES DE TERREIROS E MATRIZ AFRICANA"/>
    <x v="0"/>
    <x v="0"/>
    <s v="NÃO INFORMADO"/>
    <s v="MG"/>
    <s v="AGNÓSTICO/ATEU/SEM RELIGIÃO"/>
    <x v="1"/>
    <s v="NULL"/>
    <x v="2"/>
    <x v="5"/>
  </r>
  <r>
    <s v="3C5BAFA1EEE1F6EDACF0688DB01881E80CC3E23287CE5AD06CAFF68A23F6E888"/>
    <x v="124"/>
    <s v="OUTROS ESTABELECIMENTOS"/>
    <x v="4"/>
    <s v="HÁ MAIS DE DEZ ANOS"/>
    <s v="VIOLÊNCIA CONTRA CIDADÃO, FAMÍLIA OU COMUNIDADE"/>
    <s v="OUTROS"/>
    <x v="0"/>
    <x v="5"/>
    <s v="MG"/>
    <x v="0"/>
    <x v="0"/>
    <x v="1"/>
    <s v="COMUNIDADES DE TERREIROS E MATRIZ AFRICANA"/>
    <x v="1"/>
    <x v="0"/>
    <s v="NÃO INFORMADO"/>
    <s v="MG"/>
    <s v="AGNÓSTICO/ATEU/SEM RELIGIÃO"/>
    <x v="1"/>
    <s v="NULL"/>
    <x v="0"/>
    <x v="5"/>
  </r>
  <r>
    <s v="5908E778B614BE915DF3287142CEB1EF67F45F8652D8618BEDC609B03C15EDE6"/>
    <x v="124"/>
    <s v="OUTROS ESTABELECIMENTOS"/>
    <x v="4"/>
    <s v="HÁ MAIS DE DEZ ANOS"/>
    <s v="VIOLÊNCIA CONTRA CIDADÃO, FAMÍLIA OU COMUNIDADE"/>
    <s v="OUTROS"/>
    <x v="0"/>
    <x v="0"/>
    <s v="MG"/>
    <x v="0"/>
    <x v="0"/>
    <x v="1"/>
    <s v="COMUNIDADES DE TERREIROS E MATRIZ AFRICANA"/>
    <x v="0"/>
    <x v="0"/>
    <s v="NÃO INFORMADO"/>
    <s v="MG"/>
    <s v="AGNÓSTICO/ATEU/SEM RELIGIÃO"/>
    <x v="1"/>
    <s v="NULL"/>
    <x v="1"/>
    <x v="5"/>
  </r>
  <r>
    <s v="78BE58840FD475A1FA82D7E912CE9365DA4E14D560BB400850D9BE68176A4351"/>
    <x v="124"/>
    <s v="OUTROS ESTABELECIMENTOS"/>
    <x v="4"/>
    <s v="HÁ MAIS DE DEZ ANOS"/>
    <s v="VIOLÊNCIA CONTRA CIDADÃO, FAMÍLIA OU COMUNIDADE"/>
    <s v="OUTROS"/>
    <x v="0"/>
    <x v="0"/>
    <s v="MG"/>
    <x v="0"/>
    <x v="0"/>
    <x v="1"/>
    <s v="COMUNIDADES DE TERREIROS E MATRIZ AFRICANA"/>
    <x v="1"/>
    <x v="0"/>
    <s v="NÃO INFORMADO"/>
    <s v="MG"/>
    <s v="AGNÓSTICO/ATEU/SEM RELIGIÃO"/>
    <x v="1"/>
    <s v="EDUCAÇÃO"/>
    <x v="2"/>
    <x v="5"/>
  </r>
  <r>
    <s v="67F6CAD12EE88325D326D49F05BC5F18EB7D572A503DC37968998248CED037DE"/>
    <x v="124"/>
    <s v="OUTROS ESTABELECIMENTOS"/>
    <x v="4"/>
    <s v="HÁ MAIS DE DEZ ANOS"/>
    <s v="VIOLÊNCIA CONTRA CIDADÃO, FAMÍLIA OU COMUNIDADE"/>
    <s v="OUTROS"/>
    <x v="0"/>
    <x v="5"/>
    <s v="MG"/>
    <x v="0"/>
    <x v="0"/>
    <x v="1"/>
    <s v="COMUNIDADES DE TERREIROS E MATRIZ AFRICANA"/>
    <x v="0"/>
    <x v="0"/>
    <s v="NÃO INFORMADO"/>
    <s v="MG"/>
    <s v="AGNÓSTICO/ATEU/SEM RELIGIÃO"/>
    <x v="1"/>
    <s v="NULL"/>
    <x v="2"/>
    <x v="5"/>
  </r>
  <r>
    <s v="67F6CAD12EE88325D326D49F05BC5F18EB7D572A503DC37968998248CED037DE"/>
    <x v="124"/>
    <s v="OUTROS ESTABELECIMENTOS"/>
    <x v="4"/>
    <s v="HÁ MAIS DE DEZ ANOS"/>
    <s v="VIOLÊNCIA CONTRA CIDADÃO, FAMÍLIA OU COMUNIDADE"/>
    <s v="OUTROS"/>
    <x v="0"/>
    <x v="5"/>
    <s v="MG"/>
    <x v="0"/>
    <x v="0"/>
    <x v="1"/>
    <s v="COMUNIDADES DE TERREIROS E MATRIZ AFRICANA"/>
    <x v="0"/>
    <x v="0"/>
    <s v="NÃO INFORMADO"/>
    <s v="MG"/>
    <s v="AGNÓSTICO/ATEU/SEM RELIGIÃO"/>
    <x v="1"/>
    <s v="NULL"/>
    <x v="0"/>
    <x v="5"/>
  </r>
  <r>
    <s v="8E28C901D68A4DABFAC718779DC69EA5512A8F6FF0CAC1F79709685E63F2589B"/>
    <x v="124"/>
    <s v="OUTROS ESTABELECIMENTOS"/>
    <x v="4"/>
    <s v="HÁ MAIS DE DEZ ANOS"/>
    <s v="VIOLÊNCIA CONTRA CIDADÃO, FAMÍLIA OU COMUNIDADE"/>
    <s v="OUTROS"/>
    <x v="0"/>
    <x v="5"/>
    <s v="MG"/>
    <x v="0"/>
    <x v="0"/>
    <x v="1"/>
    <s v="COMUNIDADES DE TERREIROS E MATRIZ AFRICANA"/>
    <x v="1"/>
    <x v="0"/>
    <s v="NÃO INFORMADO"/>
    <s v="MG"/>
    <s v="AGNÓSTICO/ATEU/SEM RELIGIÃO"/>
    <x v="1"/>
    <s v="EDUCAÇÃO"/>
    <x v="2"/>
    <x v="5"/>
  </r>
  <r>
    <s v="B376B3BA258AB0510FABC23CB07318E245B552F8FE0FA596B02BCC8F44323E97"/>
    <x v="124"/>
    <s v="OUTROS ESTABELECIMENTOS"/>
    <x v="4"/>
    <s v="HÁ MAIS DE DEZ ANOS"/>
    <s v="VIOLÊNCIA CONTRA CIDADÃO, FAMÍLIA OU COMUNIDADE"/>
    <s v="OUTROS"/>
    <x v="0"/>
    <x v="0"/>
    <s v="MG"/>
    <x v="0"/>
    <x v="0"/>
    <x v="1"/>
    <s v="COMUNIDADES DE TERREIROS E MATRIZ AFRICANA"/>
    <x v="0"/>
    <x v="0"/>
    <s v="NÃO INFORMADO"/>
    <s v="MG"/>
    <s v="AGNÓSTICO/ATEU/SEM RELIGIÃO"/>
    <x v="1"/>
    <s v="NULL"/>
    <x v="2"/>
    <x v="5"/>
  </r>
  <r>
    <s v="C1FA5F284B1DE3167B6AF3D37827881B3543E214FC7EC6325DDCFF889AB3078C"/>
    <x v="124"/>
    <s v="OUTROS ESTABELECIMENTOS"/>
    <x v="4"/>
    <s v="HÁ MAIS DE DEZ ANOS"/>
    <s v="VIOLÊNCIA CONTRA CIDADÃO, FAMÍLIA OU COMUNIDADE"/>
    <s v="OUTROS"/>
    <x v="0"/>
    <x v="5"/>
    <s v="MG"/>
    <x v="0"/>
    <x v="0"/>
    <x v="1"/>
    <s v="COMUNIDADES DE TERREIROS E MATRIZ AFRICANA"/>
    <x v="0"/>
    <x v="0"/>
    <s v="NÃO INFORMADO"/>
    <s v="MG"/>
    <s v="AGNÓSTICO/ATEU/SEM RELIGIÃO"/>
    <x v="1"/>
    <s v="NULL"/>
    <x v="0"/>
    <x v="5"/>
  </r>
  <r>
    <s v="8535017990ABF731B09208886CFD5EF1FC850D16863ED039077CE439D8C33F74"/>
    <x v="124"/>
    <s v="OUTROS ESTABELECIMENTOS"/>
    <x v="4"/>
    <s v="HÁ MAIS DE DEZ ANOS"/>
    <s v="VIOLÊNCIA CONTRA CIDADÃO, FAMÍLIA OU COMUNIDADE"/>
    <s v="OUTROS"/>
    <x v="0"/>
    <x v="0"/>
    <s v="MG"/>
    <x v="0"/>
    <x v="0"/>
    <x v="1"/>
    <s v="COMUNIDADES DE TERREIROS E MATRIZ AFRICANA"/>
    <x v="1"/>
    <x v="0"/>
    <s v="NÃO INFORMADO"/>
    <s v="MG"/>
    <s v="AGNÓSTICO/ATEU/SEM RELIGIÃO"/>
    <x v="1"/>
    <s v="NULL"/>
    <x v="2"/>
    <x v="5"/>
  </r>
  <r>
    <s v="C6CA7086234D03185E82CCADC962B923B47AC2243F88C832AFD2E6B6A894C388"/>
    <x v="124"/>
    <s v="OUTROS ESTABELECIMENTOS"/>
    <x v="4"/>
    <s v="HÁ MAIS DE DEZ ANOS"/>
    <s v="VIOLÊNCIA CONTRA CIDADÃO, FAMÍLIA OU COMUNIDADE"/>
    <s v="OUTROS"/>
    <x v="0"/>
    <x v="0"/>
    <s v="MG"/>
    <x v="0"/>
    <x v="0"/>
    <x v="1"/>
    <s v="COMUNIDADES DE TERREIROS E MATRIZ AFRICANA"/>
    <x v="0"/>
    <x v="0"/>
    <s v="NÃO INFORMADO"/>
    <s v="MG"/>
    <s v="AGNÓSTICO/ATEU/SEM RELIGIÃO"/>
    <x v="1"/>
    <s v="NULL"/>
    <x v="1"/>
    <x v="5"/>
  </r>
  <r>
    <s v="B376B3BA258AB0510FABC23CB07318E245B552F8FE0FA596B02BCC8F44323E97"/>
    <x v="124"/>
    <s v="OUTROS ESTABELECIMENTOS"/>
    <x v="4"/>
    <s v="HÁ MAIS DE DEZ ANOS"/>
    <s v="VIOLÊNCIA CONTRA CIDADÃO, FAMÍLIA OU COMUNIDADE"/>
    <s v="OUTROS"/>
    <x v="0"/>
    <x v="0"/>
    <s v="MG"/>
    <x v="0"/>
    <x v="0"/>
    <x v="1"/>
    <s v="COMUNIDADES DE TERREIROS E MATRIZ AFRICANA"/>
    <x v="0"/>
    <x v="0"/>
    <s v="NÃO INFORMADO"/>
    <s v="MG"/>
    <s v="AGNÓSTICO/ATEU/SEM RELIGIÃO"/>
    <x v="1"/>
    <s v="NULL"/>
    <x v="1"/>
    <x v="5"/>
  </r>
  <r>
    <s v="C1FA5F284B1DE3167B6AF3D37827881B3543E214FC7EC6325DDCFF889AB3078C"/>
    <x v="124"/>
    <s v="OUTROS ESTABELECIMENTOS"/>
    <x v="4"/>
    <s v="HÁ MAIS DE DEZ ANOS"/>
    <s v="VIOLÊNCIA CONTRA CIDADÃO, FAMÍLIA OU COMUNIDADE"/>
    <s v="OUTROS"/>
    <x v="0"/>
    <x v="5"/>
    <s v="MG"/>
    <x v="0"/>
    <x v="0"/>
    <x v="1"/>
    <s v="COMUNIDADES DE TERREIROS E MATRIZ AFRICANA"/>
    <x v="0"/>
    <x v="0"/>
    <s v="NÃO INFORMADO"/>
    <s v="MG"/>
    <s v="AGNÓSTICO/ATEU/SEM RELIGIÃO"/>
    <x v="1"/>
    <s v="NULL"/>
    <x v="2"/>
    <x v="5"/>
  </r>
  <r>
    <s v="F4EF8D4EFB6E4117BA6AC7EC0FF3D25C6878ED735D6A59F7815F81249403BED1"/>
    <x v="124"/>
    <s v="OUTROS ESTABELECIMENTOS"/>
    <x v="4"/>
    <s v="HÁ MAIS DE DEZ ANOS"/>
    <s v="VIOLÊNCIA CONTRA CIDADÃO, FAMÍLIA OU COMUNIDADE"/>
    <s v="OUTROS"/>
    <x v="0"/>
    <x v="5"/>
    <s v="MG"/>
    <x v="0"/>
    <x v="0"/>
    <x v="1"/>
    <s v="COMUNIDADES DE TERREIROS E MATRIZ AFRICANA"/>
    <x v="2"/>
    <x v="0"/>
    <s v="NÃO INFORMADO"/>
    <s v="MG"/>
    <s v="AGNÓSTICO/ATEU/SEM RELIGIÃO"/>
    <x v="1"/>
    <s v="NULL"/>
    <x v="0"/>
    <x v="5"/>
  </r>
  <r>
    <s v="78BE58840FD475A1FA82D7E912CE9365DA4E14D560BB400850D9BE68176A4351"/>
    <x v="124"/>
    <s v="OUTROS ESTABELECIMENTOS"/>
    <x v="4"/>
    <s v="HÁ MAIS DE DEZ ANOS"/>
    <s v="VIOLÊNCIA CONTRA CIDADÃO, FAMÍLIA OU COMUNIDADE"/>
    <s v="OUTROS"/>
    <x v="0"/>
    <x v="0"/>
    <s v="MG"/>
    <x v="0"/>
    <x v="0"/>
    <x v="1"/>
    <s v="COMUNIDADES DE TERREIROS E MATRIZ AFRICANA"/>
    <x v="1"/>
    <x v="0"/>
    <s v="NÃO INFORMADO"/>
    <s v="MG"/>
    <s v="AGNÓSTICO/ATEU/SEM RELIGIÃO"/>
    <x v="1"/>
    <s v="EDUCAÇÃO"/>
    <x v="1"/>
    <x v="5"/>
  </r>
  <r>
    <s v="8535017990ABF731B09208886CFD5EF1FC850D16863ED039077CE439D8C33F74"/>
    <x v="124"/>
    <s v="OUTROS ESTABELECIMENTOS"/>
    <x v="4"/>
    <s v="HÁ MAIS DE DEZ ANOS"/>
    <s v="VIOLÊNCIA CONTRA CIDADÃO, FAMÍLIA OU COMUNIDADE"/>
    <s v="OUTROS"/>
    <x v="0"/>
    <x v="0"/>
    <s v="MG"/>
    <x v="0"/>
    <x v="0"/>
    <x v="1"/>
    <s v="COMUNIDADES DE TERREIROS E MATRIZ AFRICANA"/>
    <x v="1"/>
    <x v="0"/>
    <s v="NÃO INFORMADO"/>
    <s v="MG"/>
    <s v="AGNÓSTICO/ATEU/SEM RELIGIÃO"/>
    <x v="1"/>
    <s v="NULL"/>
    <x v="1"/>
    <x v="5"/>
  </r>
  <r>
    <s v="8E28C901D68A4DABFAC718779DC69EA5512A8F6FF0CAC1F79709685E63F2589B"/>
    <x v="124"/>
    <s v="OUTROS ESTABELECIMENTOS"/>
    <x v="4"/>
    <s v="HÁ MAIS DE DEZ ANOS"/>
    <s v="VIOLÊNCIA CONTRA CIDADÃO, FAMÍLIA OU COMUNIDADE"/>
    <s v="OUTROS"/>
    <x v="0"/>
    <x v="5"/>
    <s v="MG"/>
    <x v="0"/>
    <x v="0"/>
    <x v="1"/>
    <s v="COMUNIDADES DE TERREIROS E MATRIZ AFRICANA"/>
    <x v="1"/>
    <x v="0"/>
    <s v="NÃO INFORMADO"/>
    <s v="MG"/>
    <s v="AGNÓSTICO/ATEU/SEM RELIGIÃO"/>
    <x v="1"/>
    <s v="EDUCAÇÃO"/>
    <x v="0"/>
    <x v="5"/>
  </r>
  <r>
    <s v="DA4E71B7A5B0313E52902BE5FE77B1B44E641CFF3C40C486917770C024A6305D"/>
    <x v="124"/>
    <s v="OUTROS ESTABELECIMENTOS"/>
    <x v="4"/>
    <s v="HÁ MAIS DE DEZ ANOS"/>
    <s v="VIOLÊNCIA CONTRA CIDADÃO, FAMÍLIA OU COMUNIDADE"/>
    <s v="OUTROS"/>
    <x v="0"/>
    <x v="0"/>
    <s v="MG"/>
    <x v="0"/>
    <x v="0"/>
    <x v="1"/>
    <s v="COMUNIDADES DE TERREIROS E MATRIZ AFRICANA"/>
    <x v="2"/>
    <x v="0"/>
    <s v="NÃO INFORMADO"/>
    <s v="MG"/>
    <s v="AGNÓSTICO/ATEU/SEM RELIGIÃO"/>
    <x v="1"/>
    <s v="NULL"/>
    <x v="1"/>
    <x v="5"/>
  </r>
  <r>
    <s v="F70295881DE89B92856383BCB43774EF89A93C3DE63C7A5C00703486EA6E76F6"/>
    <x v="124"/>
    <s v="OUTROS ESTABELECIMENTOS"/>
    <x v="4"/>
    <s v="HÁ MAIS DE DEZ ANOS"/>
    <s v="VIOLÊNCIA CONTRA CIDADÃO, FAMÍLIA OU COMUNIDADE"/>
    <s v="OUTROS"/>
    <x v="0"/>
    <x v="5"/>
    <s v="MG"/>
    <x v="0"/>
    <x v="0"/>
    <x v="1"/>
    <s v="COMUNIDADES DE TERREIROS E MATRIZ AFRICANA"/>
    <x v="0"/>
    <x v="0"/>
    <s v="NÃO INFORMADO"/>
    <s v="MG"/>
    <s v="AGNÓSTICO/ATEU/SEM RELIGIÃO"/>
    <x v="1"/>
    <s v="NULL"/>
    <x v="0"/>
    <x v="5"/>
  </r>
  <r>
    <s v="DA4E71B7A5B0313E52902BE5FE77B1B44E641CFF3C40C486917770C024A6305D"/>
    <x v="124"/>
    <s v="OUTROS ESTABELECIMENTOS"/>
    <x v="4"/>
    <s v="HÁ MAIS DE DEZ ANOS"/>
    <s v="VIOLÊNCIA CONTRA CIDADÃO, FAMÍLIA OU COMUNIDADE"/>
    <s v="OUTROS"/>
    <x v="0"/>
    <x v="0"/>
    <s v="MG"/>
    <x v="0"/>
    <x v="0"/>
    <x v="1"/>
    <s v="COMUNIDADES DE TERREIROS E MATRIZ AFRICANA"/>
    <x v="2"/>
    <x v="0"/>
    <s v="NÃO INFORMADO"/>
    <s v="MG"/>
    <s v="AGNÓSTICO/ATEU/SEM RELIGIÃO"/>
    <x v="1"/>
    <s v="NULL"/>
    <x v="2"/>
    <x v="5"/>
  </r>
  <r>
    <s v="F4EF8D4EFB6E4117BA6AC7EC0FF3D25C6878ED735D6A59F7815F81249403BED1"/>
    <x v="124"/>
    <s v="OUTROS ESTABELECIMENTOS"/>
    <x v="4"/>
    <s v="HÁ MAIS DE DEZ ANOS"/>
    <s v="VIOLÊNCIA CONTRA CIDADÃO, FAMÍLIA OU COMUNIDADE"/>
    <s v="OUTROS"/>
    <x v="0"/>
    <x v="5"/>
    <s v="MG"/>
    <x v="0"/>
    <x v="0"/>
    <x v="1"/>
    <s v="COMUNIDADES DE TERREIROS E MATRIZ AFRICANA"/>
    <x v="2"/>
    <x v="0"/>
    <s v="NÃO INFORMADO"/>
    <s v="MG"/>
    <s v="AGNÓSTICO/ATEU/SEM RELIGIÃO"/>
    <x v="1"/>
    <s v="NULL"/>
    <x v="2"/>
    <x v="5"/>
  </r>
  <r>
    <s v="C6CA7086234D03185E82CCADC962B923B47AC2243F88C832AFD2E6B6A894C388"/>
    <x v="124"/>
    <s v="OUTROS ESTABELECIMENTOS"/>
    <x v="4"/>
    <s v="HÁ MAIS DE DEZ ANOS"/>
    <s v="VIOLÊNCIA CONTRA CIDADÃO, FAMÍLIA OU COMUNIDADE"/>
    <s v="OUTROS"/>
    <x v="0"/>
    <x v="0"/>
    <s v="MG"/>
    <x v="0"/>
    <x v="0"/>
    <x v="1"/>
    <s v="COMUNIDADES DE TERREIROS E MATRIZ AFRICANA"/>
    <x v="0"/>
    <x v="0"/>
    <s v="NÃO INFORMADO"/>
    <s v="MG"/>
    <s v="AGNÓSTICO/ATEU/SEM RELIGIÃO"/>
    <x v="1"/>
    <s v="NULL"/>
    <x v="2"/>
    <x v="5"/>
  </r>
  <r>
    <s v="F70295881DE89B92856383BCB43774EF89A93C3DE63C7A5C00703486EA6E76F6"/>
    <x v="124"/>
    <s v="OUTROS ESTABELECIMENTOS"/>
    <x v="4"/>
    <s v="HÁ MAIS DE DEZ ANOS"/>
    <s v="VIOLÊNCIA CONTRA CIDADÃO, FAMÍLIA OU COMUNIDADE"/>
    <s v="OUTROS"/>
    <x v="0"/>
    <x v="5"/>
    <s v="MG"/>
    <x v="0"/>
    <x v="0"/>
    <x v="1"/>
    <s v="COMUNIDADES DE TERREIROS E MATRIZ AFRICANA"/>
    <x v="0"/>
    <x v="0"/>
    <s v="NÃO INFORMADO"/>
    <s v="MG"/>
    <s v="AGNÓSTICO/ATEU/SEM RELIGIÃO"/>
    <x v="1"/>
    <s v="NULL"/>
    <x v="2"/>
    <x v="5"/>
  </r>
  <r>
    <s v="88DEB6609550054BB5C6145A30D9134B9C34E14894AD21C971B91F89AA5C7F9F"/>
    <x v="124"/>
    <s v="OUTROS ESTABELECIMENTOS"/>
    <x v="1"/>
    <s v="NÃO SE APLICA"/>
    <s v="VIOLÊNCIA CONTRA CIDADÃO, FAMÍLIA OU COMUNIDADE"/>
    <s v="OUTROS"/>
    <x v="0"/>
    <x v="0"/>
    <s v="SP"/>
    <x v="0"/>
    <x v="0"/>
    <x v="0"/>
    <s v="NULL"/>
    <x v="1"/>
    <x v="0"/>
    <s v="NÃO INFORMADO"/>
    <s v="SP"/>
    <s v="AGNÓSTICO/ATEU/SEM RELIGIÃO"/>
    <x v="1"/>
    <s v="PODER EXECUTIVO EM GERAL - MUNICIPAL"/>
    <x v="0"/>
    <x v="5"/>
  </r>
  <r>
    <s v="88DEB6609550054BB5C6145A30D9134B9C34E14894AD21C971B91F89AA5C7F9F"/>
    <x v="124"/>
    <s v="OUTROS ESTABELECIMENTOS"/>
    <x v="1"/>
    <s v="NÃO SE APLICA"/>
    <s v="VIOLÊNCIA CONTRA CIDADÃO, FAMÍLIA OU COMUNIDADE"/>
    <s v="OUTROS"/>
    <x v="0"/>
    <x v="0"/>
    <s v="SP"/>
    <x v="0"/>
    <x v="0"/>
    <x v="0"/>
    <s v="NULL"/>
    <x v="1"/>
    <x v="0"/>
    <s v="NÃO INFORMADO"/>
    <s v="SP"/>
    <s v="AGNÓSTICO/ATEU/SEM RELIGIÃO"/>
    <x v="1"/>
    <s v="PODER EXECUTIVO EM GERAL - MUNICIPAL"/>
    <x v="2"/>
    <x v="5"/>
  </r>
  <r>
    <s v="801C3E8FB8E0CDAE29CDBEE429943DB05EFEFF447E4D092AC12151258AFB7C68"/>
    <x v="124"/>
    <s v="TRANSPORTE"/>
    <x v="12"/>
    <s v="HÁ UMA SEMANA"/>
    <s v="VIOLÊNCIA CONTRA CIDADÃO, FAMÍLIA OU COMUNIDADE"/>
    <s v="PRESTADOR(A) DE SERVIÇO"/>
    <x v="0"/>
    <x v="3"/>
    <s v="MG"/>
    <x v="0"/>
    <x v="0"/>
    <x v="0"/>
    <s v="NULL"/>
    <x v="0"/>
    <x v="0"/>
    <s v="NÃO INFORMADO"/>
    <s v="DENUNCIANTE NÃO SOUBE INFORMAR"/>
    <s v="AGNÓSTICO/ATEU/SEM RELIGIÃO"/>
    <x v="1"/>
    <s v="NULL"/>
    <x v="0"/>
    <x v="5"/>
  </r>
  <r>
    <s v="29EA25E4957F196539BE4853B220C8FBAB19019859B81BCCF6F5F9F178B8F733"/>
    <x v="125"/>
    <s v="OUTROS ESTABELECIMENTOS"/>
    <x v="21"/>
    <s v="NÃO SE APLICA"/>
    <s v="VIOLÊNCIA CONTRA CIDADÃO, FAMÍLIA OU COMUNIDADE"/>
    <s v="OUTROS"/>
    <x v="0"/>
    <x v="9"/>
    <s v="PI"/>
    <x v="8"/>
    <x v="2"/>
    <x v="2"/>
    <s v="NULL"/>
    <x v="0"/>
    <x v="1"/>
    <s v="NÃO"/>
    <s v="PI"/>
    <s v="CATÓLICA"/>
    <x v="0"/>
    <s v="NULL"/>
    <x v="0"/>
    <x v="5"/>
  </r>
  <r>
    <s v="A675B29C33F0694625BCA18DFC9BE16213D3D1D3575308CA666FFA24B472F7D8"/>
    <x v="126"/>
    <s v="CASA DA VÍTIMA"/>
    <x v="2"/>
    <s v="HÁ MAIS DE UM ANO"/>
    <s v="VIOLÊNCIA CONTRA CIDADÃO, FAMÍLIA OU COMUNIDADE"/>
    <s v="EX-COMPANHEIRO(A)"/>
    <x v="0"/>
    <x v="9"/>
    <s v="RJ"/>
    <x v="0"/>
    <x v="0"/>
    <x v="0"/>
    <s v="NULL"/>
    <x v="2"/>
    <x v="1"/>
    <s v="NÃO"/>
    <s v="RJ"/>
    <s v="AGNÓSTICO/ATEU/SEM RELIGIÃO"/>
    <x v="3"/>
    <s v="NULL"/>
    <x v="0"/>
    <x v="5"/>
  </r>
  <r>
    <s v="86FC209639BC23B9510C19BCAF728734470F8D81A01603164F2E70D2DCBC1116"/>
    <x v="126"/>
    <s v="AMBIENTE VIRTUAL (NO ÂMBITO DA INTERNET)"/>
    <x v="6"/>
    <s v="HÁ MAIS DE CINCO ANOS"/>
    <s v="VIOLÊNCIA CONTRA CIDADÃO, FAMÍLIA OU COMUNIDADE"/>
    <s v="CUNHADO(A)"/>
    <x v="0"/>
    <x v="2"/>
    <s v="GO"/>
    <x v="0"/>
    <x v="3"/>
    <x v="2"/>
    <s v="NULL"/>
    <x v="2"/>
    <x v="5"/>
    <s v="NÃO INFORMADO"/>
    <s v="GO"/>
    <s v="EVANGÉLICA"/>
    <x v="3"/>
    <s v="NULL"/>
    <x v="0"/>
    <x v="5"/>
  </r>
  <r>
    <s v="8A411C42D18ECABEAA88152CD863E0A7B7B54C1AECECFA85D75682B53C0F4806"/>
    <x v="127"/>
    <s v="AMBIENTE VIRTUAL (NO ÂMBITO DA INTERNET)"/>
    <x v="1"/>
    <s v="NÃO SE APLICA"/>
    <s v="VIOLÊNCIA CONTRA CIDADÃO, FAMÍLIA OU COMUNIDADE"/>
    <s v="OUTROS"/>
    <x v="0"/>
    <x v="1"/>
    <s v="SP"/>
    <x v="6"/>
    <x v="0"/>
    <x v="3"/>
    <s v="NULL"/>
    <x v="0"/>
    <x v="3"/>
    <s v="NÃO INFORMADO"/>
    <s v="DENUNCIANTE NÃO SOUBE INFORMAR"/>
    <s v="AGNÓSTICO/ATEU/SEM RELIGIÃO"/>
    <x v="3"/>
    <s v="NULL"/>
    <x v="0"/>
    <x v="5"/>
  </r>
  <r>
    <s v="6A0F102E557F655CFDCD575CE98667EE9C418577B62CC91FAC23D3610294F951"/>
    <x v="127"/>
    <s v="CASA DA VÍTIMA"/>
    <x v="2"/>
    <s v="HÁ MAIS DE CINCO ANOS"/>
    <s v="VIOLÊNCIA CONTRA CIDADÃO, FAMÍLIA OU COMUNIDADE"/>
    <s v="DESCONHECIDO(A)"/>
    <x v="0"/>
    <x v="2"/>
    <s v="RJ"/>
    <x v="0"/>
    <x v="0"/>
    <x v="3"/>
    <s v="NULL"/>
    <x v="2"/>
    <x v="0"/>
    <s v="NÃO INFORMADO"/>
    <s v="RJ"/>
    <s v="AGNÓSTICO/ATEU/SEM RELIGIÃO"/>
    <x v="1"/>
    <s v="NULL"/>
    <x v="0"/>
    <x v="5"/>
  </r>
  <r>
    <s v="65034E065076B6B77571764CDD184F32BC803908F2B068FC8AFEE43B2BAAB592"/>
    <x v="128"/>
    <s v="AMBIENTE VIRTUAL (NO ÂMBITO DA INTERNET)"/>
    <x v="1"/>
    <s v="NÃO SE APLICA"/>
    <s v="VIOLÊNCIA CONTRA CIDADÃO, FAMÍLIA OU COMUNIDADE"/>
    <s v="OUTROS"/>
    <x v="1"/>
    <x v="7"/>
    <s v="DENUNCIANTE NÃO SOUBE INFORMAR"/>
    <x v="0"/>
    <x v="5"/>
    <x v="1"/>
    <s v="NULL"/>
    <x v="2"/>
    <x v="7"/>
    <s v="NÃO"/>
    <s v="SP"/>
    <s v="AGNÓSTICO/ATEU/SEM RELIGIÃO"/>
    <x v="0"/>
    <s v="NULL"/>
    <x v="0"/>
    <x v="5"/>
  </r>
  <r>
    <s v="C0273358397D790453696EB0E74854663D8D9445ED0A8A4F146F062039DEE9AD"/>
    <x v="129"/>
    <s v="CASA DO SUSPEITO"/>
    <x v="4"/>
    <s v="HÁ UM MÊS"/>
    <s v="VIOLÊNCIA CONTRA CIDADÃO, FAMÍLIA OU COMUNIDADE"/>
    <s v="OUTROS"/>
    <x v="0"/>
    <x v="3"/>
    <s v="MG"/>
    <x v="0"/>
    <x v="0"/>
    <x v="1"/>
    <s v="NULL"/>
    <x v="1"/>
    <x v="0"/>
    <s v="NÃO INFORMADO"/>
    <s v="MG"/>
    <s v="AGNÓSTICO/ATEU/SEM RELIGIÃO"/>
    <x v="1"/>
    <s v="PODER EXECUTIVO EM GERAL - MUNICIPAL"/>
    <x v="2"/>
    <x v="5"/>
  </r>
  <r>
    <s v="13684F526BEEF6506F06FC93B71ED79B7A1FB1E95DF0DE27FF004ABD645FB5C5"/>
    <x v="129"/>
    <s v="CASA DO SUSPEITO"/>
    <x v="6"/>
    <s v="HÁ MAIS DE UM ANO"/>
    <s v="VIOLÊNCIA CONTRA CIDADÃO, FAMÍLIA OU COMUNIDADE"/>
    <s v="PRIMO(A)"/>
    <x v="0"/>
    <x v="3"/>
    <s v="GO"/>
    <x v="0"/>
    <x v="0"/>
    <x v="3"/>
    <s v="NULL"/>
    <x v="2"/>
    <x v="6"/>
    <s v="NÃO"/>
    <s v="GO"/>
    <s v="AGNÓSTICO/ATEU/SEM RELIGIÃO"/>
    <x v="0"/>
    <s v="NULL"/>
    <x v="0"/>
    <x v="5"/>
  </r>
  <r>
    <s v="616BF65EA8C795F368B4E2E9CFC2C4AFB7BB7AC88DFFA2ADB6BB1D17BAA4D363"/>
    <x v="129"/>
    <s v="CASA DA VÍTIMA"/>
    <x v="6"/>
    <s v="NÃO SE APLICA"/>
    <s v="VIOLÊNCIA CONTRA CIDADÃO, FAMÍLIA OU COMUNIDADE"/>
    <s v="OUTROS"/>
    <x v="0"/>
    <x v="7"/>
    <s v="GO"/>
    <x v="0"/>
    <x v="0"/>
    <x v="0"/>
    <s v="NULL"/>
    <x v="0"/>
    <x v="0"/>
    <s v="NÃO INFORMADO"/>
    <s v="DENUNCIANTE NÃO SOUBE INFORMAR"/>
    <s v="AGNÓSTICO/ATEU/SEM RELIGIÃO"/>
    <x v="1"/>
    <s v="NULL"/>
    <x v="0"/>
    <x v="5"/>
  </r>
  <r>
    <s v="836E77FBDAD6E9B80CBAC44125B69F0208789C2E71754C660E338E0A58EDA9A8"/>
    <x v="129"/>
    <s v="CASA DA VÍTIMA"/>
    <x v="6"/>
    <s v="NÃO SE APLICA"/>
    <s v="VIOLÊNCIA CONTRA CIDADÃO, FAMÍLIA OU COMUNIDADE"/>
    <s v="OUTROS"/>
    <x v="0"/>
    <x v="7"/>
    <s v="GO"/>
    <x v="0"/>
    <x v="0"/>
    <x v="0"/>
    <s v="NULL"/>
    <x v="0"/>
    <x v="0"/>
    <s v="NÃO INFORMADO"/>
    <s v="DENUNCIANTE NÃO SOUBE INFORMAR"/>
    <s v="AGNÓSTICO/ATEU/SEM RELIGIÃO"/>
    <x v="1"/>
    <s v="NULL"/>
    <x v="0"/>
    <x v="5"/>
  </r>
  <r>
    <s v="4049678E7A5751F0291AE695D13CA976D035B2A0A2006BA10BD99CBF1BC23079"/>
    <x v="130"/>
    <s v="OUTROS ESTABELECIMENTOS"/>
    <x v="16"/>
    <s v="HÁ UM MÊS"/>
    <s v="VIOLÊNCIA CONTRA CIDADÃO, FAMÍLIA OU COMUNIDADE"/>
    <s v="COLEGA DE TRABALHO (MESMO NÍVEL HIERÁRQUICO)"/>
    <x v="0"/>
    <x v="0"/>
    <s v="RS"/>
    <x v="0"/>
    <x v="0"/>
    <x v="3"/>
    <s v="NULL"/>
    <x v="0"/>
    <x v="4"/>
    <s v="NÃO"/>
    <s v="RS"/>
    <s v="AGNÓSTICO/ATEU/SEM RELIGIÃO"/>
    <x v="0"/>
    <s v="NULL"/>
    <x v="2"/>
    <x v="5"/>
  </r>
  <r>
    <s v="5CC3F4A43C4133F1EA72854587D97CC76822FF257B6F99FD25746DBBE8BD3D02"/>
    <x v="130"/>
    <s v="CASA DA VÍTIMA"/>
    <x v="12"/>
    <s v="NÃO SABE INFORMAR"/>
    <s v="VIOLÊNCIA CONTRA CIDADÃO, FAMÍLIA OU COMUNIDADE"/>
    <s v="OUTROS"/>
    <x v="0"/>
    <x v="6"/>
    <s v="DENUNCIANTE NÃO SOUBE INFORMAR"/>
    <x v="0"/>
    <x v="0"/>
    <x v="1"/>
    <s v="NULL"/>
    <x v="1"/>
    <x v="0"/>
    <s v="NÃO INFORMADO"/>
    <s v="DENUNCIANTE NÃO SOUBE INFORMAR"/>
    <s v="AGNÓSTICO/ATEU/SEM RELIGIÃO"/>
    <x v="1"/>
    <s v="NULL"/>
    <x v="0"/>
    <x v="5"/>
  </r>
  <r>
    <s v="6DE73CE0334413B400ACD4B965670509EDDE23C9733E84FE28735E60B6563D30"/>
    <x v="130"/>
    <s v="CASA ONDE RESIDE A VÍTIMA E O SUSPEITO"/>
    <x v="12"/>
    <s v="NÃO SABE INFORMAR"/>
    <s v="VIOLÊNCIA CONTRA CIDADÃO, FAMÍLIA OU COMUNIDADE"/>
    <s v="OUTROS"/>
    <x v="0"/>
    <x v="2"/>
    <s v="NULL"/>
    <x v="0"/>
    <x v="0"/>
    <x v="1"/>
    <s v="NULL"/>
    <x v="1"/>
    <x v="0"/>
    <s v="NÃO INFORMADO"/>
    <s v="DENUNCIANTE NÃO SOUBE INFORMAR"/>
    <s v="AGNÓSTICO/ATEU/SEM RELIGIÃO"/>
    <x v="1"/>
    <s v="NULL"/>
    <x v="1"/>
    <x v="5"/>
  </r>
  <r>
    <s v="DC54FC29C20CA358E8750681371D2DDF26368DB666D8666514C6D79D576E535C"/>
    <x v="130"/>
    <s v="CASA DA VÍTIMA"/>
    <x v="6"/>
    <s v="HÁ MAIS DE UM ANO"/>
    <s v="VIOLÊNCIA CONTRA CIDADÃO, FAMÍLIA OU COMUNIDADE"/>
    <s v="VIZINHO(A)"/>
    <x v="1"/>
    <x v="3"/>
    <s v="GO"/>
    <x v="0"/>
    <x v="0"/>
    <x v="1"/>
    <s v="NULL"/>
    <x v="2"/>
    <x v="2"/>
    <s v="NÃO"/>
    <s v="GO"/>
    <s v="AGNÓSTICO/ATEU/SEM RELIGIÃO"/>
    <x v="0"/>
    <s v="NULL"/>
    <x v="0"/>
    <x v="5"/>
  </r>
  <r>
    <s v="D46F19B060C3342A0BCC79E05A12EB6BA4F67BBD29AFA547AE5FC8B4B9C63C26"/>
    <x v="131"/>
    <s v="CASA ONDE RESIDE A VÍTIMA E O SUSPEITO"/>
    <x v="15"/>
    <s v="NÃO SABE INFORMAR"/>
    <s v="VIOLÊNCIA CONTRA CIDADÃO, FAMÍLIA OU COMUNIDADE"/>
    <s v="DIRETOR/GESTOR DE INSTITUIÇÃO"/>
    <x v="0"/>
    <x v="5"/>
    <s v="PR"/>
    <x v="0"/>
    <x v="0"/>
    <x v="1"/>
    <s v="NULL"/>
    <x v="1"/>
    <x v="0"/>
    <s v="NÃO INFORMADO"/>
    <s v="PR"/>
    <s v="AGNÓSTICO/ATEU/SEM RELIGIÃO"/>
    <x v="1"/>
    <s v="SAÚDE HUMANA E SERVIÇOS SOCIAIS"/>
    <x v="1"/>
    <x v="5"/>
  </r>
  <r>
    <s v="CC9408205608DEAB61DE32BE191900F0904BFCA9A9D6674C639DCD6702A02E95"/>
    <x v="131"/>
    <s v="ESTABELECIMENTO DE SAÚDE"/>
    <x v="1"/>
    <s v="NÃO SABE INFORMAR"/>
    <s v="VIOLÊNCIA CONTRA CIDADÃO, FAMÍLIA OU COMUNIDADE"/>
    <s v="PRESTADOR(A) DE SERVIÇO"/>
    <x v="0"/>
    <x v="7"/>
    <s v="SP"/>
    <x v="0"/>
    <x v="0"/>
    <x v="2"/>
    <s v="NULL"/>
    <x v="1"/>
    <x v="0"/>
    <s v="NÃO INFORMADO"/>
    <s v="SP"/>
    <s v="AGNÓSTICO/ATEU/SEM RELIGIÃO"/>
    <x v="1"/>
    <s v="SAÚDE HUMANA E SERVIÇOS SOCIAIS"/>
    <x v="0"/>
    <x v="5"/>
  </r>
  <r>
    <s v="CC9408205608DEAB61DE32BE191900F0904BFCA9A9D6674C639DCD6702A02E95"/>
    <x v="131"/>
    <s v="ESTABELECIMENTO DE SAÚDE"/>
    <x v="1"/>
    <s v="NÃO SABE INFORMAR"/>
    <s v="VIOLÊNCIA CONTRA CIDADÃO, FAMÍLIA OU COMUNIDADE"/>
    <s v="PRESTADOR(A) DE SERVIÇO"/>
    <x v="0"/>
    <x v="7"/>
    <s v="SP"/>
    <x v="0"/>
    <x v="0"/>
    <x v="2"/>
    <s v="NULL"/>
    <x v="1"/>
    <x v="0"/>
    <s v="NÃO INFORMADO"/>
    <s v="SP"/>
    <s v="AGNÓSTICO/ATEU/SEM RELIGIÃO"/>
    <x v="1"/>
    <s v="SAÚDE HUMANA E SERVIÇOS SOCIAIS"/>
    <x v="2"/>
    <x v="5"/>
  </r>
  <r>
    <s v="17E946AA2AEC769760CC99B31022541DF487F52E8C63183785A1EF60206A869E"/>
    <x v="131"/>
    <s v="CASA DO SUSPEITO"/>
    <x v="16"/>
    <s v="HÁ MAIS DE UM ANO"/>
    <s v="VIOLÊNCIA CONTRA CIDADÃO, FAMÍLIA OU COMUNIDADE"/>
    <s v="VIZINHO(A)"/>
    <x v="1"/>
    <x v="4"/>
    <s v="RS"/>
    <x v="0"/>
    <x v="0"/>
    <x v="1"/>
    <s v="NULL"/>
    <x v="2"/>
    <x v="4"/>
    <s v="NÃO"/>
    <s v="RS"/>
    <s v="AGNÓSTICO/ATEU/SEM RELIGIÃO"/>
    <x v="0"/>
    <s v="NULL"/>
    <x v="2"/>
    <x v="5"/>
  </r>
  <r>
    <s v="7A27285BAF10454B6BF3045194BA0A37A6CFC86C7F8745ADE1A4D37769C49A84"/>
    <x v="131"/>
    <s v="OUTROS ESTABELECIMENTOS"/>
    <x v="15"/>
    <s v="HÁ UM MÊS"/>
    <s v="VIOLÊNCIA CONTRA CIDADÃO, FAMÍLIA OU COMUNIDADE"/>
    <s v="VIZINHO(A)"/>
    <x v="1"/>
    <x v="7"/>
    <s v="PR"/>
    <x v="0"/>
    <x v="3"/>
    <x v="1"/>
    <s v="NULL"/>
    <x v="0"/>
    <x v="6"/>
    <s v="NÃO"/>
    <s v="PR"/>
    <s v="AGNÓSTICO/ATEU/SEM RELIGIÃO"/>
    <x v="2"/>
    <s v="NULL"/>
    <x v="2"/>
    <x v="5"/>
  </r>
  <r>
    <s v="B4180CDBA7F2524CEA74887445AA0D297BF55197A729E490030395BA5AF99926"/>
    <x v="131"/>
    <s v="OUTROS ESTABELECIMENTOS"/>
    <x v="15"/>
    <s v="HÁ UM MÊS"/>
    <s v="VIOLÊNCIA CONTRA CIDADÃO, FAMÍLIA OU COMUNIDADE"/>
    <s v="VIZINHO(A)"/>
    <x v="1"/>
    <x v="7"/>
    <s v="PR"/>
    <x v="0"/>
    <x v="3"/>
    <x v="1"/>
    <s v="NULL"/>
    <x v="2"/>
    <x v="2"/>
    <s v="NÃO"/>
    <s v="PR"/>
    <s v="AGNÓSTICO/ATEU/SEM RELIGIÃO"/>
    <x v="0"/>
    <s v="NULL"/>
    <x v="2"/>
    <x v="5"/>
  </r>
  <r>
    <s v="BD2DD512E4DE75C6E0F692B81B7B760E7B66C3A4FEF4FD096CB86325960F5EB6"/>
    <x v="131"/>
    <s v="OUTROS ESTABELECIMENTOS"/>
    <x v="15"/>
    <s v="HÁ UM MÊS"/>
    <s v="VIOLÊNCIA CONTRA CIDADÃO, FAMÍLIA OU COMUNIDADE"/>
    <s v="VIZINHO(A)"/>
    <x v="1"/>
    <x v="7"/>
    <s v="PR"/>
    <x v="0"/>
    <x v="3"/>
    <x v="1"/>
    <s v="NULL"/>
    <x v="0"/>
    <x v="0"/>
    <s v="NÃO"/>
    <s v="PR"/>
    <s v="AGNÓSTICO/ATEU/SEM RELIGIÃO"/>
    <x v="1"/>
    <s v="NULL"/>
    <x v="2"/>
    <x v="5"/>
  </r>
  <r>
    <s v="906BDA46E2B13C352DF7223BADEBE29236D389B0580537806530B21967ABB6A4"/>
    <x v="131"/>
    <s v="OUTROS ESTABELECIMENTOS"/>
    <x v="1"/>
    <s v="NÃO SABE INFORMAR"/>
    <s v="VIOLÊNCIA CONTRA CIDADÃO, FAMÍLIA OU COMUNIDADE"/>
    <s v="OUTROS"/>
    <x v="1"/>
    <x v="7"/>
    <s v="SP"/>
    <x v="0"/>
    <x v="0"/>
    <x v="1"/>
    <s v="NULL"/>
    <x v="1"/>
    <x v="0"/>
    <s v="NÃO INFORMADO"/>
    <s v="SP"/>
    <s v="AGNÓSTICO/ATEU/SEM RELIGIÃO"/>
    <x v="1"/>
    <s v="PODER EXECUTIVO EM GERAL ? FEDERAL"/>
    <x v="2"/>
    <x v="5"/>
  </r>
  <r>
    <s v="906BDA46E2B13C352DF7223BADEBE29236D389B0580537806530B21967ABB6A4"/>
    <x v="131"/>
    <s v="OUTROS ESTABELECIMENTOS"/>
    <x v="1"/>
    <s v="NÃO SABE INFORMAR"/>
    <s v="VIOLÊNCIA CONTRA CIDADÃO, FAMÍLIA OU COMUNIDADE"/>
    <s v="OUTROS"/>
    <x v="1"/>
    <x v="7"/>
    <s v="SP"/>
    <x v="0"/>
    <x v="0"/>
    <x v="1"/>
    <s v="NULL"/>
    <x v="1"/>
    <x v="0"/>
    <s v="NÃO INFORMADO"/>
    <s v="SP"/>
    <s v="AGNÓSTICO/ATEU/SEM RELIGIÃO"/>
    <x v="1"/>
    <s v="PODER EXECUTIVO EM GERAL ? FEDERAL"/>
    <x v="0"/>
    <x v="5"/>
  </r>
  <r>
    <s v="906BDA46E2B13C352DF7223BADEBE29236D389B0580537806530B21967ABB6A4"/>
    <x v="131"/>
    <s v="OUTROS ESTABELECIMENTOS"/>
    <x v="1"/>
    <s v="NÃO SABE INFORMAR"/>
    <s v="VIOLÊNCIA CONTRA CIDADÃO, FAMÍLIA OU COMUNIDADE"/>
    <s v="OUTROS"/>
    <x v="1"/>
    <x v="7"/>
    <s v="SP"/>
    <x v="0"/>
    <x v="0"/>
    <x v="1"/>
    <s v="NULL"/>
    <x v="1"/>
    <x v="0"/>
    <s v="NÃO INFORMADO"/>
    <s v="SP"/>
    <s v="AGNÓSTICO/ATEU/SEM RELIGIÃO"/>
    <x v="1"/>
    <s v="PODER EXECUTIVO EM GERAL ? FEDERAL"/>
    <x v="1"/>
    <x v="5"/>
  </r>
  <r>
    <s v="D6F88740688BEFEC331F41077E905104FFEDB954E1103683562D83FD99791D24"/>
    <x v="132"/>
    <s v="CASA DA VÍTIMA"/>
    <x v="19"/>
    <s v="NÃO SE APLICA"/>
    <s v="VIOLÊNCIA CONTRA CIDADÃO, FAMÍLIA OU COMUNIDADE"/>
    <s v="OUTROS"/>
    <x v="0"/>
    <x v="2"/>
    <s v="PB"/>
    <x v="0"/>
    <x v="0"/>
    <x v="0"/>
    <s v="NULL"/>
    <x v="2"/>
    <x v="6"/>
    <s v="NÃO"/>
    <s v="PB"/>
    <s v="AGNÓSTICO/ATEU/SEM RELIGIÃO"/>
    <x v="2"/>
    <s v="NULL"/>
    <x v="0"/>
    <x v="5"/>
  </r>
  <r>
    <s v="2428286744935CE605A6B12A8DC53195A0764086062996E3ACE1D8A15F767A40"/>
    <x v="132"/>
    <s v="OUTROS ESTABELECIMENTOS"/>
    <x v="17"/>
    <s v="NÃO SE APLICA"/>
    <s v="VIOLÊNCIA CONTRA CIDADÃO, FAMÍLIA OU COMUNIDADE"/>
    <s v="OUTROS"/>
    <x v="1"/>
    <x v="4"/>
    <s v="PA"/>
    <x v="0"/>
    <x v="0"/>
    <x v="1"/>
    <s v="NULL"/>
    <x v="1"/>
    <x v="0"/>
    <s v="NÃO INFORMADO"/>
    <s v="PA"/>
    <s v="AGNÓSTICO/ATEU/SEM RELIGIÃO"/>
    <x v="1"/>
    <s v="PODER EXECUTIVO EM GERAL - MUNICIPAL"/>
    <x v="0"/>
    <x v="5"/>
  </r>
  <r>
    <s v="2BEDC8C9C99A8D3960404E2B525C287CD9EF8407FE289499FB12B13F191BF098"/>
    <x v="133"/>
    <s v="LOCAL DE TRABALHO DA VÍTIMA"/>
    <x v="4"/>
    <s v="NÃO SABE INFORMAR"/>
    <s v="VIOLÊNCIA CONTRA CIDADÃO, FAMÍLIA OU COMUNIDADE"/>
    <s v="EMPREGADOR/PATRÃO (HIERARQUICAMENTE SUPERIOR)"/>
    <x v="0"/>
    <x v="5"/>
    <s v="MG"/>
    <x v="0"/>
    <x v="0"/>
    <x v="0"/>
    <s v="NULL"/>
    <x v="0"/>
    <x v="0"/>
    <s v="NÃO INFORMADO"/>
    <s v="MG"/>
    <s v="AGNÓSTICO/ATEU/SEM RELIGIÃO"/>
    <x v="1"/>
    <s v="NULL"/>
    <x v="0"/>
    <x v="5"/>
  </r>
  <r>
    <s v="788A1FA6F04889D940181477CB7311F76BF4AD29922CC5AB67BA4008E1DF627C"/>
    <x v="133"/>
    <s v="LOCAL DE TRABALHO DA VÍTIMA"/>
    <x v="4"/>
    <s v="NÃO SABE INFORMAR"/>
    <s v="VIOLÊNCIA CONTRA CIDADÃO, FAMÍLIA OU COMUNIDADE"/>
    <s v="EMPREGADOR/PATRÃO (HIERARQUICAMENTE SUPERIOR)"/>
    <x v="0"/>
    <x v="5"/>
    <s v="MG"/>
    <x v="0"/>
    <x v="0"/>
    <x v="0"/>
    <s v="NULL"/>
    <x v="0"/>
    <x v="0"/>
    <s v="NÃO INFORMADO"/>
    <s v="MG"/>
    <s v="AGNÓSTICO/ATEU/SEM RELIGIÃO"/>
    <x v="1"/>
    <s v="NULL"/>
    <x v="0"/>
    <x v="5"/>
  </r>
  <r>
    <s v="86CAD7246F25473AC923A167571F48525D7B6D9A7084CA58ED02F31FA1B683A6"/>
    <x v="133"/>
    <s v="LOCAL DE TRABALHO DA VÍTIMA"/>
    <x v="4"/>
    <s v="NÃO SABE INFORMAR"/>
    <s v="VIOLÊNCIA CONTRA CIDADÃO, FAMÍLIA OU COMUNIDADE"/>
    <s v="EMPREGADOR/PATRÃO (HIERARQUICAMENTE SUPERIOR)"/>
    <x v="0"/>
    <x v="5"/>
    <s v="MG"/>
    <x v="0"/>
    <x v="0"/>
    <x v="0"/>
    <s v="NULL"/>
    <x v="0"/>
    <x v="0"/>
    <s v="NÃO INFORMADO"/>
    <s v="MG"/>
    <s v="AGNÓSTICO/ATEU/SEM RELIGIÃO"/>
    <x v="1"/>
    <s v="NULL"/>
    <x v="0"/>
    <x v="5"/>
  </r>
  <r>
    <s v="9BC2EA50A8D478E1CB02C1640B4FB07181C1A3CE0334607B985574148BF71ACE"/>
    <x v="133"/>
    <s v="LOCAL DE TRABALHO DA VÍTIMA"/>
    <x v="4"/>
    <s v="NÃO SABE INFORMAR"/>
    <s v="VIOLÊNCIA CONTRA CIDADÃO, FAMÍLIA OU COMUNIDADE"/>
    <s v="EMPREGADOR/PATRÃO (HIERARQUICAMENTE SUPERIOR)"/>
    <x v="0"/>
    <x v="5"/>
    <s v="MG"/>
    <x v="0"/>
    <x v="0"/>
    <x v="0"/>
    <s v="NULL"/>
    <x v="0"/>
    <x v="0"/>
    <s v="NÃO INFORMADO"/>
    <s v="MG"/>
    <s v="AGNÓSTICO/ATEU/SEM RELIGIÃO"/>
    <x v="1"/>
    <s v="NULL"/>
    <x v="0"/>
    <x v="5"/>
  </r>
  <r>
    <s v="2F31383AB5A67C2628C765191838CEDE42347D9553F23A7C76069B1D1D1BF0D7"/>
    <x v="133"/>
    <s v="LOCAL DE TRABALHO DA VÍTIMA"/>
    <x v="4"/>
    <s v="NÃO SABE INFORMAR"/>
    <s v="VIOLÊNCIA CONTRA CIDADÃO, FAMÍLIA OU COMUNIDADE"/>
    <s v="EMPREGADOR/PATRÃO (HIERARQUICAMENTE SUPERIOR)"/>
    <x v="0"/>
    <x v="5"/>
    <s v="MG"/>
    <x v="0"/>
    <x v="0"/>
    <x v="0"/>
    <s v="NULL"/>
    <x v="0"/>
    <x v="0"/>
    <s v="NÃO INFORMADO"/>
    <s v="MG"/>
    <s v="AGNÓSTICO/ATEU/SEM RELIGIÃO"/>
    <x v="1"/>
    <s v="NULL"/>
    <x v="0"/>
    <x v="5"/>
  </r>
  <r>
    <s v="DD6707C04D86CC219B3CAFB1875D4AF20006682971354CE167A9AB1047A58454"/>
    <x v="133"/>
    <s v="LOCAL DE TRABALHO DA VÍTIMA"/>
    <x v="4"/>
    <s v="NÃO SABE INFORMAR"/>
    <s v="VIOLÊNCIA CONTRA CIDADÃO, FAMÍLIA OU COMUNIDADE"/>
    <s v="EMPREGADOR/PATRÃO (HIERARQUICAMENTE SUPERIOR)"/>
    <x v="0"/>
    <x v="5"/>
    <s v="MG"/>
    <x v="0"/>
    <x v="0"/>
    <x v="0"/>
    <s v="NULL"/>
    <x v="0"/>
    <x v="0"/>
    <s v="NÃO INFORMADO"/>
    <s v="MG"/>
    <s v="AGNÓSTICO/ATEU/SEM RELIGIÃO"/>
    <x v="1"/>
    <s v="NULL"/>
    <x v="0"/>
    <x v="5"/>
  </r>
  <r>
    <s v="BE86202012DA6B1D4ABF0777F5EE90C7C12EFF40E9EDA410280BB650743656B8"/>
    <x v="133"/>
    <s v="LOCAL DE TRABALHO DA VÍTIMA"/>
    <x v="4"/>
    <s v="NÃO SABE INFORMAR"/>
    <s v="VIOLÊNCIA CONTRA CIDADÃO, FAMÍLIA OU COMUNIDADE"/>
    <s v="EMPREGADOR/PATRÃO (HIERARQUICAMENTE SUPERIOR)"/>
    <x v="0"/>
    <x v="5"/>
    <s v="MG"/>
    <x v="0"/>
    <x v="0"/>
    <x v="0"/>
    <s v="NULL"/>
    <x v="2"/>
    <x v="0"/>
    <s v="NÃO INFORMADO"/>
    <s v="MG"/>
    <s v="AGNÓSTICO/ATEU/SEM RELIGIÃO"/>
    <x v="1"/>
    <s v="NULL"/>
    <x v="0"/>
    <x v="5"/>
  </r>
  <r>
    <s v="C6B747BFEB11D7598722268A7C3A047E3708730B6788E3C639AC5549AE21BA25"/>
    <x v="133"/>
    <s v="LOCAL DE TRABALHO DA VÍTIMA"/>
    <x v="4"/>
    <s v="NÃO SABE INFORMAR"/>
    <s v="VIOLÊNCIA CONTRA CIDADÃO, FAMÍLIA OU COMUNIDADE"/>
    <s v="EMPREGADOR/PATRÃO (HIERARQUICAMENTE SUPERIOR)"/>
    <x v="0"/>
    <x v="5"/>
    <s v="MG"/>
    <x v="0"/>
    <x v="0"/>
    <x v="0"/>
    <s v="NULL"/>
    <x v="0"/>
    <x v="0"/>
    <s v="NÃO INFORMADO"/>
    <s v="MG"/>
    <s v="AGNÓSTICO/ATEU/SEM RELIGIÃO"/>
    <x v="1"/>
    <s v="NULL"/>
    <x v="0"/>
    <x v="5"/>
  </r>
  <r>
    <s v="955DBD6DBB92A7CB32F8934260042661A83795FE48A567A128E94BAD656AA87B"/>
    <x v="133"/>
    <s v="CASA DA VÍTIMA"/>
    <x v="20"/>
    <s v="NÃO SABE INFORMAR"/>
    <s v="VIOLÊNCIA CONTRA CIDADÃO, FAMÍLIA OU COMUNIDADE"/>
    <s v="VIZINHO(A)"/>
    <x v="0"/>
    <x v="4"/>
    <s v="AM"/>
    <x v="0"/>
    <x v="0"/>
    <x v="0"/>
    <s v="NULL"/>
    <x v="2"/>
    <x v="0"/>
    <s v="NÃO INFORMADO"/>
    <s v="AM"/>
    <s v="AGNÓSTICO/ATEU/SEM RELIGIÃO"/>
    <x v="1"/>
    <s v="NULL"/>
    <x v="1"/>
    <x v="5"/>
  </r>
  <r>
    <s v="11B687183CAFEED7FC8E58F3488451DDBB4D943A07C8727FDCCE399CCA3B87EC"/>
    <x v="133"/>
    <s v="CASA DA VÍTIMA"/>
    <x v="20"/>
    <s v="NÃO SABE INFORMAR"/>
    <s v="VIOLÊNCIA CONTRA CIDADÃO, FAMÍLIA OU COMUNIDADE"/>
    <s v="VIZINHO(A)"/>
    <x v="0"/>
    <x v="4"/>
    <s v="AM"/>
    <x v="0"/>
    <x v="0"/>
    <x v="0"/>
    <s v="NULL"/>
    <x v="0"/>
    <x v="0"/>
    <s v="NÃO INFORMADO"/>
    <s v="AM"/>
    <s v="AGNÓSTICO/ATEU/SEM RELIGIÃO"/>
    <x v="1"/>
    <s v="NULL"/>
    <x v="1"/>
    <x v="5"/>
  </r>
  <r>
    <s v="D12D67FFBD6E1089A547F94B6DDF71E57D5DE90CFC71270DD23422F532AB1D3D"/>
    <x v="133"/>
    <s v="CASA DA VÍTIMA"/>
    <x v="20"/>
    <s v="NÃO SABE INFORMAR"/>
    <s v="VIOLÊNCIA CONTRA CIDADÃO, FAMÍLIA OU COMUNIDADE"/>
    <s v="VIZINHO(A)"/>
    <x v="0"/>
    <x v="4"/>
    <s v="AM"/>
    <x v="0"/>
    <x v="0"/>
    <x v="0"/>
    <s v="NULL"/>
    <x v="0"/>
    <x v="0"/>
    <s v="NÃO INFORMADO"/>
    <s v="AM"/>
    <s v="AGNÓSTICO/ATEU/SEM RELIGIÃO"/>
    <x v="1"/>
    <s v="NULL"/>
    <x v="1"/>
    <x v="5"/>
  </r>
  <r>
    <s v="11B687183CAFEED7FC8E58F3488451DDBB4D943A07C8727FDCCE399CCA3B87EC"/>
    <x v="133"/>
    <s v="CASA DA VÍTIMA"/>
    <x v="20"/>
    <s v="NÃO SABE INFORMAR"/>
    <s v="VIOLÊNCIA CONTRA CIDADÃO, FAMÍLIA OU COMUNIDADE"/>
    <s v="VIZINHO(A)"/>
    <x v="0"/>
    <x v="4"/>
    <s v="AM"/>
    <x v="0"/>
    <x v="0"/>
    <x v="0"/>
    <s v="NULL"/>
    <x v="2"/>
    <x v="0"/>
    <s v="NÃO INFORMADO"/>
    <s v="AM"/>
    <s v="AGNÓSTICO/ATEU/SEM RELIGIÃO"/>
    <x v="1"/>
    <s v="NULL"/>
    <x v="1"/>
    <x v="5"/>
  </r>
  <r>
    <s v="243D8EEB9CF701BF3732B5E1666B3C3375C9D24734D1DF6BCA45643744D7EFC1"/>
    <x v="133"/>
    <s v="CASA DA VÍTIMA"/>
    <x v="20"/>
    <s v="NÃO SABE INFORMAR"/>
    <s v="VIOLÊNCIA CONTRA CIDADÃO, FAMÍLIA OU COMUNIDADE"/>
    <s v="VIZINHO(A)"/>
    <x v="0"/>
    <x v="4"/>
    <s v="AM"/>
    <x v="0"/>
    <x v="0"/>
    <x v="0"/>
    <s v="NULL"/>
    <x v="0"/>
    <x v="0"/>
    <s v="NÃO INFORMADO"/>
    <s v="AM"/>
    <s v="AGNÓSTICO/ATEU/SEM RELIGIÃO"/>
    <x v="1"/>
    <s v="NULL"/>
    <x v="1"/>
    <x v="5"/>
  </r>
  <r>
    <s v="C1C941C074C2F773689D1365F6C6DD19D944259ACECEB7CA158F490DE881C462"/>
    <x v="133"/>
    <s v="CASA DA VÍTIMA"/>
    <x v="1"/>
    <s v="HÁ MAIS DE UM ANO"/>
    <s v="VIOLÊNCIA CONTRA CIDADÃO, FAMÍLIA OU COMUNIDADE"/>
    <s v="EX-COMPANHEIRO(A)"/>
    <x v="0"/>
    <x v="7"/>
    <s v="SP"/>
    <x v="0"/>
    <x v="0"/>
    <x v="0"/>
    <s v="NULL"/>
    <x v="2"/>
    <x v="0"/>
    <s v="NÃO"/>
    <s v="DENUNCIANTE NÃO SOUBE INFORMAR"/>
    <s v="AGNÓSTICO/ATEU/SEM RELIGIÃO"/>
    <x v="1"/>
    <s v="NULL"/>
    <x v="0"/>
    <x v="5"/>
  </r>
  <r>
    <s v="C1C941C074C2F773689D1365F6C6DD19D944259ACECEB7CA158F490DE881C462"/>
    <x v="133"/>
    <s v="CASA DA VÍTIMA"/>
    <x v="1"/>
    <s v="HÁ MAIS DE UM ANO"/>
    <s v="VIOLÊNCIA CONTRA CIDADÃO, FAMÍLIA OU COMUNIDADE"/>
    <s v="EX-COMPANHEIRO(A)"/>
    <x v="0"/>
    <x v="7"/>
    <s v="SP"/>
    <x v="0"/>
    <x v="0"/>
    <x v="0"/>
    <s v="NULL"/>
    <x v="2"/>
    <x v="0"/>
    <s v="NÃO"/>
    <s v="DENUNCIANTE NÃO SOUBE INFORMAR"/>
    <s v="AGNÓSTICO/ATEU/SEM RELIGIÃO"/>
    <x v="1"/>
    <s v="NULL"/>
    <x v="2"/>
    <x v="5"/>
  </r>
  <r>
    <s v="12B562AF58B237419504EF46E9616DDCF3714B6D93417FD7800C26C83E8EAB60"/>
    <x v="133"/>
    <s v="CASA DO SUSPEITO"/>
    <x v="17"/>
    <s v="HÁ MAIS DE UM ANO"/>
    <s v="VIOLÊNCIA CONTRA CIDADÃO, FAMÍLIA OU COMUNIDADE"/>
    <s v="VIZINHO(A)"/>
    <x v="0"/>
    <x v="3"/>
    <s v="PA"/>
    <x v="0"/>
    <x v="0"/>
    <x v="1"/>
    <s v="NULL"/>
    <x v="0"/>
    <x v="2"/>
    <s v="NÃO"/>
    <s v="PA"/>
    <s v="AGNÓSTICO/ATEU/SEM RELIGIÃO"/>
    <x v="0"/>
    <s v="NULL"/>
    <x v="0"/>
    <x v="5"/>
  </r>
  <r>
    <s v="24C521746C08C1382C41E3FC5915CC3AEDFC34A545506B72FEA8D0A7C89AD983"/>
    <x v="134"/>
    <s v="CASA DA VÍTIMA"/>
    <x v="20"/>
    <s v="HÁ MAIS DE SEIS MESES"/>
    <s v="VIOLÊNCIA CONTRA CIDADÃO, FAMÍLIA OU COMUNIDADE"/>
    <s v="OUTROS"/>
    <x v="0"/>
    <x v="4"/>
    <s v="AM"/>
    <x v="0"/>
    <x v="0"/>
    <x v="0"/>
    <s v="NULL"/>
    <x v="0"/>
    <x v="4"/>
    <s v="NÃO INFORMADO"/>
    <s v="DENUNCIANTE NÃO SOUBE INFORMAR"/>
    <s v="AGNÓSTICO/ATEU/SEM RELIGIÃO"/>
    <x v="0"/>
    <s v="NULL"/>
    <x v="0"/>
    <x v="5"/>
  </r>
  <r>
    <s v="8132ED4C76E1CB458B6998AF52DE32C45DC6CD8680D66B4C9CC883094D6F05C3"/>
    <x v="134"/>
    <s v="CASA ONDE RESIDE A VÍTIMA E O SUSPEITO"/>
    <x v="7"/>
    <s v="HÁ MAIS DE CINCO ANOS"/>
    <s v="VIOLÊNCIA CONTRA CIDADÃO, FAMÍLIA OU COMUNIDADE"/>
    <s v="TIO(A)"/>
    <x v="0"/>
    <x v="7"/>
    <s v="ES"/>
    <x v="0"/>
    <x v="3"/>
    <x v="2"/>
    <s v="NULL"/>
    <x v="2"/>
    <x v="8"/>
    <s v="NÃO"/>
    <s v="ES"/>
    <s v="EVANGÉLICA"/>
    <x v="3"/>
    <s v="NULL"/>
    <x v="0"/>
    <x v="5"/>
  </r>
  <r>
    <s v="85B8A49FCC58CC17EBDBEFE8173A148CB35A2D810053E1D9EA40B30FD4E37FCC"/>
    <x v="134"/>
    <s v="CASA ONDE RESIDE A VÍTIMA E O SUSPEITO"/>
    <x v="7"/>
    <s v="HÁ MAIS DE CINCO ANOS"/>
    <s v="VIOLÊNCIA CONTRA CIDADÃO, FAMÍLIA OU COMUNIDADE"/>
    <s v="TIO(A)"/>
    <x v="0"/>
    <x v="7"/>
    <s v="ES"/>
    <x v="0"/>
    <x v="3"/>
    <x v="2"/>
    <s v="NULL"/>
    <x v="0"/>
    <x v="8"/>
    <s v="NÃO"/>
    <s v="ES"/>
    <s v="EVANGÉLICA"/>
    <x v="3"/>
    <s v="NULL"/>
    <x v="0"/>
    <x v="5"/>
  </r>
  <r>
    <s v="4FD133F33B636C8996F6745BD4491A687E91039F2F9438657E194F061F50DC55"/>
    <x v="135"/>
    <s v="OUTROS ESTABELECIMENTOS"/>
    <x v="17"/>
    <s v="NÃO SE APLICA"/>
    <s v="VIOLÊNCIA CONTRA CIDADÃO, FAMÍLIA OU COMUNIDADE"/>
    <s v="OUTROS"/>
    <x v="1"/>
    <x v="0"/>
    <s v="PA"/>
    <x v="0"/>
    <x v="0"/>
    <x v="1"/>
    <s v="COMUNIDADES DE TERREIROS E MATRIZ AFRICANA"/>
    <x v="1"/>
    <x v="0"/>
    <s v="NÃO INFORMADO"/>
    <s v="PA"/>
    <s v="AGNÓSTICO/ATEU/SEM RELIGIÃO"/>
    <x v="1"/>
    <s v="PODER EXECUTIVO EM GERAL - MUNICIPAL"/>
    <x v="0"/>
    <x v="5"/>
  </r>
  <r>
    <s v="4FD133F33B636C8996F6745BD4491A687E91039F2F9438657E194F061F50DC55"/>
    <x v="135"/>
    <s v="OUTROS ESTABELECIMENTOS"/>
    <x v="17"/>
    <s v="NÃO SE APLICA"/>
    <s v="VIOLÊNCIA CONTRA CIDADÃO, FAMÍLIA OU COMUNIDADE"/>
    <s v="OUTROS"/>
    <x v="1"/>
    <x v="0"/>
    <s v="PA"/>
    <x v="0"/>
    <x v="0"/>
    <x v="1"/>
    <s v="COMUNIDADES DE TERREIROS E MATRIZ AFRICANA"/>
    <x v="1"/>
    <x v="0"/>
    <s v="NÃO INFORMADO"/>
    <s v="PA"/>
    <s v="AGNÓSTICO/ATEU/SEM RELIGIÃO"/>
    <x v="1"/>
    <s v="PODER EXECUTIVO EM GERAL - MUNICIPAL"/>
    <x v="2"/>
    <x v="5"/>
  </r>
  <r>
    <s v="5371FBC0CCB3205B5ECD9863139B44749D00874783C6221E9C8CCD9EF2BDA97F"/>
    <x v="135"/>
    <s v="OUTROS ESTABELECIMENTOS"/>
    <x v="17"/>
    <s v="NÃO SE APLICA"/>
    <s v="VIOLÊNCIA CONTRA CIDADÃO, FAMÍLIA OU COMUNIDADE"/>
    <s v="OUTROS"/>
    <x v="1"/>
    <x v="0"/>
    <s v="PA"/>
    <x v="0"/>
    <x v="0"/>
    <x v="1"/>
    <s v="COMUNIDADES DE TERREIROS E MATRIZ AFRICANA"/>
    <x v="0"/>
    <x v="0"/>
    <s v="NÃO INFORMADO"/>
    <s v="PA"/>
    <s v="AGNÓSTICO/ATEU/SEM RELIGIÃO"/>
    <x v="1"/>
    <s v="NULL"/>
    <x v="0"/>
    <x v="5"/>
  </r>
  <r>
    <s v="5371FBC0CCB3205B5ECD9863139B44749D00874783C6221E9C8CCD9EF2BDA97F"/>
    <x v="135"/>
    <s v="OUTROS ESTABELECIMENTOS"/>
    <x v="17"/>
    <s v="NÃO SE APLICA"/>
    <s v="VIOLÊNCIA CONTRA CIDADÃO, FAMÍLIA OU COMUNIDADE"/>
    <s v="OUTROS"/>
    <x v="1"/>
    <x v="0"/>
    <s v="PA"/>
    <x v="0"/>
    <x v="0"/>
    <x v="1"/>
    <s v="COMUNIDADES DE TERREIROS E MATRIZ AFRICANA"/>
    <x v="0"/>
    <x v="0"/>
    <s v="NÃO INFORMADO"/>
    <s v="PA"/>
    <s v="AGNÓSTICO/ATEU/SEM RELIGIÃO"/>
    <x v="1"/>
    <s v="NULL"/>
    <x v="2"/>
    <x v="5"/>
  </r>
  <r>
    <s v="5DE738C52C747B73CDD870457BEA39DD36FA503158E42B95869A0FFE54F8B0E1"/>
    <x v="135"/>
    <s v="OUTROS ESTABELECIMENTOS"/>
    <x v="17"/>
    <s v="HÁ UMA SEMANA"/>
    <s v="VIOLÊNCIA CONTRA CIDADÃO, FAMÍLIA OU COMUNIDADE"/>
    <s v="OUTROS"/>
    <x v="1"/>
    <x v="8"/>
    <s v="PA"/>
    <x v="0"/>
    <x v="9"/>
    <x v="1"/>
    <s v="COMUNIDADES DE TERREIROS E MATRIZ AFRICANA"/>
    <x v="1"/>
    <x v="0"/>
    <s v="NÃO INFORMADO"/>
    <s v="PA"/>
    <s v="AGNÓSTICO/ATEU/SEM RELIGIÃO"/>
    <x v="1"/>
    <s v="PODER EXECUTIVO EM GERAL - MUNICIPAL"/>
    <x v="1"/>
    <x v="5"/>
  </r>
  <r>
    <s v="926AA70D63B80FA356D8B9B5B0582C45DF94C23D250E83D374D3A986A6F78F06"/>
    <x v="135"/>
    <s v="OUTROS ESTABELECIMENTOS"/>
    <x v="17"/>
    <s v="NÃO SE APLICA"/>
    <s v="VIOLÊNCIA CONTRA CIDADÃO, FAMÍLIA OU COMUNIDADE"/>
    <s v="OUTROS"/>
    <x v="1"/>
    <x v="7"/>
    <s v="PA"/>
    <x v="0"/>
    <x v="1"/>
    <x v="1"/>
    <s v="NULL"/>
    <x v="1"/>
    <x v="0"/>
    <s v="NÃO INFORMADO"/>
    <s v="PA"/>
    <s v="AGNÓSTICO/ATEU/SEM RELIGIÃO"/>
    <x v="1"/>
    <s v="PODER LEGISLATIVO ? MUNICIPAL"/>
    <x v="0"/>
    <x v="5"/>
  </r>
  <r>
    <s v="926AA70D63B80FA356D8B9B5B0582C45DF94C23D250E83D374D3A986A6F78F06"/>
    <x v="135"/>
    <s v="OUTROS ESTABELECIMENTOS"/>
    <x v="17"/>
    <s v="NÃO SE APLICA"/>
    <s v="VIOLÊNCIA CONTRA CIDADÃO, FAMÍLIA OU COMUNIDADE"/>
    <s v="OUTROS"/>
    <x v="1"/>
    <x v="7"/>
    <s v="PA"/>
    <x v="0"/>
    <x v="1"/>
    <x v="1"/>
    <s v="NULL"/>
    <x v="1"/>
    <x v="0"/>
    <s v="NÃO INFORMADO"/>
    <s v="PA"/>
    <s v="AGNÓSTICO/ATEU/SEM RELIGIÃO"/>
    <x v="1"/>
    <s v="PODER LEGISLATIVO ? MUNICIPAL"/>
    <x v="2"/>
    <x v="5"/>
  </r>
  <r>
    <s v="9F772DAF2064149E75305E56E9748C700C8E4225C540FAA1971370A4C41ABFFA"/>
    <x v="136"/>
    <s v="OUTROS ESTABELECIMENTOS"/>
    <x v="17"/>
    <s v="NÃO SE APLICA"/>
    <s v="VIOLÊNCIA CONTRA CIDADÃO, FAMÍLIA OU COMUNIDADE"/>
    <s v="OUTROS"/>
    <x v="1"/>
    <x v="4"/>
    <s v="DENUNCIANTE NÃO SOUBE INFORMAR"/>
    <x v="0"/>
    <x v="3"/>
    <x v="1"/>
    <s v="NULL"/>
    <x v="1"/>
    <x v="0"/>
    <s v="NÃO INFORMADO"/>
    <s v="PA"/>
    <s v="AGNÓSTICO/ATEU/SEM RELIGIÃO"/>
    <x v="1"/>
    <s v="PODER EXECUTIVO EM GERAL - MUNICIPAL"/>
    <x v="0"/>
    <x v="5"/>
  </r>
  <r>
    <s v="3A346BC0AD599FC7CEABD130717F014A82ACA4EDC74376A23D9F60C30F3DD0E3"/>
    <x v="136"/>
    <s v="OUTROS ESTABELECIMENTOS"/>
    <x v="2"/>
    <s v="NÃO SE APLICA"/>
    <s v="VIOLÊNCIA CONTRA CIDADÃO, FAMÍLIA OU COMUNIDADE"/>
    <s v="OUTROS"/>
    <x v="1"/>
    <x v="4"/>
    <s v="RJ"/>
    <x v="0"/>
    <x v="0"/>
    <x v="1"/>
    <s v="NULL"/>
    <x v="1"/>
    <x v="5"/>
    <s v="NÃO INFORMADO"/>
    <s v="RJ"/>
    <s v="AGNÓSTICO/ATEU/SEM RELIGIÃO"/>
    <x v="1"/>
    <s v="NULL"/>
    <x v="2"/>
    <x v="5"/>
  </r>
  <r>
    <s v="DAD7013BF5D4D69280E2F46291D00A9BE319B93482EB71FF1C82A71579DEFD13"/>
    <x v="136"/>
    <s v="OUTROS ESTABELECIMENTOS"/>
    <x v="2"/>
    <s v="NÃO SE APLICA"/>
    <s v="VIOLÊNCIA CONTRA CIDADÃO, FAMÍLIA OU COMUNIDADE"/>
    <s v="OUTROS"/>
    <x v="1"/>
    <x v="4"/>
    <s v="RJ"/>
    <x v="0"/>
    <x v="0"/>
    <x v="1"/>
    <s v="NULL"/>
    <x v="0"/>
    <x v="0"/>
    <s v="NÃO INFORMADO"/>
    <s v="RJ"/>
    <s v="AGNÓSTICO/ATEU/SEM RELIGIÃO"/>
    <x v="1"/>
    <s v="NULL"/>
    <x v="0"/>
    <x v="5"/>
  </r>
  <r>
    <s v="DAD7013BF5D4D69280E2F46291D00A9BE319B93482EB71FF1C82A71579DEFD13"/>
    <x v="136"/>
    <s v="OUTROS ESTABELECIMENTOS"/>
    <x v="2"/>
    <s v="NÃO SE APLICA"/>
    <s v="VIOLÊNCIA CONTRA CIDADÃO, FAMÍLIA OU COMUNIDADE"/>
    <s v="OUTROS"/>
    <x v="1"/>
    <x v="4"/>
    <s v="RJ"/>
    <x v="0"/>
    <x v="0"/>
    <x v="1"/>
    <s v="NULL"/>
    <x v="0"/>
    <x v="0"/>
    <s v="NÃO INFORMADO"/>
    <s v="RJ"/>
    <s v="AGNÓSTICO/ATEU/SEM RELIGIÃO"/>
    <x v="1"/>
    <s v="NULL"/>
    <x v="2"/>
    <x v="5"/>
  </r>
  <r>
    <s v="3A346BC0AD599FC7CEABD130717F014A82ACA4EDC74376A23D9F60C30F3DD0E3"/>
    <x v="136"/>
    <s v="OUTROS ESTABELECIMENTOS"/>
    <x v="2"/>
    <s v="NÃO SE APLICA"/>
    <s v="VIOLÊNCIA CONTRA CIDADÃO, FAMÍLIA OU COMUNIDADE"/>
    <s v="OUTROS"/>
    <x v="1"/>
    <x v="4"/>
    <s v="RJ"/>
    <x v="0"/>
    <x v="0"/>
    <x v="1"/>
    <s v="NULL"/>
    <x v="1"/>
    <x v="5"/>
    <s v="NÃO INFORMADO"/>
    <s v="RJ"/>
    <s v="AGNÓSTICO/ATEU/SEM RELIGIÃO"/>
    <x v="1"/>
    <s v="NULL"/>
    <x v="0"/>
    <x v="5"/>
  </r>
  <r>
    <s v="3A346BC0AD599FC7CEABD130717F014A82ACA4EDC74376A23D9F60C30F3DD0E3"/>
    <x v="136"/>
    <s v="OUTROS ESTABELECIMENTOS"/>
    <x v="2"/>
    <s v="NÃO SE APLICA"/>
    <s v="VIOLÊNCIA CONTRA CIDADÃO, FAMÍLIA OU COMUNIDADE"/>
    <s v="OUTROS"/>
    <x v="1"/>
    <x v="4"/>
    <s v="RJ"/>
    <x v="0"/>
    <x v="0"/>
    <x v="1"/>
    <s v="NULL"/>
    <x v="1"/>
    <x v="5"/>
    <s v="NÃO INFORMADO"/>
    <s v="RJ"/>
    <s v="AGNÓSTICO/ATEU/SEM RELIGIÃO"/>
    <x v="1"/>
    <s v="NULL"/>
    <x v="1"/>
    <x v="5"/>
  </r>
  <r>
    <s v="DAD7013BF5D4D69280E2F46291D00A9BE319B93482EB71FF1C82A71579DEFD13"/>
    <x v="136"/>
    <s v="OUTROS ESTABELECIMENTOS"/>
    <x v="2"/>
    <s v="NÃO SE APLICA"/>
    <s v="VIOLÊNCIA CONTRA CIDADÃO, FAMÍLIA OU COMUNIDADE"/>
    <s v="OUTROS"/>
    <x v="1"/>
    <x v="4"/>
    <s v="RJ"/>
    <x v="0"/>
    <x v="0"/>
    <x v="1"/>
    <s v="NULL"/>
    <x v="0"/>
    <x v="0"/>
    <s v="NÃO INFORMADO"/>
    <s v="RJ"/>
    <s v="AGNÓSTICO/ATEU/SEM RELIGIÃO"/>
    <x v="1"/>
    <s v="NULL"/>
    <x v="1"/>
    <x v="5"/>
  </r>
  <r>
    <s v="DE892044B394151CA37B807CE99CEB3C2E6028EAE3173DA23EC156D66EB115AC"/>
    <x v="136"/>
    <s v="OUTROS ESTABELECIMENTOS"/>
    <x v="10"/>
    <s v="NÃO SE APLICA"/>
    <s v="VIOLÊNCIA CONTRA CIDADÃO, FAMÍLIA OU COMUNIDADE"/>
    <s v="DIRETOR(A) DE ESCOLA"/>
    <x v="0"/>
    <x v="6"/>
    <s v="CE"/>
    <x v="2"/>
    <x v="3"/>
    <x v="3"/>
    <s v="NULL"/>
    <x v="1"/>
    <x v="0"/>
    <s v="NÃO INFORMADO"/>
    <s v="CE"/>
    <s v="AGNÓSTICO/ATEU/SEM RELIGIÃO"/>
    <x v="1"/>
    <s v="EDUCAÇÃO"/>
    <x v="0"/>
    <x v="5"/>
  </r>
  <r>
    <s v="B502A0A2F752409DBA8BB0829894A646929D52DD4C81EB52761CC7E426E0D192"/>
    <x v="136"/>
    <s v="OUTROS ESTABELECIMENTOS"/>
    <x v="2"/>
    <s v="NÃO SABE INFORMAR"/>
    <s v="VIOLÊNCIA CONTRA CIDADÃO, FAMÍLIA OU COMUNIDADE"/>
    <s v="OUTROS"/>
    <x v="1"/>
    <x v="7"/>
    <s v="RJ"/>
    <x v="0"/>
    <x v="0"/>
    <x v="1"/>
    <s v="NULL"/>
    <x v="0"/>
    <x v="0"/>
    <s v="NÃO INFORMADO"/>
    <s v="RJ"/>
    <s v="AGNÓSTICO/ATEU/SEM RELIGIÃO"/>
    <x v="1"/>
    <s v="NULL"/>
    <x v="0"/>
    <x v="5"/>
  </r>
  <r>
    <s v="B502A0A2F752409DBA8BB0829894A646929D52DD4C81EB52761CC7E426E0D192"/>
    <x v="136"/>
    <s v="OUTROS ESTABELECIMENTOS"/>
    <x v="2"/>
    <s v="NÃO SABE INFORMAR"/>
    <s v="VIOLÊNCIA CONTRA CIDADÃO, FAMÍLIA OU COMUNIDADE"/>
    <s v="OUTROS"/>
    <x v="1"/>
    <x v="7"/>
    <s v="RJ"/>
    <x v="0"/>
    <x v="0"/>
    <x v="1"/>
    <s v="NULL"/>
    <x v="0"/>
    <x v="0"/>
    <s v="NÃO INFORMADO"/>
    <s v="RJ"/>
    <s v="AGNÓSTICO/ATEU/SEM RELIGIÃO"/>
    <x v="1"/>
    <s v="NULL"/>
    <x v="2"/>
    <x v="5"/>
  </r>
  <r>
    <s v="8E285E61ADEA32B69DD40DFD989FC8FE7646ED063DE691B11740B3ACCC94043B"/>
    <x v="136"/>
    <s v="OUTROS ESTABELECIMENTOS"/>
    <x v="17"/>
    <s v="NÃO SE APLICA"/>
    <s v="VIOLÊNCIA CONTRA CIDADÃO, FAMÍLIA OU COMUNIDADE"/>
    <s v="OUTROS"/>
    <x v="0"/>
    <x v="2"/>
    <s v="PA"/>
    <x v="0"/>
    <x v="0"/>
    <x v="0"/>
    <s v="NULL"/>
    <x v="1"/>
    <x v="0"/>
    <s v="NÃO INFORMADO"/>
    <s v="PA"/>
    <s v="AGNÓSTICO/ATEU/SEM RELIGIÃO"/>
    <x v="1"/>
    <s v="PODER EXECUTIVO EM GERAL - MUNICIPAL"/>
    <x v="0"/>
    <x v="5"/>
  </r>
  <r>
    <s v="8E285E61ADEA32B69DD40DFD989FC8FE7646ED063DE691B11740B3ACCC94043B"/>
    <x v="136"/>
    <s v="OUTROS ESTABELECIMENTOS"/>
    <x v="17"/>
    <s v="NÃO SE APLICA"/>
    <s v="VIOLÊNCIA CONTRA CIDADÃO, FAMÍLIA OU COMUNIDADE"/>
    <s v="OUTROS"/>
    <x v="0"/>
    <x v="2"/>
    <s v="PA"/>
    <x v="0"/>
    <x v="0"/>
    <x v="0"/>
    <s v="NULL"/>
    <x v="1"/>
    <x v="0"/>
    <s v="NÃO INFORMADO"/>
    <s v="PA"/>
    <s v="AGNÓSTICO/ATEU/SEM RELIGIÃO"/>
    <x v="1"/>
    <s v="PODER EXECUTIVO EM GERAL - MUNICIPAL"/>
    <x v="2"/>
    <x v="5"/>
  </r>
  <r>
    <s v="19EAD68ED3ED79E4CEC536BFEA40B44062DEE4CAB8DD9C8100BFD2ED3EFF25B9"/>
    <x v="137"/>
    <s v="CASA ONDE RESIDE A VÍTIMA E O SUSPEITO"/>
    <x v="3"/>
    <s v="HÁ MAIS DE CINCO ANOS"/>
    <s v="VIOLÊNCIA CONTRA CIDADÃO, FAMÍLIA OU COMUNIDADE"/>
    <s v="MÃE"/>
    <x v="0"/>
    <x v="3"/>
    <s v="BA"/>
    <x v="0"/>
    <x v="0"/>
    <x v="3"/>
    <s v="NULL"/>
    <x v="2"/>
    <x v="1"/>
    <s v="NÃO INFORMADO"/>
    <s v="BA"/>
    <s v="AGNÓSTICO/ATEU/SEM RELIGIÃO"/>
    <x v="2"/>
    <s v="NULL"/>
    <x v="1"/>
    <x v="5"/>
  </r>
  <r>
    <s v="ABBCDA1FE500845426FD9F5C42A62DD5C86E7BD6AA54A9045894F4A303997FE2"/>
    <x v="137"/>
    <s v="OUTROS ESTABELECIMENTOS"/>
    <x v="15"/>
    <s v="HÁ MAIS DE UM ANO"/>
    <s v="VIOLÊNCIA CONTRA CIDADÃO, FAMÍLIA OU COMUNIDADE"/>
    <s v="OUTROS"/>
    <x v="1"/>
    <x v="2"/>
    <s v="PR"/>
    <x v="0"/>
    <x v="0"/>
    <x v="1"/>
    <s v="NULL"/>
    <x v="2"/>
    <x v="0"/>
    <s v="NÃO INFORMADO"/>
    <s v="PR"/>
    <s v="AGNÓSTICO/ATEU/SEM RELIGIÃO"/>
    <x v="0"/>
    <s v="NULL"/>
    <x v="0"/>
    <x v="5"/>
  </r>
  <r>
    <s v="ABBCDA1FE500845426FD9F5C42A62DD5C86E7BD6AA54A9045894F4A303997FE2"/>
    <x v="137"/>
    <s v="OUTROS ESTABELECIMENTOS"/>
    <x v="15"/>
    <s v="HÁ MAIS DE UM ANO"/>
    <s v="VIOLÊNCIA CONTRA CIDADÃO, FAMÍLIA OU COMUNIDADE"/>
    <s v="OUTROS"/>
    <x v="1"/>
    <x v="2"/>
    <s v="PR"/>
    <x v="0"/>
    <x v="0"/>
    <x v="1"/>
    <s v="NULL"/>
    <x v="2"/>
    <x v="0"/>
    <s v="NÃO INFORMADO"/>
    <s v="PR"/>
    <s v="AGNÓSTICO/ATEU/SEM RELIGIÃO"/>
    <x v="0"/>
    <s v="NULL"/>
    <x v="2"/>
    <x v="5"/>
  </r>
  <r>
    <s v="ABBCDA1FE500845426FD9F5C42A62DD5C86E7BD6AA54A9045894F4A303997FE2"/>
    <x v="137"/>
    <s v="OUTROS ESTABELECIMENTOS"/>
    <x v="15"/>
    <s v="HÁ MAIS DE UM ANO"/>
    <s v="VIOLÊNCIA CONTRA CIDADÃO, FAMÍLIA OU COMUNIDADE"/>
    <s v="OUTROS"/>
    <x v="1"/>
    <x v="2"/>
    <s v="PR"/>
    <x v="0"/>
    <x v="0"/>
    <x v="1"/>
    <s v="NULL"/>
    <x v="2"/>
    <x v="0"/>
    <s v="NÃO INFORMADO"/>
    <s v="PR"/>
    <s v="AGNÓSTICO/ATEU/SEM RELIGIÃO"/>
    <x v="0"/>
    <s v="NULL"/>
    <x v="1"/>
    <x v="5"/>
  </r>
  <r>
    <s v="8DD121BFA4D273A599C0217B58B404C4581BCBB6E1E4E6DA66675CBB22CF43E8"/>
    <x v="138"/>
    <s v="OUTROS ESTABELECIMENTOS"/>
    <x v="4"/>
    <s v="HÁ UM MÊS"/>
    <s v="VIOLÊNCIA CONTRA CIDADÃO, FAMÍLIA OU COMUNIDADE"/>
    <s v="MÃE"/>
    <x v="0"/>
    <x v="2"/>
    <s v="MG"/>
    <x v="0"/>
    <x v="0"/>
    <x v="2"/>
    <s v="NULL"/>
    <x v="1"/>
    <x v="0"/>
    <s v="NÃO INFORMADO"/>
    <s v="MG"/>
    <s v="AGNÓSTICO/ATEU/SEM RELIGIÃO"/>
    <x v="1"/>
    <s v="SAÚDE HUMANA E SERVIÇOS SOCIAIS"/>
    <x v="1"/>
    <x v="5"/>
  </r>
  <r>
    <s v="C1C30118C029A096A181EA3AD49337601E628192F92C21E44C8B664E2C8E0581"/>
    <x v="139"/>
    <s v="OUTROS ESTABELECIMENTOS"/>
    <x v="23"/>
    <s v="NÃO SE APLICA"/>
    <s v="VIOLÊNCIA CONTRA CIDADÃO, FAMÍLIA OU COMUNIDADE"/>
    <s v="DIRETOR(A) DE UNIDADE PRISIONAL"/>
    <x v="0"/>
    <x v="6"/>
    <s v="SE"/>
    <x v="0"/>
    <x v="0"/>
    <x v="3"/>
    <s v="NULL"/>
    <x v="1"/>
    <x v="0"/>
    <s v="NÃO INFORMADO"/>
    <s v="SE"/>
    <s v="AGNÓSTICO/ATEU/SEM RELIGIÃO"/>
    <x v="1"/>
    <s v="SEGURANÇA PÚBLICA, FORÇAS ARMADAS, DEFESA CIVIL, BOMBEIROS E ASSEMELHADOS ? MUNICIPAL"/>
    <x v="0"/>
    <x v="5"/>
  </r>
  <r>
    <s v="48F69FF1A6CD47024C80D851991FB707AFA1133F59CA20E842CE19863F1E427B"/>
    <x v="140"/>
    <s v="CASA DO SUSPEITO"/>
    <x v="1"/>
    <s v="HÁ MAIS DE UM ANO"/>
    <s v="VIOLÊNCIA CONTRA CIDADÃO, FAMÍLIA OU COMUNIDADE"/>
    <s v="VIZINHO(A)"/>
    <x v="0"/>
    <x v="4"/>
    <s v="SP"/>
    <x v="0"/>
    <x v="3"/>
    <x v="4"/>
    <s v="NULL"/>
    <x v="2"/>
    <x v="2"/>
    <s v="NÃO"/>
    <s v="SP"/>
    <s v="EVANGÉLICA"/>
    <x v="2"/>
    <s v="NULL"/>
    <x v="0"/>
    <x v="5"/>
  </r>
  <r>
    <s v="48F69FF1A6CD47024C80D851991FB707AFA1133F59CA20E842CE19863F1E427B"/>
    <x v="140"/>
    <s v="CASA DO SUSPEITO"/>
    <x v="1"/>
    <s v="HÁ MAIS DE UM ANO"/>
    <s v="VIOLÊNCIA CONTRA CIDADÃO, FAMÍLIA OU COMUNIDADE"/>
    <s v="VIZINHO(A)"/>
    <x v="0"/>
    <x v="4"/>
    <s v="SP"/>
    <x v="0"/>
    <x v="3"/>
    <x v="4"/>
    <s v="NULL"/>
    <x v="2"/>
    <x v="2"/>
    <s v="NÃO"/>
    <s v="SP"/>
    <s v="EVANGÉLICA"/>
    <x v="2"/>
    <s v="NULL"/>
    <x v="2"/>
    <x v="5"/>
  </r>
  <r>
    <s v="6B9F5C16D582B15E5688CE6E915C2D19FA59E2CB7B170BC8FE74DA03F3056F18"/>
    <x v="140"/>
    <s v="CASA DO SUSPEITO"/>
    <x v="1"/>
    <s v="HÁ MAIS DE UM ANO"/>
    <s v="VIOLÊNCIA CONTRA CIDADÃO, FAMÍLIA OU COMUNIDADE"/>
    <s v="VIZINHO(A)"/>
    <x v="0"/>
    <x v="4"/>
    <s v="SP"/>
    <x v="0"/>
    <x v="3"/>
    <x v="4"/>
    <s v="NULL"/>
    <x v="0"/>
    <x v="6"/>
    <s v="NÃO"/>
    <s v="SP"/>
    <s v="EVANGÉLICA"/>
    <x v="2"/>
    <s v="NULL"/>
    <x v="0"/>
    <x v="5"/>
  </r>
  <r>
    <s v="6B9F5C16D582B15E5688CE6E915C2D19FA59E2CB7B170BC8FE74DA03F3056F18"/>
    <x v="140"/>
    <s v="CASA DO SUSPEITO"/>
    <x v="1"/>
    <s v="HÁ MAIS DE UM ANO"/>
    <s v="VIOLÊNCIA CONTRA CIDADÃO, FAMÍLIA OU COMUNIDADE"/>
    <s v="VIZINHO(A)"/>
    <x v="0"/>
    <x v="4"/>
    <s v="SP"/>
    <x v="0"/>
    <x v="3"/>
    <x v="4"/>
    <s v="NULL"/>
    <x v="0"/>
    <x v="6"/>
    <s v="NÃO"/>
    <s v="SP"/>
    <s v="EVANGÉLICA"/>
    <x v="2"/>
    <s v="NULL"/>
    <x v="2"/>
    <x v="5"/>
  </r>
  <r>
    <s v="4FFF148401E54737CE83C8797990DE23F403B1F96366703FB440D781B975369E"/>
    <x v="140"/>
    <s v="CASA DA VÍTIMA"/>
    <x v="3"/>
    <s v="NÃO SABE INFORMAR"/>
    <s v="VIOLÊNCIA CONTRA CIDADÃO, FAMÍLIA OU COMUNIDADE"/>
    <s v="OUTROS"/>
    <x v="1"/>
    <x v="8"/>
    <s v="BA"/>
    <x v="0"/>
    <x v="3"/>
    <x v="1"/>
    <s v="NULL"/>
    <x v="1"/>
    <x v="0"/>
    <s v="NÃO INFORMADO"/>
    <s v="BA"/>
    <s v="AGNÓSTICO/ATEU/SEM RELIGIÃO"/>
    <x v="1"/>
    <s v="PODER EXECUTIVO EM GERAL ? ESTADUAL/DISTRITO FEDERAL"/>
    <x v="0"/>
    <x v="5"/>
  </r>
  <r>
    <s v="4FFF148401E54737CE83C8797990DE23F403B1F96366703FB440D781B975369E"/>
    <x v="140"/>
    <s v="CASA DA VÍTIMA"/>
    <x v="3"/>
    <s v="NÃO SABE INFORMAR"/>
    <s v="VIOLÊNCIA CONTRA CIDADÃO, FAMÍLIA OU COMUNIDADE"/>
    <s v="OUTROS"/>
    <x v="1"/>
    <x v="8"/>
    <s v="BA"/>
    <x v="0"/>
    <x v="3"/>
    <x v="1"/>
    <s v="NULL"/>
    <x v="1"/>
    <x v="0"/>
    <s v="NÃO INFORMADO"/>
    <s v="BA"/>
    <s v="AGNÓSTICO/ATEU/SEM RELIGIÃO"/>
    <x v="1"/>
    <s v="PODER EXECUTIVO EM GERAL ? ESTADUAL/DISTRITO FEDERAL"/>
    <x v="2"/>
    <x v="5"/>
  </r>
  <r>
    <s v="DB856AF5D5D4162C7529D18ED6CB4460DF45859311F02D50BFDF069F75F6F33D"/>
    <x v="0"/>
    <s v="CASA DA VÍTIMA"/>
    <x v="0"/>
    <s v="NÃO SE APLICA"/>
    <s v="VIOLÊNCIA CONTRA CIDADÃO, FAMÍLIA OU COMUNIDADE"/>
    <s v="OUTROS"/>
    <x v="0"/>
    <x v="0"/>
    <s v="DF"/>
    <x v="0"/>
    <x v="0"/>
    <x v="0"/>
    <s v="NULL"/>
    <x v="0"/>
    <x v="0"/>
    <s v="NÃO INFORMADO"/>
    <s v="MG"/>
    <s v="AGNÓSTICO/ATEU/SEM RELIGIÃO"/>
    <x v="0"/>
    <s v="NULL"/>
    <x v="0"/>
    <x v="0"/>
  </r>
  <r>
    <s v="7F34F1FB099D8957BC2713E9DAA625495BA9A56CC52ADAD5106284E40D51E1DD"/>
    <x v="1"/>
    <s v="OUTROS ESTABELECIMENTOS"/>
    <x v="1"/>
    <s v="HÁ MAIS DE UM ANO"/>
    <s v="VIOLÊNCIA CONTRA CIDADÃO, FAMÍLIA OU COMUNIDADE"/>
    <s v="NÃO SE APLICA"/>
    <x v="1"/>
    <x v="1"/>
    <s v="SP"/>
    <x v="0"/>
    <x v="0"/>
    <x v="1"/>
    <s v="NULL"/>
    <x v="1"/>
    <x v="0"/>
    <s v="NÃO INFORMADO"/>
    <s v="SP"/>
    <s v="AGNÓSTICO/ATEU/SEM RELIGIÃO"/>
    <x v="1"/>
    <s v="EDUCAÇÃO"/>
    <x v="0"/>
    <x v="0"/>
  </r>
  <r>
    <s v="FDBF8BF6206929A29013C04B20E72FC6E41ADCE21706424868D83128B9F79E9E"/>
    <x v="1"/>
    <s v="OUTROS ESTABELECIMENTOS"/>
    <x v="2"/>
    <s v="HÁ UM MÊS"/>
    <s v="VIOLÊNCIA CONTRA CIDADÃO, FAMÍLIA OU COMUNIDADE"/>
    <s v="OUTROS"/>
    <x v="1"/>
    <x v="2"/>
    <s v="RJ"/>
    <x v="0"/>
    <x v="1"/>
    <x v="1"/>
    <s v="NULL"/>
    <x v="2"/>
    <x v="0"/>
    <s v="NÃO INFORMADO"/>
    <s v="RJ"/>
    <s v="AGNÓSTICO/ATEU/SEM RELIGIÃO"/>
    <x v="1"/>
    <s v="NULL"/>
    <x v="1"/>
    <x v="0"/>
  </r>
  <r>
    <s v="FDBF8BF6206929A29013C04B20E72FC6E41ADCE21706424868D83128B9F79E9E"/>
    <x v="1"/>
    <s v="OUTROS ESTABELECIMENTOS"/>
    <x v="2"/>
    <s v="HÁ UM MÊS"/>
    <s v="VIOLÊNCIA CONTRA CIDADÃO, FAMÍLIA OU COMUNIDADE"/>
    <s v="OUTROS"/>
    <x v="1"/>
    <x v="2"/>
    <s v="RJ"/>
    <x v="0"/>
    <x v="1"/>
    <x v="1"/>
    <s v="NULL"/>
    <x v="2"/>
    <x v="0"/>
    <s v="NÃO INFORMADO"/>
    <s v="RJ"/>
    <s v="AGNÓSTICO/ATEU/SEM RELIGIÃO"/>
    <x v="1"/>
    <s v="NULL"/>
    <x v="0"/>
    <x v="0"/>
  </r>
  <r>
    <s v="B23FF7DFFE4AE12ED69833D76869EBB884A7C859B9062B54837C3EA943238464"/>
    <x v="2"/>
    <s v="OUTROS ESTABELECIMENTOS"/>
    <x v="3"/>
    <s v="HÁ MAIS DE CINCO ANOS"/>
    <s v="VIOLÊNCIA CONTRA CIDADÃO, FAMÍLIA OU COMUNIDADE"/>
    <s v="LÍDER RELIGIOSO(A)"/>
    <x v="0"/>
    <x v="3"/>
    <s v="BA"/>
    <x v="1"/>
    <x v="0"/>
    <x v="2"/>
    <s v="NULL"/>
    <x v="0"/>
    <x v="1"/>
    <s v="NÃO"/>
    <s v="BA"/>
    <s v="AGNÓSTICO/ATEU/SEM RELIGIÃO"/>
    <x v="0"/>
    <s v="NULL"/>
    <x v="2"/>
    <x v="0"/>
  </r>
  <r>
    <s v="6F0E10261FE871F34E880C90947BB0B31D68F6A40469320FA8CFC5B02D411B8D"/>
    <x v="3"/>
    <s v="CASA DA VÍTIMA"/>
    <x v="4"/>
    <s v="NÃO SABE INFORMAR"/>
    <s v="VIOLÊNCIA CONTRA CIDADÃO, FAMÍLIA OU COMUNIDADE"/>
    <s v="FUNCIONÁRIO, VOLUNTÁRIO OU PRESTADOR DE SERVIÇO PARA INSTITUIÇÃO"/>
    <x v="1"/>
    <x v="4"/>
    <s v="MG"/>
    <x v="0"/>
    <x v="0"/>
    <x v="1"/>
    <s v="NULL"/>
    <x v="1"/>
    <x v="0"/>
    <s v="NÃO INFORMADO"/>
    <s v="MG"/>
    <s v="AGNÓSTICO/ATEU/SEM RELIGIÃO"/>
    <x v="1"/>
    <s v="AGÊNCIA REGULADORA ? ESTADUAL/DISTRITO FEDERAL"/>
    <x v="0"/>
    <x v="0"/>
  </r>
  <r>
    <s v="4C84D676B07A50B642471AF20E306E63F4278C3EEC7FBA172E2A6483F07BCC2D"/>
    <x v="3"/>
    <s v="CASA DA VÍTIMA"/>
    <x v="5"/>
    <s v="HÁ MAIS DE CINCO ANOS"/>
    <s v="VIOLÊNCIA CONTRA CIDADÃO, FAMÍLIA OU COMUNIDADE"/>
    <s v="IRMÃO(Ã)"/>
    <x v="0"/>
    <x v="5"/>
    <s v="MS"/>
    <x v="0"/>
    <x v="2"/>
    <x v="0"/>
    <s v="NULL"/>
    <x v="2"/>
    <x v="2"/>
    <s v="NÃO"/>
    <s v="MS"/>
    <s v="EVANGÉLICA"/>
    <x v="1"/>
    <s v="NULL"/>
    <x v="0"/>
    <x v="0"/>
  </r>
  <r>
    <s v="8F76BFE890D916EB4DAB76AD708F9BAEDD2294B9F68CEC286797270A1D1B24DF"/>
    <x v="4"/>
    <s v="EVENTO PÚBLICO"/>
    <x v="1"/>
    <s v="NÃO SE APLICA"/>
    <s v="VIOLÊNCIA CONTRA CIDADÃO, FAMÍLIA OU COMUNIDADE"/>
    <s v="OUTROS"/>
    <x v="1"/>
    <x v="6"/>
    <s v="DENUNCIANTE NÃO SOUBE INFORMAR"/>
    <x v="0"/>
    <x v="0"/>
    <x v="1"/>
    <s v="NULL"/>
    <x v="1"/>
    <x v="3"/>
    <s v="NÃO"/>
    <s v="DENUNCIANTE NÃO SOUBE INFORMAR"/>
    <s v="AGNÓSTICO/ATEU/SEM RELIGIÃO"/>
    <x v="1"/>
    <s v="NULL"/>
    <x v="2"/>
    <x v="0"/>
  </r>
  <r>
    <s v="8F76BFE890D916EB4DAB76AD708F9BAEDD2294B9F68CEC286797270A1D1B24DF"/>
    <x v="4"/>
    <s v="EVENTO PÚBLICO"/>
    <x v="1"/>
    <s v="NÃO SE APLICA"/>
    <s v="VIOLÊNCIA CONTRA CIDADÃO, FAMÍLIA OU COMUNIDADE"/>
    <s v="OUTROS"/>
    <x v="1"/>
    <x v="6"/>
    <s v="DENUNCIANTE NÃO SOUBE INFORMAR"/>
    <x v="0"/>
    <x v="0"/>
    <x v="1"/>
    <s v="NULL"/>
    <x v="1"/>
    <x v="3"/>
    <s v="NÃO"/>
    <s v="DENUNCIANTE NÃO SOUBE INFORMAR"/>
    <s v="AGNÓSTICO/ATEU/SEM RELIGIÃO"/>
    <x v="1"/>
    <s v="NULL"/>
    <x v="0"/>
    <x v="0"/>
  </r>
  <r>
    <s v="35551411202D5882519B4491B33AFD767718DFF00B195F5CC774D3E6D0CE3373"/>
    <x v="5"/>
    <s v="CASA DO SUSPEITO"/>
    <x v="3"/>
    <s v="HÁ MAIS DE UM ANO"/>
    <s v="VIOLÊNCIA CONTRA CIDADÃO, FAMÍLIA OU COMUNIDADE"/>
    <s v="OUTROS"/>
    <x v="0"/>
    <x v="3"/>
    <s v="BA"/>
    <x v="1"/>
    <x v="0"/>
    <x v="2"/>
    <s v="NULL"/>
    <x v="1"/>
    <x v="0"/>
    <s v="NÃO INFORMADO"/>
    <s v="BA"/>
    <s v="AGNÓSTICO/ATEU/SEM RELIGIÃO"/>
    <x v="1"/>
    <s v="OUTRAS ATIVIDADES DE SERVIÇOS"/>
    <x v="0"/>
    <x v="0"/>
  </r>
  <r>
    <s v="9A241FA8033F47B1D07A8E03C3B246BBE725C59BB4B1AEE6EDBE582EB0DD9232"/>
    <x v="6"/>
    <s v="AMBIENTE VIRTUAL (NO ÂMBITO DA INTERNET)"/>
    <x v="1"/>
    <s v="NÃO SE APLICA"/>
    <s v="VIOLÊNCIA CONTRA CIDADÃO, FAMÍLIA OU COMUNIDADE"/>
    <s v="DESCONHECIDO(A)"/>
    <x v="0"/>
    <x v="3"/>
    <s v="SP"/>
    <x v="0"/>
    <x v="0"/>
    <x v="2"/>
    <s v="NULL"/>
    <x v="2"/>
    <x v="0"/>
    <s v="NÃO INFORMADO"/>
    <s v="SP"/>
    <s v="AGNÓSTICO/ATEU/SEM RELIGIÃO"/>
    <x v="1"/>
    <s v="NULL"/>
    <x v="2"/>
    <x v="0"/>
  </r>
  <r>
    <s v="9A241FA8033F47B1D07A8E03C3B246BBE725C59BB4B1AEE6EDBE582EB0DD9232"/>
    <x v="6"/>
    <s v="AMBIENTE VIRTUAL (NO ÂMBITO DA INTERNET)"/>
    <x v="1"/>
    <s v="NÃO SE APLICA"/>
    <s v="VIOLÊNCIA CONTRA CIDADÃO, FAMÍLIA OU COMUNIDADE"/>
    <s v="DESCONHECIDO(A)"/>
    <x v="0"/>
    <x v="3"/>
    <s v="SP"/>
    <x v="0"/>
    <x v="0"/>
    <x v="2"/>
    <s v="NULL"/>
    <x v="2"/>
    <x v="0"/>
    <s v="NÃO INFORMADO"/>
    <s v="SP"/>
    <s v="AGNÓSTICO/ATEU/SEM RELIGIÃO"/>
    <x v="1"/>
    <s v="NULL"/>
    <x v="0"/>
    <x v="0"/>
  </r>
  <r>
    <s v="B54B7763BD22802BF638E450A8181F7381CE89ED868BBC6E8144A1BC30AD7698"/>
    <x v="6"/>
    <s v="CASA DA VÍTIMA"/>
    <x v="6"/>
    <s v="HÁ UM MÊS"/>
    <s v="VIOLÊNCIA CONTRA CIDADÃO, FAMÍLIA OU COMUNIDADE"/>
    <s v="VIZINHO(A)"/>
    <x v="0"/>
    <x v="5"/>
    <s v="GO"/>
    <x v="0"/>
    <x v="3"/>
    <x v="0"/>
    <s v="NULL"/>
    <x v="0"/>
    <x v="4"/>
    <s v="NÃO"/>
    <s v="GO"/>
    <s v="EVANGÉLICA"/>
    <x v="2"/>
    <s v="NULL"/>
    <x v="2"/>
    <x v="0"/>
  </r>
  <r>
    <s v="B54B7763BD22802BF638E450A8181F7381CE89ED868BBC6E8144A1BC30AD7698"/>
    <x v="6"/>
    <s v="CASA DA VÍTIMA"/>
    <x v="6"/>
    <s v="HÁ UM MÊS"/>
    <s v="VIOLÊNCIA CONTRA CIDADÃO, FAMÍLIA OU COMUNIDADE"/>
    <s v="VIZINHO(A)"/>
    <x v="0"/>
    <x v="5"/>
    <s v="GO"/>
    <x v="0"/>
    <x v="3"/>
    <x v="0"/>
    <s v="NULL"/>
    <x v="0"/>
    <x v="4"/>
    <s v="NÃO"/>
    <s v="GO"/>
    <s v="EVANGÉLICA"/>
    <x v="2"/>
    <s v="NULL"/>
    <x v="0"/>
    <x v="0"/>
  </r>
  <r>
    <s v="421ED8D037D37B4A5C8677FF52F788841F822C5082CA715A40339EF43AB44B2E"/>
    <x v="6"/>
    <s v="CASA DA VÍTIMA"/>
    <x v="3"/>
    <s v="HÁ UM MÊS"/>
    <s v="VIOLÊNCIA CONTRA CIDADÃO, FAMÍLIA OU COMUNIDADE"/>
    <s v="EX-COMPANHEIRO(A)"/>
    <x v="0"/>
    <x v="5"/>
    <s v="BA"/>
    <x v="2"/>
    <x v="3"/>
    <x v="0"/>
    <s v="NULL"/>
    <x v="2"/>
    <x v="5"/>
    <s v="NÃO"/>
    <s v="BA"/>
    <s v="AGNÓSTICO/ATEU/SEM RELIGIÃO"/>
    <x v="2"/>
    <s v="NULL"/>
    <x v="0"/>
    <x v="0"/>
  </r>
  <r>
    <s v="0C094294E76A944A727DE891D67AF73F0F7E4C2E6F7AFDA8E79746033793EBE3"/>
    <x v="7"/>
    <s v="CASA DA VÍTIMA"/>
    <x v="7"/>
    <s v="HÁ MAIS DE UM ANO"/>
    <s v="VIOLÊNCIA CONTRA CIDADÃO, FAMÍLIA OU COMUNIDADE"/>
    <s v="VIZINHO(A)"/>
    <x v="0"/>
    <x v="3"/>
    <s v="ES"/>
    <x v="3"/>
    <x v="0"/>
    <x v="0"/>
    <s v="NULL"/>
    <x v="2"/>
    <x v="2"/>
    <s v="NÃO"/>
    <s v="ES"/>
    <s v="AGNÓSTICO/ATEU/SEM RELIGIÃO"/>
    <x v="2"/>
    <s v="NULL"/>
    <x v="0"/>
    <x v="0"/>
  </r>
  <r>
    <s v="A5B718E8AA173B43EA07633AD2A72E044D10F9FB01CAF078E8C348C546DFAD30"/>
    <x v="8"/>
    <s v="AMBIENTE VIRTUAL (NO ÂMBITO DA INTERNET)"/>
    <x v="8"/>
    <s v="NÃO SABE INFORMAR"/>
    <s v="VIOLÊNCIA CONTRA CIDADÃO, FAMÍLIA OU COMUNIDADE"/>
    <s v="OUTROS"/>
    <x v="1"/>
    <x v="4"/>
    <s v="RO"/>
    <x v="0"/>
    <x v="0"/>
    <x v="1"/>
    <s v="NULL"/>
    <x v="0"/>
    <x v="0"/>
    <s v="NÃO INFORMADO"/>
    <s v="RO"/>
    <s v="AGNÓSTICO/ATEU/SEM RELIGIÃO"/>
    <x v="1"/>
    <s v="NULL"/>
    <x v="2"/>
    <x v="0"/>
  </r>
  <r>
    <s v="A5B718E8AA173B43EA07633AD2A72E044D10F9FB01CAF078E8C348C546DFAD30"/>
    <x v="8"/>
    <s v="AMBIENTE VIRTUAL (NO ÂMBITO DA INTERNET)"/>
    <x v="8"/>
    <s v="NÃO SABE INFORMAR"/>
    <s v="VIOLÊNCIA CONTRA CIDADÃO, FAMÍLIA OU COMUNIDADE"/>
    <s v="OUTROS"/>
    <x v="1"/>
    <x v="4"/>
    <s v="RO"/>
    <x v="0"/>
    <x v="0"/>
    <x v="1"/>
    <s v="NULL"/>
    <x v="0"/>
    <x v="0"/>
    <s v="NÃO INFORMADO"/>
    <s v="RO"/>
    <s v="AGNÓSTICO/ATEU/SEM RELIGIÃO"/>
    <x v="1"/>
    <s v="NULL"/>
    <x v="0"/>
    <x v="0"/>
  </r>
  <r>
    <s v="76A593D88F299BC5A94A685B0B4762E98B386BF88B979F346F49F705D4F2D99D"/>
    <x v="9"/>
    <s v="CASA DO SUSPEITO"/>
    <x v="6"/>
    <s v="NÃO SE APLICA"/>
    <s v="VIOLÊNCIA CONTRA CIDADÃO, FAMÍLIA OU COMUNIDADE"/>
    <s v="OUTROS"/>
    <x v="1"/>
    <x v="4"/>
    <s v="GO"/>
    <x v="0"/>
    <x v="0"/>
    <x v="1"/>
    <s v="NULL"/>
    <x v="0"/>
    <x v="2"/>
    <s v="NÃO"/>
    <s v="GO"/>
    <s v="AGNÓSTICO/ATEU/SEM RELIGIÃO"/>
    <x v="2"/>
    <s v="NULL"/>
    <x v="2"/>
    <x v="0"/>
  </r>
  <r>
    <s v="5CBE0B701E2215C145674FB38ECBB8D6A103BAEAE4728557CC0ED94804B4949E"/>
    <x v="9"/>
    <s v="CASA DA VÍTIMA"/>
    <x v="9"/>
    <s v="NÃO SE APLICA"/>
    <s v="VIOLÊNCIA CONTRA CIDADÃO, FAMÍLIA OU COMUNIDADE"/>
    <s v="OUTROS"/>
    <x v="1"/>
    <x v="5"/>
    <s v="SC"/>
    <x v="0"/>
    <x v="0"/>
    <x v="1"/>
    <s v="NULL"/>
    <x v="1"/>
    <x v="0"/>
    <s v="NÃO INFORMADO"/>
    <s v="SC"/>
    <s v="AGNÓSTICO/ATEU/SEM RELIGIÃO"/>
    <x v="1"/>
    <s v="NULL"/>
    <x v="0"/>
    <x v="0"/>
  </r>
  <r>
    <s v="5CBE0B701E2215C145674FB38ECBB8D6A103BAEAE4728557CC0ED94804B4949E"/>
    <x v="9"/>
    <s v="CASA DA VÍTIMA"/>
    <x v="9"/>
    <s v="NÃO SE APLICA"/>
    <s v="VIOLÊNCIA CONTRA CIDADÃO, FAMÍLIA OU COMUNIDADE"/>
    <s v="OUTROS"/>
    <x v="1"/>
    <x v="5"/>
    <s v="SC"/>
    <x v="0"/>
    <x v="0"/>
    <x v="1"/>
    <s v="NULL"/>
    <x v="1"/>
    <x v="0"/>
    <s v="NÃO INFORMADO"/>
    <s v="SC"/>
    <s v="AGNÓSTICO/ATEU/SEM RELIGIÃO"/>
    <x v="1"/>
    <s v="NULL"/>
    <x v="2"/>
    <x v="0"/>
  </r>
  <r>
    <s v="5CBE0B701E2215C145674FB38ECBB8D6A103BAEAE4728557CC0ED94804B4949E"/>
    <x v="9"/>
    <s v="CASA DA VÍTIMA"/>
    <x v="9"/>
    <s v="NÃO SE APLICA"/>
    <s v="VIOLÊNCIA CONTRA CIDADÃO, FAMÍLIA OU COMUNIDADE"/>
    <s v="OUTROS"/>
    <x v="1"/>
    <x v="5"/>
    <s v="SC"/>
    <x v="0"/>
    <x v="0"/>
    <x v="1"/>
    <s v="NULL"/>
    <x v="1"/>
    <x v="0"/>
    <s v="NÃO INFORMADO"/>
    <s v="SC"/>
    <s v="AGNÓSTICO/ATEU/SEM RELIGIÃO"/>
    <x v="1"/>
    <s v="NULL"/>
    <x v="1"/>
    <x v="0"/>
  </r>
  <r>
    <s v="FBD7D0133C427F56FBA45D92A45ED76A6D6E4D23F5A674DB29118C927B079D31"/>
    <x v="10"/>
    <s v="OUTROS ESTABELECIMENTOS"/>
    <x v="1"/>
    <s v="NÃO SE APLICA"/>
    <s v="VIOLÊNCIA CONTRA CIDADÃO, FAMÍLIA OU COMUNIDADE"/>
    <s v="OUTROS"/>
    <x v="0"/>
    <x v="3"/>
    <s v="SP"/>
    <x v="0"/>
    <x v="0"/>
    <x v="1"/>
    <s v="NULL"/>
    <x v="1"/>
    <x v="0"/>
    <s v="NÃO INFORMADO"/>
    <s v="SP"/>
    <s v="AGNÓSTICO/ATEU/SEM RELIGIÃO"/>
    <x v="1"/>
    <s v="MINISTÉRIO PÚBLICO - FEDERAL"/>
    <x v="0"/>
    <x v="0"/>
  </r>
  <r>
    <s v="F3AF44C1660C8BAFA54642872AB2BEEED5E3313C9871A41E1B93612C117514E0"/>
    <x v="10"/>
    <s v="OUTROS ESTABELECIMENTOS"/>
    <x v="1"/>
    <s v="NÃO SE APLICA"/>
    <s v="VIOLÊNCIA CONTRA CIDADÃO, FAMÍLIA OU COMUNIDADE"/>
    <s v="OUTROS"/>
    <x v="0"/>
    <x v="7"/>
    <s v="SP"/>
    <x v="0"/>
    <x v="0"/>
    <x v="0"/>
    <s v="NULL"/>
    <x v="1"/>
    <x v="0"/>
    <s v="NÃO INFORMADO"/>
    <s v="SP"/>
    <s v="AGNÓSTICO/ATEU/SEM RELIGIÃO"/>
    <x v="1"/>
    <s v="COMÉRCIO, REPARAÇÃO DE VEÍCULOS AUTOMOTORES E MOTOCICLETAS"/>
    <x v="0"/>
    <x v="0"/>
  </r>
  <r>
    <s v="F738CED08D42CF4AFBB9A8399808B7A1169846CA34819258C95F672DEE8256AC"/>
    <x v="10"/>
    <s v="OUTROS ESTABELECIMENTOS"/>
    <x v="1"/>
    <s v="HÁ MAIS DE SEIS MESES"/>
    <s v="VIOLÊNCIA CONTRA CIDADÃO, FAMÍLIA OU COMUNIDADE"/>
    <s v="DIRETOR(A) DE UNIDADE PRISIONAL"/>
    <x v="0"/>
    <x v="3"/>
    <s v="SP"/>
    <x v="4"/>
    <x v="0"/>
    <x v="1"/>
    <s v="NULL"/>
    <x v="1"/>
    <x v="0"/>
    <s v="NÃO INFORMADO"/>
    <s v="SP"/>
    <s v="AGNÓSTICO/ATEU/SEM RELIGIÃO"/>
    <x v="1"/>
    <s v="PODER EXECUTIVO EM GERAL ? ESTADUAL/DISTRITO FEDERAL"/>
    <x v="1"/>
    <x v="0"/>
  </r>
  <r>
    <s v="0FB849FB818153236FE7D274EF4F8F40EE9CE705167ABE622E5A35110C48DF6E"/>
    <x v="10"/>
    <s v="OUTROS ESTABELECIMENTOS"/>
    <x v="1"/>
    <s v="HÁ MAIS DE UM ANO"/>
    <s v="VIOLÊNCIA CONTRA CIDADÃO, FAMÍLIA OU COMUNIDADE"/>
    <s v="EX-COMPANHEIRO(A)"/>
    <x v="0"/>
    <x v="7"/>
    <s v="SP"/>
    <x v="0"/>
    <x v="0"/>
    <x v="1"/>
    <s v="NULL"/>
    <x v="2"/>
    <x v="6"/>
    <s v="NÃO"/>
    <s v="SP"/>
    <s v="AGNÓSTICO/ATEU/SEM RELIGIÃO"/>
    <x v="0"/>
    <s v="NULL"/>
    <x v="0"/>
    <x v="0"/>
  </r>
  <r>
    <s v="788EC03DC583CC024E23A1AC83C1EB8CC0DFBBEFCF674172BBB1219E15D44EE0"/>
    <x v="11"/>
    <s v="OUTROS ESTABELECIMENTOS"/>
    <x v="3"/>
    <s v="HÁ UM MÊS"/>
    <s v="VIOLÊNCIA CONTRA CIDADÃO, FAMÍLIA OU COMUNIDADE"/>
    <s v="VIZINHO(A)"/>
    <x v="1"/>
    <x v="7"/>
    <s v="BA"/>
    <x v="0"/>
    <x v="0"/>
    <x v="1"/>
    <s v="NULL"/>
    <x v="0"/>
    <x v="4"/>
    <s v="NÃO"/>
    <s v="BA"/>
    <s v="AGNÓSTICO/ATEU/SEM RELIGIÃO"/>
    <x v="2"/>
    <s v="NULL"/>
    <x v="2"/>
    <x v="0"/>
  </r>
  <r>
    <s v="21D71F4C14093952BC92D20423A34F92878DD157A76F2244F1AC5BC095385E28"/>
    <x v="12"/>
    <s v="CASA DA VÍTIMA"/>
    <x v="10"/>
    <s v="HÁ MAIS DE UM ANO"/>
    <s v="VIOLÊNCIA CONTRA CIDADÃO, FAMÍLIA OU COMUNIDADE"/>
    <s v="VIZINHO(A)"/>
    <x v="0"/>
    <x v="6"/>
    <s v="CE"/>
    <x v="4"/>
    <x v="4"/>
    <x v="0"/>
    <s v="DEMAIS COMUNIDADES TRADICIONAIS"/>
    <x v="0"/>
    <x v="1"/>
    <s v="NÃO"/>
    <s v="CE"/>
    <s v="AGNÓSTICO/ATEU/SEM RELIGIÃO"/>
    <x v="1"/>
    <s v="NULL"/>
    <x v="2"/>
    <x v="0"/>
  </r>
  <r>
    <s v="4BDCE2CD60FC8E00BC0AC0EC2ACA1A7DABBA99671047BB25AB810FB2C20D62E6"/>
    <x v="12"/>
    <s v="CASA DA VÍTIMA"/>
    <x v="11"/>
    <s v="HÁ MAIS DE UM ANO"/>
    <s v="VIOLÊNCIA CONTRA CIDADÃO, FAMÍLIA OU COMUNIDADE"/>
    <s v="VIZINHO(A)"/>
    <x v="0"/>
    <x v="3"/>
    <s v="TO"/>
    <x v="5"/>
    <x v="3"/>
    <x v="2"/>
    <s v="NULL"/>
    <x v="2"/>
    <x v="2"/>
    <s v="NÃO"/>
    <s v="TO"/>
    <s v="EVANGÉLICA"/>
    <x v="0"/>
    <s v="NULL"/>
    <x v="2"/>
    <x v="0"/>
  </r>
  <r>
    <s v="6D19A2940D19A410BF6E5D29513A10AE8E62F5E154EF694E23D7B68F2A620726"/>
    <x v="12"/>
    <s v="CASA DA VÍTIMA"/>
    <x v="11"/>
    <s v="HÁ MAIS DE UM ANO"/>
    <s v="VIOLÊNCIA CONTRA CIDADÃO, FAMÍLIA OU COMUNIDADE"/>
    <s v="VIZINHO(A)"/>
    <x v="0"/>
    <x v="3"/>
    <s v="TO"/>
    <x v="5"/>
    <x v="3"/>
    <x v="2"/>
    <s v="NULL"/>
    <x v="0"/>
    <x v="1"/>
    <s v="NÃO"/>
    <s v="TO"/>
    <s v="EVANGÉLICA"/>
    <x v="0"/>
    <s v="NULL"/>
    <x v="2"/>
    <x v="0"/>
  </r>
  <r>
    <s v="773A0AAAE486FEFBB75F60C51CAE5F528BE46034E8EF9513C0EC36FBD0B30B95"/>
    <x v="12"/>
    <s v="CASA DA VÍTIMA"/>
    <x v="11"/>
    <s v="HÁ MAIS DE UM ANO"/>
    <s v="VIOLÊNCIA CONTRA CIDADÃO, FAMÍLIA OU COMUNIDADE"/>
    <s v="VIZINHO(A)"/>
    <x v="0"/>
    <x v="3"/>
    <s v="TO"/>
    <x v="5"/>
    <x v="3"/>
    <x v="2"/>
    <s v="NULL"/>
    <x v="0"/>
    <x v="4"/>
    <s v="NÃO"/>
    <s v="TO"/>
    <s v="EVANGÉLICA"/>
    <x v="0"/>
    <s v="NULL"/>
    <x v="2"/>
    <x v="0"/>
  </r>
  <r>
    <s v="8FE85A064B1761358E1972AE637A2ED895FAB127A38495962FA480BE18E711DB"/>
    <x v="12"/>
    <s v="CASA DA VÍTIMA"/>
    <x v="11"/>
    <s v="HÁ MAIS DE UM ANO"/>
    <s v="VIOLÊNCIA CONTRA CIDADÃO, FAMÍLIA OU COMUNIDADE"/>
    <s v="VIZINHO(A)"/>
    <x v="0"/>
    <x v="3"/>
    <s v="TO"/>
    <x v="5"/>
    <x v="3"/>
    <x v="2"/>
    <s v="NULL"/>
    <x v="2"/>
    <x v="6"/>
    <s v="NÃO"/>
    <s v="TO"/>
    <s v="EVANGÉLICA"/>
    <x v="0"/>
    <s v="NULL"/>
    <x v="2"/>
    <x v="0"/>
  </r>
  <r>
    <s v="795FD9598A5C25A9A94E3721B880B095CAC42FA465246D24AC168F812739E548"/>
    <x v="12"/>
    <s v="LOCAL DE TRABALHO DA VÍTIMA"/>
    <x v="2"/>
    <s v="HÁ MAIS DE SEIS MESES"/>
    <s v="VIOLÊNCIA CONTRA CIDADÃO, FAMÍLIA OU COMUNIDADE"/>
    <s v="OUTROS"/>
    <x v="0"/>
    <x v="2"/>
    <s v="RJ"/>
    <x v="0"/>
    <x v="0"/>
    <x v="0"/>
    <s v="NULL"/>
    <x v="2"/>
    <x v="5"/>
    <s v="NÃO"/>
    <s v="RJ"/>
    <s v="AGNÓSTICO/ATEU/SEM RELIGIÃO"/>
    <x v="3"/>
    <s v="NULL"/>
    <x v="0"/>
    <x v="0"/>
  </r>
  <r>
    <s v="9A96F812C8AB244F317BC47C95FC0A65C3086C96D18D3161477EBF2FC2C84CC1"/>
    <x v="12"/>
    <s v="CASA DA VÍTIMA"/>
    <x v="4"/>
    <s v="NÃO SE APLICA"/>
    <s v="VIOLÊNCIA CONTRA CIDADÃO, FAMÍLIA OU COMUNIDADE"/>
    <s v="OUTROS"/>
    <x v="0"/>
    <x v="6"/>
    <s v="MG"/>
    <x v="0"/>
    <x v="5"/>
    <x v="0"/>
    <s v="NULL"/>
    <x v="1"/>
    <x v="0"/>
    <s v="NÃO INFORMADO"/>
    <s v="MG"/>
    <s v="AGNÓSTICO/ATEU/SEM RELIGIÃO"/>
    <x v="1"/>
    <s v="NULL"/>
    <x v="0"/>
    <x v="0"/>
  </r>
  <r>
    <s v="DF61D89FB04901BBFE871D94981741ED83CB766DE6B4C72C1857B98930B97F42"/>
    <x v="12"/>
    <s v="AMBIENTE VIRTUAL (NO ÂMBITO DA INTERNET)"/>
    <x v="12"/>
    <s v="HÁ MAIS DE UM ANO"/>
    <s v="VIOLÊNCIA CONTRA CIDADÃO, FAMÍLIA OU COMUNIDADE"/>
    <s v="EX-COMPANHEIRO(A)"/>
    <x v="0"/>
    <x v="5"/>
    <s v="BA"/>
    <x v="3"/>
    <x v="3"/>
    <x v="3"/>
    <s v="NULL"/>
    <x v="2"/>
    <x v="6"/>
    <s v="NÃO"/>
    <s v="BA"/>
    <s v="AGNÓSTICO/ATEU/SEM RELIGIÃO"/>
    <x v="3"/>
    <s v="NULL"/>
    <x v="0"/>
    <x v="0"/>
  </r>
  <r>
    <s v="906F92CE1682BED8B0CAC6038A0AF04AF5AA2CD5AD30A2569BF86BE520ACAD52"/>
    <x v="12"/>
    <s v="OUTROS ESTABELECIMENTOS"/>
    <x v="6"/>
    <s v="HÁ MAIS DE UM ANO"/>
    <s v="VIOLÊNCIA CONTRA CIDADÃO, FAMÍLIA OU COMUNIDADE"/>
    <s v="DIRETOR(A) DE ESCOLA"/>
    <x v="1"/>
    <x v="0"/>
    <s v="DENUNCIANTE NÃO SOUBE INFORMAR"/>
    <x v="0"/>
    <x v="0"/>
    <x v="0"/>
    <s v="NULL"/>
    <x v="1"/>
    <x v="0"/>
    <s v="NÃO INFORMADO"/>
    <s v="GO"/>
    <s v="AGNÓSTICO/ATEU/SEM RELIGIÃO"/>
    <x v="1"/>
    <s v="PODER EXECUTIVO EM GERAL ? ESTADUAL/DISTRITO FEDERAL"/>
    <x v="0"/>
    <x v="0"/>
  </r>
  <r>
    <s v="B78C94F9E63340CB5F68A26104C036A654DC4414176ABEB8BD645168DB926DAA"/>
    <x v="13"/>
    <s v="OUTROS ESTABELECIMENTOS"/>
    <x v="1"/>
    <s v="HÁ UM MÊS"/>
    <s v="VIOLÊNCIA CONTRA CIDADÃO, FAMÍLIA OU COMUNIDADE"/>
    <s v="DESCONHECIDO(A)"/>
    <x v="1"/>
    <x v="0"/>
    <s v="SP"/>
    <x v="0"/>
    <x v="0"/>
    <x v="1"/>
    <s v="NULL"/>
    <x v="2"/>
    <x v="4"/>
    <s v="NÃO INFORMADO"/>
    <s v="SP"/>
    <s v="AGNÓSTICO/ATEU/SEM RELIGIÃO"/>
    <x v="0"/>
    <s v="NULL"/>
    <x v="0"/>
    <x v="0"/>
  </r>
  <r>
    <s v="7B9007ECDA0F1777C54F7871A0AE8AF5EFAA38156571E4EAB09C71C4524AD1DB"/>
    <x v="13"/>
    <s v="CASA DA VÍTIMA"/>
    <x v="3"/>
    <s v="HÁ MAIS DE UM ANO"/>
    <s v="VIOLÊNCIA CONTRA CIDADÃO, FAMÍLIA OU COMUNIDADE"/>
    <s v="VIZINHO(A)"/>
    <x v="0"/>
    <x v="4"/>
    <s v="BA"/>
    <x v="0"/>
    <x v="0"/>
    <x v="3"/>
    <s v="NULL"/>
    <x v="0"/>
    <x v="4"/>
    <s v="NÃO"/>
    <s v="BA"/>
    <s v="UMBANDA E CANDOMBLÉ"/>
    <x v="3"/>
    <s v="NULL"/>
    <x v="2"/>
    <x v="0"/>
  </r>
  <r>
    <s v="7B9007ECDA0F1777C54F7871A0AE8AF5EFAA38156571E4EAB09C71C4524AD1DB"/>
    <x v="13"/>
    <s v="CASA DA VÍTIMA"/>
    <x v="3"/>
    <s v="HÁ MAIS DE UM ANO"/>
    <s v="VIOLÊNCIA CONTRA CIDADÃO, FAMÍLIA OU COMUNIDADE"/>
    <s v="VIZINHO(A)"/>
    <x v="0"/>
    <x v="4"/>
    <s v="BA"/>
    <x v="0"/>
    <x v="0"/>
    <x v="3"/>
    <s v="NULL"/>
    <x v="0"/>
    <x v="4"/>
    <s v="NÃO"/>
    <s v="BA"/>
    <s v="UMBANDA E CANDOMBLÉ"/>
    <x v="3"/>
    <s v="NULL"/>
    <x v="0"/>
    <x v="0"/>
  </r>
  <r>
    <s v="4AE3702C3CF675FF3F413581A915618132D003B59F5ACD6FEC9B39DD6BAEECA8"/>
    <x v="14"/>
    <s v="OUTROS ESTABELECIMENTOS"/>
    <x v="13"/>
    <s v="NÃO SABE INFORMAR"/>
    <s v="VIOLÊNCIA CONTRA CIDADÃO, FAMÍLIA OU COMUNIDADE"/>
    <s v="LÍDER RELIGIOSO(A)"/>
    <x v="1"/>
    <x v="2"/>
    <s v="PE"/>
    <x v="0"/>
    <x v="0"/>
    <x v="1"/>
    <s v="NULL"/>
    <x v="0"/>
    <x v="0"/>
    <s v="NÃO INFORMADO"/>
    <s v="PE"/>
    <s v="AGNÓSTICO/ATEU/SEM RELIGIÃO"/>
    <x v="1"/>
    <s v="NULL"/>
    <x v="2"/>
    <x v="0"/>
  </r>
  <r>
    <s v="EB38F23C6D28256B210021446BC2C87D371D55B032EBCE5001F42FFD5B7BA87F"/>
    <x v="14"/>
    <s v="OUTROS ESTABELECIMENTOS"/>
    <x v="14"/>
    <s v="NÃO SE APLICA"/>
    <s v="VIOLÊNCIA CONTRA CIDADÃO, FAMÍLIA OU COMUNIDADE"/>
    <s v="MÃE"/>
    <x v="0"/>
    <x v="4"/>
    <s v="RN"/>
    <x v="0"/>
    <x v="0"/>
    <x v="0"/>
    <s v="NULL"/>
    <x v="2"/>
    <x v="7"/>
    <s v="NÃO"/>
    <s v="RN"/>
    <s v="AGNÓSTICO/ATEU/SEM RELIGIÃO"/>
    <x v="0"/>
    <s v="NULL"/>
    <x v="2"/>
    <x v="0"/>
  </r>
  <r>
    <s v="20AD402E2AD65F638F89A8E067EFF1005C67162CFA33B526FD5FC1B8A5907791"/>
    <x v="14"/>
    <s v="OUTROS ESTABELECIMENTOS"/>
    <x v="14"/>
    <s v="NÃO SE APLICA"/>
    <s v="VIOLÊNCIA CONTRA CIDADÃO, FAMÍLIA OU COMUNIDADE"/>
    <s v="MÃE"/>
    <x v="0"/>
    <x v="4"/>
    <s v="RN"/>
    <x v="0"/>
    <x v="0"/>
    <x v="0"/>
    <s v="NULL"/>
    <x v="0"/>
    <x v="8"/>
    <s v="NÃO"/>
    <s v="RN"/>
    <s v="AGNÓSTICO/ATEU/SEM RELIGIÃO"/>
    <x v="2"/>
    <s v="NULL"/>
    <x v="2"/>
    <x v="0"/>
  </r>
  <r>
    <s v="20AD402E2AD65F638F89A8E067EFF1005C67162CFA33B526FD5FC1B8A5907791"/>
    <x v="14"/>
    <s v="OUTROS ESTABELECIMENTOS"/>
    <x v="14"/>
    <s v="NÃO SE APLICA"/>
    <s v="VIOLÊNCIA CONTRA CIDADÃO, FAMÍLIA OU COMUNIDADE"/>
    <s v="MÃE"/>
    <x v="0"/>
    <x v="4"/>
    <s v="RN"/>
    <x v="0"/>
    <x v="0"/>
    <x v="0"/>
    <s v="NULL"/>
    <x v="0"/>
    <x v="8"/>
    <s v="NÃO"/>
    <s v="RN"/>
    <s v="AGNÓSTICO/ATEU/SEM RELIGIÃO"/>
    <x v="2"/>
    <s v="NULL"/>
    <x v="1"/>
    <x v="0"/>
  </r>
  <r>
    <s v="EB38F23C6D28256B210021446BC2C87D371D55B032EBCE5001F42FFD5B7BA87F"/>
    <x v="14"/>
    <s v="OUTROS ESTABELECIMENTOS"/>
    <x v="14"/>
    <s v="NÃO SE APLICA"/>
    <s v="VIOLÊNCIA CONTRA CIDADÃO, FAMÍLIA OU COMUNIDADE"/>
    <s v="MÃE"/>
    <x v="0"/>
    <x v="4"/>
    <s v="RN"/>
    <x v="0"/>
    <x v="0"/>
    <x v="0"/>
    <s v="NULL"/>
    <x v="2"/>
    <x v="7"/>
    <s v="NÃO"/>
    <s v="RN"/>
    <s v="AGNÓSTICO/ATEU/SEM RELIGIÃO"/>
    <x v="0"/>
    <s v="NULL"/>
    <x v="1"/>
    <x v="0"/>
  </r>
  <r>
    <s v="DC9463AEC30C10E0B4E7EE97D84197C0A08461648E6E884234C5D3F1BDC61DB4"/>
    <x v="15"/>
    <s v="OUTROS ESTABELECIMENTOS"/>
    <x v="3"/>
    <s v="HÁ UM MÊS"/>
    <s v="VIOLÊNCIA CONTRA CIDADÃO, FAMÍLIA OU COMUNIDADE"/>
    <s v="DIRETOR(A) DE UNIDADE PRISIONAL"/>
    <x v="0"/>
    <x v="2"/>
    <s v="BA"/>
    <x v="6"/>
    <x v="0"/>
    <x v="0"/>
    <s v="NULL"/>
    <x v="1"/>
    <x v="0"/>
    <s v="NÃO INFORMADO"/>
    <s v="BA"/>
    <s v="AGNÓSTICO/ATEU/SEM RELIGIÃO"/>
    <x v="1"/>
    <s v="SEGURANÇA PÚBLICA, FORÇAS ARMADAS, DEFESA CIVIL, BOMBEIROS E ASSEMELHADOS ? ESTADUAL/DISTRITO FEDERAL"/>
    <x v="2"/>
    <x v="0"/>
  </r>
  <r>
    <s v="916618A7E714EF20FEA22DBACAFE09F42520AEFB7A14EBF090EEE7080E481001"/>
    <x v="15"/>
    <s v="OUTROS ESTABELECIMENTOS"/>
    <x v="2"/>
    <s v="NÃO SE APLICA"/>
    <s v="VIOLÊNCIA CONTRA CIDADÃO, FAMÍLIA OU COMUNIDADE"/>
    <s v="OUTROS"/>
    <x v="0"/>
    <x v="0"/>
    <s v="RJ"/>
    <x v="7"/>
    <x v="0"/>
    <x v="0"/>
    <s v="NULL"/>
    <x v="1"/>
    <x v="0"/>
    <s v="NÃO INFORMADO"/>
    <s v="RJ"/>
    <s v="AGNÓSTICO/ATEU/SEM RELIGIÃO"/>
    <x v="1"/>
    <s v="OUTRAS ATIVIDADES DE SERVIÇOS"/>
    <x v="2"/>
    <x v="0"/>
  </r>
  <r>
    <s v="19DDE4FB80F95A9E6E0F1883711F22DFD8E60FA16CA75A32F1E2E9FAD4701FC0"/>
    <x v="15"/>
    <s v="CASA DA VÍTIMA"/>
    <x v="1"/>
    <s v="HÁ UM MÊS"/>
    <s v="VIOLÊNCIA CONTRA CIDADÃO, FAMÍLIA OU COMUNIDADE"/>
    <s v="VIZINHO(A)"/>
    <x v="1"/>
    <x v="7"/>
    <s v="SP"/>
    <x v="0"/>
    <x v="3"/>
    <x v="1"/>
    <s v="NULL"/>
    <x v="0"/>
    <x v="6"/>
    <s v="NÃO"/>
    <s v="SP"/>
    <s v="AGNÓSTICO/ATEU/SEM RELIGIÃO"/>
    <x v="1"/>
    <s v="NULL"/>
    <x v="0"/>
    <x v="0"/>
  </r>
  <r>
    <s v="19DDE4FB80F95A9E6E0F1883711F22DFD8E60FA16CA75A32F1E2E9FAD4701FC0"/>
    <x v="15"/>
    <s v="CASA DA VÍTIMA"/>
    <x v="1"/>
    <s v="HÁ UM MÊS"/>
    <s v="VIOLÊNCIA CONTRA CIDADÃO, FAMÍLIA OU COMUNIDADE"/>
    <s v="VIZINHO(A)"/>
    <x v="1"/>
    <x v="7"/>
    <s v="SP"/>
    <x v="0"/>
    <x v="3"/>
    <x v="1"/>
    <s v="NULL"/>
    <x v="0"/>
    <x v="6"/>
    <s v="NÃO"/>
    <s v="SP"/>
    <s v="AGNÓSTICO/ATEU/SEM RELIGIÃO"/>
    <x v="1"/>
    <s v="NULL"/>
    <x v="2"/>
    <x v="0"/>
  </r>
  <r>
    <s v="26AF34CD365E4FCEF8A64DADDC658A9927C4AC56D559C96AE97F8BB71016F1AB"/>
    <x v="16"/>
    <s v="CASA DA VÍTIMA"/>
    <x v="2"/>
    <s v="NÃO SE APLICA"/>
    <s v="VIOLÊNCIA CONTRA CIDADÃO, FAMÍLIA OU COMUNIDADE"/>
    <s v="OUTROS"/>
    <x v="0"/>
    <x v="2"/>
    <s v="RJ"/>
    <x v="0"/>
    <x v="0"/>
    <x v="3"/>
    <s v="NULL"/>
    <x v="0"/>
    <x v="0"/>
    <s v="NÃO INFORMADO"/>
    <s v="RJ"/>
    <s v="AGNÓSTICO/ATEU/SEM RELIGIÃO"/>
    <x v="1"/>
    <s v="NULL"/>
    <x v="2"/>
    <x v="0"/>
  </r>
  <r>
    <s v="BEF8913CBDE26D7545F6D0E0D5F516CCD855A515A678865A3991E9E7B0763E43"/>
    <x v="17"/>
    <s v="OUTROS ESTABELECIMENTOS"/>
    <x v="0"/>
    <s v="HÁ UMA SEMANA"/>
    <s v="VIOLÊNCIA CONTRA CIDADÃO, FAMÍLIA OU COMUNIDADE"/>
    <s v="OUTROS"/>
    <x v="1"/>
    <x v="0"/>
    <s v="DF"/>
    <x v="0"/>
    <x v="0"/>
    <x v="1"/>
    <s v="DEMAIS COMUNIDADES TRADICIONAIS"/>
    <x v="1"/>
    <x v="0"/>
    <s v="NÃO INFORMADO"/>
    <s v="DF"/>
    <s v="AGNÓSTICO/ATEU/SEM RELIGIÃO"/>
    <x v="1"/>
    <s v="OUTRAS ATIVIDADES DE SERVIÇOS"/>
    <x v="0"/>
    <x v="0"/>
  </r>
  <r>
    <s v="88DA3F52CD87F35D3B875F9C04E1CB51FE2C7EAED2FEAD84D5F4CB820BEB88BF"/>
    <x v="17"/>
    <s v="CASA DA VÍTIMA"/>
    <x v="2"/>
    <s v="HÁ MAIS DE UM ANO"/>
    <s v="VIOLÊNCIA CONTRA CIDADÃO, FAMÍLIA OU COMUNIDADE"/>
    <s v="VIZINHO(A)"/>
    <x v="0"/>
    <x v="0"/>
    <s v="RJ"/>
    <x v="0"/>
    <x v="0"/>
    <x v="1"/>
    <s v="NULL"/>
    <x v="2"/>
    <x v="0"/>
    <s v="NÃO INFORMADO"/>
    <s v="RJ"/>
    <s v="AGNÓSTICO/ATEU/SEM RELIGIÃO"/>
    <x v="1"/>
    <s v="NULL"/>
    <x v="2"/>
    <x v="0"/>
  </r>
  <r>
    <s v="4B6D617958201D1C6D939872F27F671A77587611DB161E8DC9A3AF45F363659B"/>
    <x v="17"/>
    <s v="CASA DA VÍTIMA"/>
    <x v="2"/>
    <s v="HÁ MAIS DE UM ANO"/>
    <s v="VIOLÊNCIA CONTRA CIDADÃO, FAMÍLIA OU COMUNIDADE"/>
    <s v="VIZINHO(A)"/>
    <x v="0"/>
    <x v="0"/>
    <s v="RJ"/>
    <x v="0"/>
    <x v="0"/>
    <x v="1"/>
    <s v="NULL"/>
    <x v="0"/>
    <x v="0"/>
    <s v="NÃO INFORMADO"/>
    <s v="RJ"/>
    <s v="AGNÓSTICO/ATEU/SEM RELIGIÃO"/>
    <x v="1"/>
    <s v="NULL"/>
    <x v="0"/>
    <x v="0"/>
  </r>
  <r>
    <s v="2843702881E0086AC03282BD9CD7817A334556A7C7CA3E1F4CBE539BFFB20E5B"/>
    <x v="17"/>
    <s v="CASA DA VÍTIMA"/>
    <x v="2"/>
    <s v="HÁ MAIS DE UM ANO"/>
    <s v="VIOLÊNCIA CONTRA CIDADÃO, FAMÍLIA OU COMUNIDADE"/>
    <s v="VIZINHO(A)"/>
    <x v="0"/>
    <x v="0"/>
    <s v="RJ"/>
    <x v="0"/>
    <x v="0"/>
    <x v="1"/>
    <s v="NULL"/>
    <x v="2"/>
    <x v="0"/>
    <s v="NÃO INFORMADO"/>
    <s v="RJ"/>
    <s v="AGNÓSTICO/ATEU/SEM RELIGIÃO"/>
    <x v="1"/>
    <s v="NULL"/>
    <x v="0"/>
    <x v="0"/>
  </r>
  <r>
    <s v="4B6D617958201D1C6D939872F27F671A77587611DB161E8DC9A3AF45F363659B"/>
    <x v="17"/>
    <s v="CASA DA VÍTIMA"/>
    <x v="2"/>
    <s v="HÁ MAIS DE UM ANO"/>
    <s v="VIOLÊNCIA CONTRA CIDADÃO, FAMÍLIA OU COMUNIDADE"/>
    <s v="VIZINHO(A)"/>
    <x v="0"/>
    <x v="0"/>
    <s v="RJ"/>
    <x v="0"/>
    <x v="0"/>
    <x v="1"/>
    <s v="NULL"/>
    <x v="0"/>
    <x v="0"/>
    <s v="NÃO INFORMADO"/>
    <s v="RJ"/>
    <s v="AGNÓSTICO/ATEU/SEM RELIGIÃO"/>
    <x v="1"/>
    <s v="NULL"/>
    <x v="2"/>
    <x v="0"/>
  </r>
  <r>
    <s v="88DA3F52CD87F35D3B875F9C04E1CB51FE2C7EAED2FEAD84D5F4CB820BEB88BF"/>
    <x v="17"/>
    <s v="CASA DA VÍTIMA"/>
    <x v="2"/>
    <s v="HÁ MAIS DE UM ANO"/>
    <s v="VIOLÊNCIA CONTRA CIDADÃO, FAMÍLIA OU COMUNIDADE"/>
    <s v="VIZINHO(A)"/>
    <x v="0"/>
    <x v="0"/>
    <s v="RJ"/>
    <x v="0"/>
    <x v="0"/>
    <x v="1"/>
    <s v="NULL"/>
    <x v="2"/>
    <x v="0"/>
    <s v="NÃO INFORMADO"/>
    <s v="RJ"/>
    <s v="AGNÓSTICO/ATEU/SEM RELIGIÃO"/>
    <x v="1"/>
    <s v="NULL"/>
    <x v="0"/>
    <x v="0"/>
  </r>
  <r>
    <s v="2843702881E0086AC03282BD9CD7817A334556A7C7CA3E1F4CBE539BFFB20E5B"/>
    <x v="17"/>
    <s v="CASA DA VÍTIMA"/>
    <x v="2"/>
    <s v="HÁ MAIS DE UM ANO"/>
    <s v="VIOLÊNCIA CONTRA CIDADÃO, FAMÍLIA OU COMUNIDADE"/>
    <s v="VIZINHO(A)"/>
    <x v="0"/>
    <x v="0"/>
    <s v="RJ"/>
    <x v="0"/>
    <x v="0"/>
    <x v="1"/>
    <s v="NULL"/>
    <x v="2"/>
    <x v="0"/>
    <s v="NÃO INFORMADO"/>
    <s v="RJ"/>
    <s v="AGNÓSTICO/ATEU/SEM RELIGIÃO"/>
    <x v="1"/>
    <s v="NULL"/>
    <x v="2"/>
    <x v="0"/>
  </r>
  <r>
    <s v="A0DFD030C33F99E8E5D30A9FDB2D9783346BA725210EDDC9CE0108CA04753951"/>
    <x v="17"/>
    <s v="CASA DA VÍTIMA"/>
    <x v="5"/>
    <s v="HÁ MAIS DE UM ANO"/>
    <s v="VIOLÊNCIA CONTRA CIDADÃO, FAMÍLIA OU COMUNIDADE"/>
    <s v="VIZINHO(A)"/>
    <x v="0"/>
    <x v="3"/>
    <s v="MS"/>
    <x v="0"/>
    <x v="0"/>
    <x v="0"/>
    <s v="NULL"/>
    <x v="1"/>
    <x v="0"/>
    <s v="NÃO INFORMADO"/>
    <s v="MS"/>
    <s v="AGNÓSTICO/ATEU/SEM RELIGIÃO"/>
    <x v="1"/>
    <s v="NULL"/>
    <x v="0"/>
    <x v="0"/>
  </r>
  <r>
    <s v="A0DFD030C33F99E8E5D30A9FDB2D9783346BA725210EDDC9CE0108CA04753951"/>
    <x v="17"/>
    <s v="CASA DA VÍTIMA"/>
    <x v="5"/>
    <s v="HÁ MAIS DE UM ANO"/>
    <s v="VIOLÊNCIA CONTRA CIDADÃO, FAMÍLIA OU COMUNIDADE"/>
    <s v="VIZINHO(A)"/>
    <x v="0"/>
    <x v="3"/>
    <s v="MS"/>
    <x v="0"/>
    <x v="0"/>
    <x v="0"/>
    <s v="NULL"/>
    <x v="1"/>
    <x v="0"/>
    <s v="NÃO INFORMADO"/>
    <s v="MS"/>
    <s v="AGNÓSTICO/ATEU/SEM RELIGIÃO"/>
    <x v="1"/>
    <s v="NULL"/>
    <x v="2"/>
    <x v="0"/>
  </r>
  <r>
    <s v="8F7DDCC3CAA8DA3B71AEEEB89B3DD6BDA463D4C778FCAA9E21015CEF54EF0BC7"/>
    <x v="18"/>
    <s v="CASA DO SUSPEITO"/>
    <x v="0"/>
    <s v="HÁ MAIS DE UM ANO"/>
    <s v="VIOLÊNCIA CONTRA CIDADÃO, FAMÍLIA OU COMUNIDADE"/>
    <s v="OUTROS"/>
    <x v="1"/>
    <x v="7"/>
    <s v="DF"/>
    <x v="0"/>
    <x v="0"/>
    <x v="1"/>
    <s v="NULL"/>
    <x v="1"/>
    <x v="0"/>
    <s v="NÃO INFORMADO"/>
    <s v="DF"/>
    <s v="AGNÓSTICO/ATEU/SEM RELIGIÃO"/>
    <x v="1"/>
    <s v="SERVIÇOS DOMÉSTICOS"/>
    <x v="2"/>
    <x v="0"/>
  </r>
  <r>
    <s v="8F7DDCC3CAA8DA3B71AEEEB89B3DD6BDA463D4C778FCAA9E21015CEF54EF0BC7"/>
    <x v="18"/>
    <s v="CASA DO SUSPEITO"/>
    <x v="0"/>
    <s v="HÁ MAIS DE UM ANO"/>
    <s v="VIOLÊNCIA CONTRA CIDADÃO, FAMÍLIA OU COMUNIDADE"/>
    <s v="OUTROS"/>
    <x v="1"/>
    <x v="7"/>
    <s v="DF"/>
    <x v="0"/>
    <x v="0"/>
    <x v="1"/>
    <s v="NULL"/>
    <x v="1"/>
    <x v="0"/>
    <s v="NÃO INFORMADO"/>
    <s v="DF"/>
    <s v="AGNÓSTICO/ATEU/SEM RELIGIÃO"/>
    <x v="1"/>
    <s v="SERVIÇOS DOMÉSTICOS"/>
    <x v="0"/>
    <x v="0"/>
  </r>
  <r>
    <s v="E060F402E193D4E61A02C088E1A12A6FB4CAA23FF323D86D188D3FC4F173517A"/>
    <x v="19"/>
    <s v="OUTROS ESTABELECIMENTOS"/>
    <x v="4"/>
    <s v="HÁ MAIS DE SEIS MESES"/>
    <s v="VIOLÊNCIA CONTRA CIDADÃO, FAMÍLIA OU COMUNIDADE"/>
    <s v="VIZINHO(A)"/>
    <x v="0"/>
    <x v="2"/>
    <s v="MG"/>
    <x v="0"/>
    <x v="0"/>
    <x v="2"/>
    <s v="NULL"/>
    <x v="0"/>
    <x v="0"/>
    <s v="NÃO INFORMADO"/>
    <s v="MG"/>
    <s v="AGNÓSTICO/ATEU/SEM RELIGIÃO"/>
    <x v="1"/>
    <s v="NULL"/>
    <x v="2"/>
    <x v="0"/>
  </r>
  <r>
    <s v="E060F402E193D4E61A02C088E1A12A6FB4CAA23FF323D86D188D3FC4F173517A"/>
    <x v="19"/>
    <s v="OUTROS ESTABELECIMENTOS"/>
    <x v="4"/>
    <s v="HÁ MAIS DE SEIS MESES"/>
    <s v="VIOLÊNCIA CONTRA CIDADÃO, FAMÍLIA OU COMUNIDADE"/>
    <s v="VIZINHO(A)"/>
    <x v="0"/>
    <x v="2"/>
    <s v="MG"/>
    <x v="0"/>
    <x v="0"/>
    <x v="2"/>
    <s v="NULL"/>
    <x v="0"/>
    <x v="0"/>
    <s v="NÃO INFORMADO"/>
    <s v="MG"/>
    <s v="AGNÓSTICO/ATEU/SEM RELIGIÃO"/>
    <x v="1"/>
    <s v="NULL"/>
    <x v="0"/>
    <x v="0"/>
  </r>
  <r>
    <s v="E060F402E193D4E61A02C088E1A12A6FB4CAA23FF323D86D188D3FC4F173517A"/>
    <x v="19"/>
    <s v="OUTROS ESTABELECIMENTOS"/>
    <x v="4"/>
    <s v="HÁ MAIS DE SEIS MESES"/>
    <s v="VIOLÊNCIA CONTRA CIDADÃO, FAMÍLIA OU COMUNIDADE"/>
    <s v="VIZINHO(A)"/>
    <x v="0"/>
    <x v="2"/>
    <s v="MG"/>
    <x v="0"/>
    <x v="0"/>
    <x v="2"/>
    <s v="NULL"/>
    <x v="0"/>
    <x v="0"/>
    <s v="NÃO INFORMADO"/>
    <s v="MG"/>
    <s v="AGNÓSTICO/ATEU/SEM RELIGIÃO"/>
    <x v="1"/>
    <s v="NULL"/>
    <x v="1"/>
    <x v="0"/>
  </r>
  <r>
    <s v="5BE2C44EFA0F62143E484AA3C6C2F5017AD5CBE5E0021774075EC75775E1C7CF"/>
    <x v="20"/>
    <s v="CASA DA VÍTIMA"/>
    <x v="13"/>
    <s v="NÃO SE APLICA"/>
    <s v="VIOLÊNCIA CONTRA CIDADÃO, FAMÍLIA OU COMUNIDADE"/>
    <s v="DESCONHECIDO(A)"/>
    <x v="0"/>
    <x v="4"/>
    <s v="PE"/>
    <x v="3"/>
    <x v="0"/>
    <x v="3"/>
    <s v="NULL"/>
    <x v="0"/>
    <x v="5"/>
    <s v="NÃO INFORMADO"/>
    <s v="DENUNCIANTE NÃO SOUBE INFORMAR"/>
    <s v="AGNÓSTICO/ATEU/SEM RELIGIÃO"/>
    <x v="1"/>
    <s v="NULL"/>
    <x v="2"/>
    <x v="0"/>
  </r>
  <r>
    <s v="BD7633642CA70419CA4E8648725762299035DC3B812077B2F9316BFF284F0BF9"/>
    <x v="20"/>
    <s v="OUTROS ESTABELECIMENTOS"/>
    <x v="2"/>
    <s v="NÃO SE APLICA"/>
    <s v="VIOLÊNCIA CONTRA CIDADÃO, FAMÍLIA OU COMUNIDADE"/>
    <s v="DESCONHECIDO(A)"/>
    <x v="1"/>
    <x v="5"/>
    <s v="RJ"/>
    <x v="0"/>
    <x v="0"/>
    <x v="1"/>
    <s v="NULL"/>
    <x v="0"/>
    <x v="4"/>
    <s v="NÃO INFORMADO"/>
    <s v="RJ"/>
    <s v="AGNÓSTICO/ATEU/SEM RELIGIÃO"/>
    <x v="2"/>
    <s v="NULL"/>
    <x v="2"/>
    <x v="0"/>
  </r>
  <r>
    <s v="AD0C7063D56267A5AD288F07352C44BDB4529248F7DFF6B290A7A03F9DF32962"/>
    <x v="20"/>
    <s v="LOCAL DE TRABALHO DA VÍTIMA"/>
    <x v="1"/>
    <s v="NÃO SE APLICA"/>
    <s v="VIOLÊNCIA CONTRA CIDADÃO, FAMÍLIA OU COMUNIDADE"/>
    <s v="EMPREGADOR/PATRÃO (HIERARQUICAMENTE SUPERIOR)"/>
    <x v="0"/>
    <x v="4"/>
    <s v="SP"/>
    <x v="0"/>
    <x v="0"/>
    <x v="3"/>
    <s v="NULL"/>
    <x v="1"/>
    <x v="0"/>
    <s v="NÃO INFORMADO"/>
    <s v="SP"/>
    <s v="AGNÓSTICO/ATEU/SEM RELIGIÃO"/>
    <x v="1"/>
    <s v="COMÉRCIO, REPARAÇÃO DE VEÍCULOS AUTOMOTORES E MOTOCICLETAS"/>
    <x v="0"/>
    <x v="0"/>
  </r>
  <r>
    <s v="9007DD29132CCD1D4B158D188F5D0EADA502639D8040866CD381AA7FE5E8F8DC"/>
    <x v="20"/>
    <s v="OUTRAS CASAS"/>
    <x v="1"/>
    <s v="HÁ UM MÊS"/>
    <s v="VIOLÊNCIA CONTRA CIDADÃO, FAMÍLIA OU COMUNIDADE"/>
    <s v="TIO(A)"/>
    <x v="0"/>
    <x v="2"/>
    <s v="SP"/>
    <x v="0"/>
    <x v="0"/>
    <x v="2"/>
    <s v="NULL"/>
    <x v="2"/>
    <x v="4"/>
    <s v="NÃO"/>
    <s v="SP"/>
    <s v="EVANGÉLICA"/>
    <x v="0"/>
    <s v="NULL"/>
    <x v="0"/>
    <x v="0"/>
  </r>
  <r>
    <s v="2A88B580C9E73DB8382345D50F55C60529A2AE8E6334AFFEE836F3CA28B1E55C"/>
    <x v="20"/>
    <s v="CASA ONDE RESIDE A VÍTIMA E O SUSPEITO"/>
    <x v="14"/>
    <s v="HÁ UMA SEMANA"/>
    <s v="VIOLÊNCIA CONTRA CIDADÃO, FAMÍLIA OU COMUNIDADE"/>
    <s v="PAI"/>
    <x v="0"/>
    <x v="2"/>
    <s v="RN"/>
    <x v="0"/>
    <x v="0"/>
    <x v="0"/>
    <s v="NULL"/>
    <x v="0"/>
    <x v="8"/>
    <s v="NÃO"/>
    <s v="RN"/>
    <s v="AGNÓSTICO/ATEU/SEM RELIGIÃO"/>
    <x v="1"/>
    <s v="NULL"/>
    <x v="1"/>
    <x v="0"/>
  </r>
  <r>
    <s v="0AC813460F87B512E1B3518F8D09DE6C4AF32797F1EFB8657D43DD47F1F1B9DE"/>
    <x v="20"/>
    <s v="CASA ONDE RESIDE A VÍTIMA E O SUSPEITO"/>
    <x v="14"/>
    <s v="HÁ UMA SEMANA"/>
    <s v="VIOLÊNCIA CONTRA CIDADÃO, FAMÍLIA OU COMUNIDADE"/>
    <s v="PAI"/>
    <x v="0"/>
    <x v="2"/>
    <s v="RN"/>
    <x v="0"/>
    <x v="0"/>
    <x v="0"/>
    <s v="NULL"/>
    <x v="2"/>
    <x v="0"/>
    <s v="NÃO INFORMADO"/>
    <s v="RN"/>
    <s v="AGNÓSTICO/ATEU/SEM RELIGIÃO"/>
    <x v="1"/>
    <s v="NULL"/>
    <x v="1"/>
    <x v="0"/>
  </r>
  <r>
    <s v="2511E5BE777DBC5393C894D7388F906BD94EBE4099709999D68083D7F3064B38"/>
    <x v="21"/>
    <s v="LOCAL DE TRABALHO DA VÍTIMA"/>
    <x v="10"/>
    <s v="HÁ MAIS DE CINCO ANOS"/>
    <s v="VIOLÊNCIA CONTRA CIDADÃO, FAMÍLIA OU COMUNIDADE"/>
    <s v="EMPREGADO (HIERARQUICAMENTE INFERIOR)"/>
    <x v="0"/>
    <x v="5"/>
    <s v="CE"/>
    <x v="0"/>
    <x v="0"/>
    <x v="0"/>
    <s v="NULL"/>
    <x v="1"/>
    <x v="0"/>
    <s v="NÃO INFORMADO"/>
    <s v="CE"/>
    <s v="AGNÓSTICO/ATEU/SEM RELIGIÃO"/>
    <x v="1"/>
    <s v="OUTRAS ATIVIDADES DE SERVIÇOS"/>
    <x v="0"/>
    <x v="0"/>
  </r>
  <r>
    <s v="51B36F840D7405A82C763B9EA2D844143817772C6D5FB1191AEF9CBF20CAE3D5"/>
    <x v="21"/>
    <s v="LOCAL DE TRABALHO DA VÍTIMA"/>
    <x v="10"/>
    <s v="HÁ MAIS DE CINCO ANOS"/>
    <s v="VIOLÊNCIA CONTRA CIDADÃO, FAMÍLIA OU COMUNIDADE"/>
    <s v="EMPREGADO (HIERARQUICAMENTE INFERIOR)"/>
    <x v="0"/>
    <x v="5"/>
    <s v="CE"/>
    <x v="0"/>
    <x v="0"/>
    <x v="0"/>
    <s v="NULL"/>
    <x v="1"/>
    <x v="0"/>
    <s v="NÃO INFORMADO"/>
    <s v="CE"/>
    <s v="AGNÓSTICO/ATEU/SEM RELIGIÃO"/>
    <x v="1"/>
    <s v="OUTRAS ATIVIDADES DE SERVIÇOS"/>
    <x v="0"/>
    <x v="0"/>
  </r>
  <r>
    <s v="D883144E64AE25E9811FDF17AC28E618248C8AFEDFE09B184E9063F08D81D26E"/>
    <x v="21"/>
    <s v="LOCAL DE TRABALHO DA VÍTIMA"/>
    <x v="10"/>
    <s v="HÁ MAIS DE CINCO ANOS"/>
    <s v="VIOLÊNCIA CONTRA CIDADÃO, FAMÍLIA OU COMUNIDADE"/>
    <s v="EMPREGADO (HIERARQUICAMENTE INFERIOR)"/>
    <x v="0"/>
    <x v="5"/>
    <s v="CE"/>
    <x v="0"/>
    <x v="0"/>
    <x v="0"/>
    <s v="NULL"/>
    <x v="2"/>
    <x v="6"/>
    <s v="NÃO INFORMADO"/>
    <s v="CE"/>
    <s v="AGNÓSTICO/ATEU/SEM RELIGIÃO"/>
    <x v="0"/>
    <s v="NULL"/>
    <x v="0"/>
    <x v="0"/>
  </r>
  <r>
    <s v="F17EEF065115B0F1086BFDF3D2EF6FA734D6BCF5597F1F23D13719C5E6C875B0"/>
    <x v="22"/>
    <s v="CASA DA VÍTIMA"/>
    <x v="2"/>
    <s v="HÁ MAIS DE UM ANO"/>
    <s v="VIOLÊNCIA CONTRA CIDADÃO, FAMÍLIA OU COMUNIDADE"/>
    <s v="MÃE"/>
    <x v="0"/>
    <x v="4"/>
    <s v="RJ"/>
    <x v="3"/>
    <x v="3"/>
    <x v="2"/>
    <s v="NULL"/>
    <x v="2"/>
    <x v="8"/>
    <s v="NÃO"/>
    <s v="RJ"/>
    <s v="AGNÓSTICO/ATEU/SEM RELIGIÃO"/>
    <x v="0"/>
    <s v="NULL"/>
    <x v="0"/>
    <x v="0"/>
  </r>
  <r>
    <s v="2A963D2506BC7A9FB77F9C1C75B87053CD5D8F5CA07197B98A7C62104BAE33C8"/>
    <x v="22"/>
    <s v="OUTROS ESTABELECIMENTOS"/>
    <x v="15"/>
    <s v="HÁ UM MÊS"/>
    <s v="VIOLÊNCIA CONTRA CIDADÃO, FAMÍLIA OU COMUNIDADE"/>
    <s v="OUTROS"/>
    <x v="1"/>
    <x v="1"/>
    <s v="PR"/>
    <x v="0"/>
    <x v="0"/>
    <x v="1"/>
    <s v="NULL"/>
    <x v="1"/>
    <x v="0"/>
    <s v="NÃO INFORMADO"/>
    <s v="PR"/>
    <s v="AGNÓSTICO/ATEU/SEM RELIGIÃO"/>
    <x v="1"/>
    <s v="PODER EXECUTIVO EM GERAL - MUNICIPAL"/>
    <x v="1"/>
    <x v="0"/>
  </r>
  <r>
    <s v="E64C5312C8B1BB366D339EF945D382756EBE08CCB8FB65180C88330E0E72C6A4"/>
    <x v="23"/>
    <s v="OUTROS ESTABELECIMENTOS"/>
    <x v="2"/>
    <s v="NÃO SE APLICA"/>
    <s v="VIOLÊNCIA CONTRA CIDADÃO, FAMÍLIA OU COMUNIDADE"/>
    <s v="OUTROS"/>
    <x v="0"/>
    <x v="6"/>
    <s v="RJ"/>
    <x v="3"/>
    <x v="0"/>
    <x v="2"/>
    <s v="NULL"/>
    <x v="1"/>
    <x v="0"/>
    <s v="NÃO INFORMADO"/>
    <s v="RJ"/>
    <s v="AGNÓSTICO/ATEU/SEM RELIGIÃO"/>
    <x v="1"/>
    <s v="OUTRAS ATIVIDADES DE SERVIÇOS"/>
    <x v="0"/>
    <x v="0"/>
  </r>
  <r>
    <s v="E64C5312C8B1BB366D339EF945D382756EBE08CCB8FB65180C88330E0E72C6A4"/>
    <x v="23"/>
    <s v="OUTROS ESTABELECIMENTOS"/>
    <x v="2"/>
    <s v="NÃO SE APLICA"/>
    <s v="VIOLÊNCIA CONTRA CIDADÃO, FAMÍLIA OU COMUNIDADE"/>
    <s v="OUTROS"/>
    <x v="0"/>
    <x v="6"/>
    <s v="RJ"/>
    <x v="3"/>
    <x v="0"/>
    <x v="2"/>
    <s v="NULL"/>
    <x v="1"/>
    <x v="0"/>
    <s v="NÃO INFORMADO"/>
    <s v="RJ"/>
    <s v="AGNÓSTICO/ATEU/SEM RELIGIÃO"/>
    <x v="1"/>
    <s v="OUTRAS ATIVIDADES DE SERVIÇOS"/>
    <x v="2"/>
    <x v="0"/>
  </r>
  <r>
    <s v="FD85A75260D3AD281A26A252EA8C4C89A64A33B3E65BB3DC51EA2B080AEFC534"/>
    <x v="23"/>
    <s v="OUTROS ESTABELECIMENTOS"/>
    <x v="0"/>
    <s v="HÁ MAIS DE DEZ ANOS"/>
    <s v="VIOLÊNCIA CONTRA CIDADÃO, FAMÍLIA OU COMUNIDADE"/>
    <s v="OUTROS"/>
    <x v="0"/>
    <x v="0"/>
    <s v="DF"/>
    <x v="0"/>
    <x v="0"/>
    <x v="0"/>
    <s v="NULL"/>
    <x v="1"/>
    <x v="0"/>
    <s v="NÃO INFORMADO"/>
    <s v="DF"/>
    <s v="AGNÓSTICO/ATEU/SEM RELIGIÃO"/>
    <x v="1"/>
    <s v="OUTRAS ATIVIDADES DE SERVIÇOS"/>
    <x v="0"/>
    <x v="0"/>
  </r>
  <r>
    <s v="3FEF8D3F491A5A6F8EF4A17425C3B0B597E27162F929FE8FE30BF31B78100765"/>
    <x v="24"/>
    <s v="CASA DA VÍTIMA"/>
    <x v="2"/>
    <s v="NÃO SE APLICA"/>
    <s v="VIOLÊNCIA CONTRA CIDADÃO, FAMÍLIA OU COMUNIDADE"/>
    <s v="TIO(A)"/>
    <x v="0"/>
    <x v="1"/>
    <s v="RJ"/>
    <x v="3"/>
    <x v="0"/>
    <x v="0"/>
    <s v="NULL"/>
    <x v="2"/>
    <x v="3"/>
    <s v="NÃO"/>
    <s v="RJ"/>
    <s v="AGNÓSTICO/ATEU/SEM RELIGIÃO"/>
    <x v="0"/>
    <s v="NULL"/>
    <x v="0"/>
    <x v="0"/>
  </r>
  <r>
    <s v="A04E07DB74EF680C99B78BA0580C5CF139B0A0F79FCD76851EBE1A424DEE9784"/>
    <x v="25"/>
    <s v="CASA DA VÍTIMA"/>
    <x v="1"/>
    <s v="NÃO SE APLICA"/>
    <s v="VIOLÊNCIA CONTRA CIDADÃO, FAMÍLIA OU COMUNIDADE"/>
    <s v="OUTROS"/>
    <x v="0"/>
    <x v="2"/>
    <s v="SP"/>
    <x v="0"/>
    <x v="0"/>
    <x v="2"/>
    <s v="NULL"/>
    <x v="2"/>
    <x v="2"/>
    <s v="NÃO"/>
    <s v="SP"/>
    <s v="AGNÓSTICO/ATEU/SEM RELIGIÃO"/>
    <x v="0"/>
    <s v="NULL"/>
    <x v="0"/>
    <x v="1"/>
  </r>
  <r>
    <s v="0201FD258CAD1C6F0107692B50CC91C45419F8E5686C4758EFE0D011E3BEABA4"/>
    <x v="26"/>
    <s v="CASA DA VÍTIMA"/>
    <x v="6"/>
    <s v="HÁ UM MÊS"/>
    <s v="VIOLÊNCIA CONTRA CIDADÃO, FAMÍLIA OU COMUNIDADE"/>
    <s v="OUTROS"/>
    <x v="0"/>
    <x v="5"/>
    <s v="GO"/>
    <x v="0"/>
    <x v="3"/>
    <x v="0"/>
    <s v="NULL"/>
    <x v="2"/>
    <x v="9"/>
    <s v="NÃO"/>
    <s v="GO"/>
    <s v="EVANGÉLICA"/>
    <x v="2"/>
    <s v="NULL"/>
    <x v="2"/>
    <x v="1"/>
  </r>
  <r>
    <s v="8896C40EBCB3B990F102CB98306F043C3E4D7E3ED7B47CEA7E4C75B80FC8D52B"/>
    <x v="26"/>
    <s v="CASA DA VÍTIMA"/>
    <x v="12"/>
    <s v="NÃO SABE INFORMAR"/>
    <s v="VIOLÊNCIA CONTRA CIDADÃO, FAMÍLIA OU COMUNIDADE"/>
    <s v="NÃO SE APLICA"/>
    <x v="0"/>
    <x v="0"/>
    <s v="ATENDIMENTO INTERROMPIDO"/>
    <x v="0"/>
    <x v="0"/>
    <x v="2"/>
    <s v="NULL"/>
    <x v="2"/>
    <x v="0"/>
    <s v="NÃO INFORMADO"/>
    <s v="RS"/>
    <s v="AGNÓSTICO/ATEU/SEM RELIGIÃO"/>
    <x v="1"/>
    <s v="NULL"/>
    <x v="0"/>
    <x v="1"/>
  </r>
  <r>
    <s v="8896C40EBCB3B990F102CB98306F043C3E4D7E3ED7B47CEA7E4C75B80FC8D52B"/>
    <x v="26"/>
    <s v="CASA DA VÍTIMA"/>
    <x v="12"/>
    <s v="NÃO SABE INFORMAR"/>
    <s v="VIOLÊNCIA CONTRA CIDADÃO, FAMÍLIA OU COMUNIDADE"/>
    <s v="NÃO SE APLICA"/>
    <x v="0"/>
    <x v="0"/>
    <s v="ATENDIMENTO INTERROMPIDO"/>
    <x v="0"/>
    <x v="0"/>
    <x v="2"/>
    <s v="NULL"/>
    <x v="2"/>
    <x v="0"/>
    <s v="NÃO INFORMADO"/>
    <s v="RS"/>
    <s v="AGNÓSTICO/ATEU/SEM RELIGIÃO"/>
    <x v="1"/>
    <s v="NULL"/>
    <x v="2"/>
    <x v="1"/>
  </r>
  <r>
    <s v="08DE7EF9B763552E7054793FF1AF0F65C739CE7534EE06549D508B4A10DD0BA4"/>
    <x v="27"/>
    <s v="OUTROS ESTABELECIMENTOS"/>
    <x v="9"/>
    <s v="NÃO SE APLICA"/>
    <s v="VIOLÊNCIA CONTRA CIDADÃO, FAMÍLIA OU COMUNIDADE"/>
    <s v="OUTROS"/>
    <x v="1"/>
    <x v="7"/>
    <s v="SC"/>
    <x v="0"/>
    <x v="0"/>
    <x v="1"/>
    <s v="NULL"/>
    <x v="1"/>
    <x v="0"/>
    <s v="NÃO INFORMADO"/>
    <s v="SC"/>
    <s v="AGNÓSTICO/ATEU/SEM RELIGIÃO"/>
    <x v="1"/>
    <s v="AGÊNCIA REGULADORA ? MUNICIPAL"/>
    <x v="0"/>
    <x v="1"/>
  </r>
  <r>
    <s v="9C21D068C88EA54BF4ECB5D4EF792D6F6397277849AD66DD2B33D2E6E8E8A197"/>
    <x v="28"/>
    <s v="CASA ONDE RESIDE A VÍTIMA E O SUSPEITO"/>
    <x v="15"/>
    <s v="HÁ MAIS DE UM ANO"/>
    <s v="VIOLÊNCIA CONTRA CIDADÃO, FAMÍLIA OU COMUNIDADE"/>
    <s v="OUTROS"/>
    <x v="1"/>
    <x v="4"/>
    <s v="PR"/>
    <x v="0"/>
    <x v="0"/>
    <x v="1"/>
    <s v="NULL"/>
    <x v="0"/>
    <x v="2"/>
    <s v="NÃO"/>
    <s v="PR"/>
    <s v="OUTRAS RELIGIOSIDADES"/>
    <x v="0"/>
    <s v="NULL"/>
    <x v="1"/>
    <x v="1"/>
  </r>
  <r>
    <s v="9C21D068C88EA54BF4ECB5D4EF792D6F6397277849AD66DD2B33D2E6E8E8A197"/>
    <x v="28"/>
    <s v="CASA ONDE RESIDE A VÍTIMA E O SUSPEITO"/>
    <x v="15"/>
    <s v="HÁ MAIS DE UM ANO"/>
    <s v="VIOLÊNCIA CONTRA CIDADÃO, FAMÍLIA OU COMUNIDADE"/>
    <s v="OUTROS"/>
    <x v="1"/>
    <x v="4"/>
    <s v="PR"/>
    <x v="0"/>
    <x v="0"/>
    <x v="1"/>
    <s v="NULL"/>
    <x v="0"/>
    <x v="2"/>
    <s v="NÃO"/>
    <s v="PR"/>
    <s v="OUTRAS RELIGIOSIDADES"/>
    <x v="0"/>
    <s v="NULL"/>
    <x v="2"/>
    <x v="1"/>
  </r>
  <r>
    <s v="9C21D068C88EA54BF4ECB5D4EF792D6F6397277849AD66DD2B33D2E6E8E8A197"/>
    <x v="28"/>
    <s v="CASA ONDE RESIDE A VÍTIMA E O SUSPEITO"/>
    <x v="15"/>
    <s v="HÁ MAIS DE UM ANO"/>
    <s v="VIOLÊNCIA CONTRA CIDADÃO, FAMÍLIA OU COMUNIDADE"/>
    <s v="OUTROS"/>
    <x v="1"/>
    <x v="4"/>
    <s v="PR"/>
    <x v="0"/>
    <x v="0"/>
    <x v="1"/>
    <s v="NULL"/>
    <x v="0"/>
    <x v="2"/>
    <s v="NÃO"/>
    <s v="PR"/>
    <s v="OUTRAS RELIGIOSIDADES"/>
    <x v="0"/>
    <s v="NULL"/>
    <x v="0"/>
    <x v="1"/>
  </r>
  <r>
    <s v="BF23814A22537FB086D307D794B905F215F82A39A080953F421F77110C56BCCA"/>
    <x v="29"/>
    <s v="CASA DA VÍTIMA"/>
    <x v="16"/>
    <s v="HÁ UM MÊS"/>
    <s v="VIOLÊNCIA CONTRA CIDADÃO, FAMÍLIA OU COMUNIDADE"/>
    <s v="OUTROS"/>
    <x v="0"/>
    <x v="1"/>
    <s v="RS"/>
    <x v="0"/>
    <x v="0"/>
    <x v="1"/>
    <s v="NULL"/>
    <x v="1"/>
    <x v="0"/>
    <s v="NÃO INFORMADO"/>
    <s v="RS"/>
    <s v="AGNÓSTICO/ATEU/SEM RELIGIÃO"/>
    <x v="1"/>
    <s v="NULL"/>
    <x v="2"/>
    <x v="1"/>
  </r>
  <r>
    <s v="BF23814A22537FB086D307D794B905F215F82A39A080953F421F77110C56BCCA"/>
    <x v="29"/>
    <s v="CASA DA VÍTIMA"/>
    <x v="16"/>
    <s v="HÁ UM MÊS"/>
    <s v="VIOLÊNCIA CONTRA CIDADÃO, FAMÍLIA OU COMUNIDADE"/>
    <s v="OUTROS"/>
    <x v="0"/>
    <x v="1"/>
    <s v="RS"/>
    <x v="0"/>
    <x v="0"/>
    <x v="1"/>
    <s v="NULL"/>
    <x v="1"/>
    <x v="0"/>
    <s v="NÃO INFORMADO"/>
    <s v="RS"/>
    <s v="AGNÓSTICO/ATEU/SEM RELIGIÃO"/>
    <x v="1"/>
    <s v="NULL"/>
    <x v="0"/>
    <x v="1"/>
  </r>
  <r>
    <s v="BBFB3A91721D3AC3073D3D318CD4B6564EFC0C40465E2F7C45A258E06F7045DC"/>
    <x v="29"/>
    <s v="CASA DA VÍTIMA"/>
    <x v="16"/>
    <s v="HÁ UM MÊS"/>
    <s v="VIOLÊNCIA CONTRA CIDADÃO, FAMÍLIA OU COMUNIDADE"/>
    <s v="OUTROS"/>
    <x v="0"/>
    <x v="1"/>
    <s v="RS"/>
    <x v="0"/>
    <x v="0"/>
    <x v="1"/>
    <s v="NULL"/>
    <x v="0"/>
    <x v="0"/>
    <s v="NÃO INFORMADO"/>
    <s v="RS"/>
    <s v="AGNÓSTICO/ATEU/SEM RELIGIÃO"/>
    <x v="1"/>
    <s v="NULL"/>
    <x v="2"/>
    <x v="1"/>
  </r>
  <r>
    <s v="BF23814A22537FB086D307D794B905F215F82A39A080953F421F77110C56BCCA"/>
    <x v="29"/>
    <s v="CASA DA VÍTIMA"/>
    <x v="16"/>
    <s v="HÁ UM MÊS"/>
    <s v="VIOLÊNCIA CONTRA CIDADÃO, FAMÍLIA OU COMUNIDADE"/>
    <s v="OUTROS"/>
    <x v="0"/>
    <x v="1"/>
    <s v="RS"/>
    <x v="0"/>
    <x v="0"/>
    <x v="1"/>
    <s v="NULL"/>
    <x v="1"/>
    <x v="0"/>
    <s v="NÃO INFORMADO"/>
    <s v="RS"/>
    <s v="AGNÓSTICO/ATEU/SEM RELIGIÃO"/>
    <x v="1"/>
    <s v="NULL"/>
    <x v="1"/>
    <x v="1"/>
  </r>
  <r>
    <s v="BBFB3A91721D3AC3073D3D318CD4B6564EFC0C40465E2F7C45A258E06F7045DC"/>
    <x v="29"/>
    <s v="CASA DA VÍTIMA"/>
    <x v="16"/>
    <s v="HÁ UM MÊS"/>
    <s v="VIOLÊNCIA CONTRA CIDADÃO, FAMÍLIA OU COMUNIDADE"/>
    <s v="OUTROS"/>
    <x v="0"/>
    <x v="1"/>
    <s v="RS"/>
    <x v="0"/>
    <x v="0"/>
    <x v="1"/>
    <s v="NULL"/>
    <x v="0"/>
    <x v="0"/>
    <s v="NÃO INFORMADO"/>
    <s v="RS"/>
    <s v="AGNÓSTICO/ATEU/SEM RELIGIÃO"/>
    <x v="1"/>
    <s v="NULL"/>
    <x v="1"/>
    <x v="1"/>
  </r>
  <r>
    <s v="BBFB3A91721D3AC3073D3D318CD4B6564EFC0C40465E2F7C45A258E06F7045DC"/>
    <x v="29"/>
    <s v="CASA DA VÍTIMA"/>
    <x v="16"/>
    <s v="HÁ UM MÊS"/>
    <s v="VIOLÊNCIA CONTRA CIDADÃO, FAMÍLIA OU COMUNIDADE"/>
    <s v="OUTROS"/>
    <x v="0"/>
    <x v="1"/>
    <s v="RS"/>
    <x v="0"/>
    <x v="0"/>
    <x v="1"/>
    <s v="NULL"/>
    <x v="0"/>
    <x v="0"/>
    <s v="NÃO INFORMADO"/>
    <s v="RS"/>
    <s v="AGNÓSTICO/ATEU/SEM RELIGIÃO"/>
    <x v="1"/>
    <s v="NULL"/>
    <x v="0"/>
    <x v="1"/>
  </r>
  <r>
    <s v="7B2DDF2578E2E06D59F59153D9E84F7A56E89D712070D6B9FD68A9F2BB998EEF"/>
    <x v="30"/>
    <s v="AMBIENTE VIRTUAL (NO ÂMBITO DA INTERNET)"/>
    <x v="1"/>
    <s v="HÁ UM MÊS"/>
    <s v="VIOLÊNCIA CONTRA CIDADÃO, FAMÍLIA OU COMUNIDADE"/>
    <s v="OUTROS"/>
    <x v="0"/>
    <x v="4"/>
    <s v="SP"/>
    <x v="0"/>
    <x v="0"/>
    <x v="0"/>
    <s v="NULL"/>
    <x v="0"/>
    <x v="3"/>
    <s v="NÃO"/>
    <s v="SP"/>
    <s v="AGNÓSTICO/ATEU/SEM RELIGIÃO"/>
    <x v="0"/>
    <s v="NULL"/>
    <x v="0"/>
    <x v="1"/>
  </r>
  <r>
    <s v="483E10C9BA6EAEB1D706B843E289F3C37473743FD01728FC1BDA957BA148E3E0"/>
    <x v="31"/>
    <s v="CASA ONDE RESIDE A VÍTIMA E O SUSPEITO"/>
    <x v="6"/>
    <s v="HÁ MAIS DE UM ANO"/>
    <s v="VIOLÊNCIA CONTRA CIDADÃO, FAMÍLIA OU COMUNIDADE"/>
    <s v="MÃE"/>
    <x v="0"/>
    <x v="7"/>
    <s v="GO"/>
    <x v="0"/>
    <x v="0"/>
    <x v="3"/>
    <s v="NULL"/>
    <x v="0"/>
    <x v="8"/>
    <s v="NÃO INFORMADO"/>
    <s v="GO"/>
    <s v="AGNÓSTICO/ATEU/SEM RELIGIÃO"/>
    <x v="3"/>
    <s v="NULL"/>
    <x v="1"/>
    <x v="1"/>
  </r>
  <r>
    <s v="38F01D9ABB7D821E7DE9066B641FA0CBC8948E4CFA7860B9EF0D9E978F1E38F6"/>
    <x v="31"/>
    <s v="CASA ONDE RESIDE A VÍTIMA E O SUSPEITO"/>
    <x v="6"/>
    <s v="HÁ MAIS DE UM ANO"/>
    <s v="VIOLÊNCIA CONTRA CIDADÃO, FAMÍLIA OU COMUNIDADE"/>
    <s v="MÃE"/>
    <x v="0"/>
    <x v="7"/>
    <s v="GO"/>
    <x v="0"/>
    <x v="0"/>
    <x v="3"/>
    <s v="NULL"/>
    <x v="2"/>
    <x v="2"/>
    <s v="NÃO INFORMADO"/>
    <s v="GO"/>
    <s v="AGNÓSTICO/ATEU/SEM RELIGIÃO"/>
    <x v="2"/>
    <s v="NULL"/>
    <x v="1"/>
    <x v="1"/>
  </r>
  <r>
    <s v="0CA5B74FF007947BAE6C00B9432C926EE619B21392069A63C3DA6B625CA66797"/>
    <x v="31"/>
    <s v="OUTROS ESTABELECIMENTOS"/>
    <x v="1"/>
    <s v="HÁ MAIS DE DEZ ANOS"/>
    <s v="VIOLÊNCIA CONTRA CIDADÃO, FAMÍLIA OU COMUNIDADE"/>
    <s v="LÍDER RELIGIOSO(A)"/>
    <x v="1"/>
    <x v="7"/>
    <s v="DENUNCIANTE NÃO SOUBE INFORMAR"/>
    <x v="0"/>
    <x v="0"/>
    <x v="1"/>
    <s v="NULL"/>
    <x v="2"/>
    <x v="0"/>
    <s v="NÃO INFORMADO"/>
    <s v="SP"/>
    <s v="AGNÓSTICO/ATEU/SEM RELIGIÃO"/>
    <x v="1"/>
    <s v="NULL"/>
    <x v="2"/>
    <x v="1"/>
  </r>
  <r>
    <s v="0CA5B74FF007947BAE6C00B9432C926EE619B21392069A63C3DA6B625CA66797"/>
    <x v="31"/>
    <s v="OUTROS ESTABELECIMENTOS"/>
    <x v="1"/>
    <s v="HÁ MAIS DE DEZ ANOS"/>
    <s v="VIOLÊNCIA CONTRA CIDADÃO, FAMÍLIA OU COMUNIDADE"/>
    <s v="LÍDER RELIGIOSO(A)"/>
    <x v="1"/>
    <x v="7"/>
    <s v="DENUNCIANTE NÃO SOUBE INFORMAR"/>
    <x v="0"/>
    <x v="0"/>
    <x v="1"/>
    <s v="NULL"/>
    <x v="2"/>
    <x v="0"/>
    <s v="NÃO INFORMADO"/>
    <s v="SP"/>
    <s v="AGNÓSTICO/ATEU/SEM RELIGIÃO"/>
    <x v="1"/>
    <s v="NULL"/>
    <x v="0"/>
    <x v="1"/>
  </r>
  <r>
    <s v="0CA5B74FF007947BAE6C00B9432C926EE619B21392069A63C3DA6B625CA66797"/>
    <x v="31"/>
    <s v="OUTROS ESTABELECIMENTOS"/>
    <x v="1"/>
    <s v="HÁ MAIS DE DEZ ANOS"/>
    <s v="VIOLÊNCIA CONTRA CIDADÃO, FAMÍLIA OU COMUNIDADE"/>
    <s v="LÍDER RELIGIOSO(A)"/>
    <x v="1"/>
    <x v="7"/>
    <s v="DENUNCIANTE NÃO SOUBE INFORMAR"/>
    <x v="0"/>
    <x v="0"/>
    <x v="1"/>
    <s v="NULL"/>
    <x v="2"/>
    <x v="0"/>
    <s v="NÃO INFORMADO"/>
    <s v="SP"/>
    <s v="AGNÓSTICO/ATEU/SEM RELIGIÃO"/>
    <x v="1"/>
    <s v="NULL"/>
    <x v="1"/>
    <x v="1"/>
  </r>
  <r>
    <s v="0A2F2724D9972E8A215873175ACF9BE5AFBD918FCE854C6AAEB886EDABB3ECB5"/>
    <x v="32"/>
    <s v="AMBIENTE VIRTUAL (NO ÂMBITO DA INTERNET)"/>
    <x v="12"/>
    <s v="HÁ UMA SEMANA"/>
    <s v="VIOLÊNCIA CONTRA CIDADÃO, FAMÍLIA OU COMUNIDADE"/>
    <s v="DESCONHECIDO(A)"/>
    <x v="1"/>
    <x v="0"/>
    <s v="DENUNCIANTE NÃO SOUBE INFORMAR"/>
    <x v="0"/>
    <x v="0"/>
    <x v="1"/>
    <s v="NULL"/>
    <x v="0"/>
    <x v="10"/>
    <s v="NÃO"/>
    <s v="GO"/>
    <s v="AGNÓSTICO/ATEU/SEM RELIGIÃO"/>
    <x v="0"/>
    <s v="NULL"/>
    <x v="0"/>
    <x v="1"/>
  </r>
  <r>
    <s v="BB2748D49103A5CF2539C529626B9564FE7F1301A7CDEB354DAF5B74E89532F3"/>
    <x v="33"/>
    <s v="CASA DA VÍTIMA"/>
    <x v="1"/>
    <s v="HÁ MAIS DE CINCO ANOS"/>
    <s v="VIOLÊNCIA CONTRA CIDADÃO, FAMÍLIA OU COMUNIDADE"/>
    <s v="VIZINHO(A)"/>
    <x v="0"/>
    <x v="6"/>
    <s v="SP"/>
    <x v="0"/>
    <x v="0"/>
    <x v="4"/>
    <s v="NULL"/>
    <x v="0"/>
    <x v="9"/>
    <s v="NÃO"/>
    <s v="SP"/>
    <s v="AGNÓSTICO/ATEU/SEM RELIGIÃO"/>
    <x v="0"/>
    <s v="NULL"/>
    <x v="0"/>
    <x v="1"/>
  </r>
  <r>
    <s v="B43AE7CE852D2055BBFD42D36A0BC3C80F56C277371F56BE3D8AB242834EFBDA"/>
    <x v="33"/>
    <s v="CASA DA VÍTIMA"/>
    <x v="2"/>
    <s v="NÃO SE APLICA"/>
    <s v="VIOLÊNCIA CONTRA CIDADÃO, FAMÍLIA OU COMUNIDADE"/>
    <s v="OUTROS"/>
    <x v="0"/>
    <x v="3"/>
    <s v="RJ"/>
    <x v="0"/>
    <x v="0"/>
    <x v="0"/>
    <s v="NULL"/>
    <x v="0"/>
    <x v="5"/>
    <s v="NÃO"/>
    <s v="SP"/>
    <s v="AGNÓSTICO/ATEU/SEM RELIGIÃO"/>
    <x v="1"/>
    <s v="NULL"/>
    <x v="1"/>
    <x v="1"/>
  </r>
  <r>
    <s v="4B3985A8929A7B30594EC2A2516CBD49CE1E47420A5001F8ACE1FA0B1853C71E"/>
    <x v="33"/>
    <s v="CASA DA VÍTIMA"/>
    <x v="2"/>
    <s v="NÃO SE APLICA"/>
    <s v="VIOLÊNCIA CONTRA CIDADÃO, FAMÍLIA OU COMUNIDADE"/>
    <s v="OUTROS"/>
    <x v="0"/>
    <x v="3"/>
    <s v="RJ"/>
    <x v="0"/>
    <x v="0"/>
    <x v="0"/>
    <s v="NULL"/>
    <x v="0"/>
    <x v="5"/>
    <s v="PREVENTIVA"/>
    <s v="DENUNCIANTE NÃO SOUBE INFORMAR"/>
    <s v="AGNÓSTICO/ATEU/SEM RELIGIÃO"/>
    <x v="2"/>
    <s v="NULL"/>
    <x v="1"/>
    <x v="1"/>
  </r>
  <r>
    <s v="4B3985A8929A7B30594EC2A2516CBD49CE1E47420A5001F8ACE1FA0B1853C71E"/>
    <x v="33"/>
    <s v="CASA DA VÍTIMA"/>
    <x v="2"/>
    <s v="NÃO SE APLICA"/>
    <s v="VIOLÊNCIA CONTRA CIDADÃO, FAMÍLIA OU COMUNIDADE"/>
    <s v="OUTROS"/>
    <x v="0"/>
    <x v="3"/>
    <s v="RJ"/>
    <x v="0"/>
    <x v="0"/>
    <x v="0"/>
    <s v="NULL"/>
    <x v="0"/>
    <x v="5"/>
    <s v="PREVENTIVA"/>
    <s v="DENUNCIANTE NÃO SOUBE INFORMAR"/>
    <s v="AGNÓSTICO/ATEU/SEM RELIGIÃO"/>
    <x v="2"/>
    <s v="NULL"/>
    <x v="2"/>
    <x v="1"/>
  </r>
  <r>
    <s v="0C8E208CE3BACB8B6947F2EE8D1829674B80003DF032729790C14111999D625A"/>
    <x v="33"/>
    <s v="OUTROS ESTABELECIMENTOS"/>
    <x v="2"/>
    <s v="NÃO SABE INFORMAR"/>
    <s v="VIOLÊNCIA CONTRA CIDADÃO, FAMÍLIA OU COMUNIDADE"/>
    <s v="DESCONHECIDO(A)"/>
    <x v="1"/>
    <x v="7"/>
    <s v="DENUNCIANTE NÃO SOUBE INFORMAR"/>
    <x v="0"/>
    <x v="1"/>
    <x v="1"/>
    <s v="NULL"/>
    <x v="0"/>
    <x v="5"/>
    <s v="NÃO"/>
    <s v="DENUNCIANTE NÃO SOUBE INFORMAR"/>
    <s v="AGNÓSTICO/ATEU/SEM RELIGIÃO"/>
    <x v="2"/>
    <s v="NULL"/>
    <x v="0"/>
    <x v="1"/>
  </r>
  <r>
    <s v="D9D11E21B2A9E0BA27DA416A12068AE949806D480E44B022A527514E23B6BA45"/>
    <x v="33"/>
    <s v="CASA ONDE RESIDE A VÍTIMA E O SUSPEITO"/>
    <x v="2"/>
    <s v="NÃO SE APLICA"/>
    <s v="VIOLÊNCIA CONTRA CIDADÃO, FAMÍLIA OU COMUNIDADE"/>
    <s v="NÃO SE APLICA"/>
    <x v="1"/>
    <x v="1"/>
    <s v="RJ"/>
    <x v="0"/>
    <x v="1"/>
    <x v="1"/>
    <s v="NULL"/>
    <x v="0"/>
    <x v="5"/>
    <s v="NÃO"/>
    <s v="RJ"/>
    <s v="AGNÓSTICO/ATEU/SEM RELIGIÃO"/>
    <x v="2"/>
    <s v="NULL"/>
    <x v="0"/>
    <x v="1"/>
  </r>
  <r>
    <s v="D9D11E21B2A9E0BA27DA416A12068AE949806D480E44B022A527514E23B6BA45"/>
    <x v="33"/>
    <s v="CASA ONDE RESIDE A VÍTIMA E O SUSPEITO"/>
    <x v="2"/>
    <s v="NÃO SE APLICA"/>
    <s v="VIOLÊNCIA CONTRA CIDADÃO, FAMÍLIA OU COMUNIDADE"/>
    <s v="NÃO SE APLICA"/>
    <x v="1"/>
    <x v="1"/>
    <s v="RJ"/>
    <x v="0"/>
    <x v="1"/>
    <x v="1"/>
    <s v="NULL"/>
    <x v="0"/>
    <x v="5"/>
    <s v="NÃO"/>
    <s v="RJ"/>
    <s v="AGNÓSTICO/ATEU/SEM RELIGIÃO"/>
    <x v="2"/>
    <s v="NULL"/>
    <x v="2"/>
    <x v="1"/>
  </r>
  <r>
    <s v="F8E432DBEE545E76B82860C8AD2C68E4A23989BEC85FA631B14DD0FD0F78C318"/>
    <x v="33"/>
    <s v="OUTROS ESTABELECIMENTOS"/>
    <x v="2"/>
    <s v="NÃO SABE INFORMAR"/>
    <s v="VIOLÊNCIA CONTRA CIDADÃO, FAMÍLIA OU COMUNIDADE"/>
    <s v="DESCONHECIDO(A)"/>
    <x v="0"/>
    <x v="7"/>
    <s v="RJ"/>
    <x v="0"/>
    <x v="0"/>
    <x v="2"/>
    <s v="NULL"/>
    <x v="0"/>
    <x v="10"/>
    <s v="NÃO INFORMADO"/>
    <s v="RJ"/>
    <s v="AGNÓSTICO/ATEU/SEM RELIGIÃO"/>
    <x v="1"/>
    <s v="NULL"/>
    <x v="2"/>
    <x v="1"/>
  </r>
  <r>
    <s v="F8E432DBEE545E76B82860C8AD2C68E4A23989BEC85FA631B14DD0FD0F78C318"/>
    <x v="33"/>
    <s v="OUTROS ESTABELECIMENTOS"/>
    <x v="2"/>
    <s v="NÃO SABE INFORMAR"/>
    <s v="VIOLÊNCIA CONTRA CIDADÃO, FAMÍLIA OU COMUNIDADE"/>
    <s v="DESCONHECIDO(A)"/>
    <x v="0"/>
    <x v="7"/>
    <s v="RJ"/>
    <x v="0"/>
    <x v="0"/>
    <x v="2"/>
    <s v="NULL"/>
    <x v="0"/>
    <x v="10"/>
    <s v="NÃO INFORMADO"/>
    <s v="RJ"/>
    <s v="AGNÓSTICO/ATEU/SEM RELIGIÃO"/>
    <x v="1"/>
    <s v="NULL"/>
    <x v="0"/>
    <x v="1"/>
  </r>
  <r>
    <s v="F8E432DBEE545E76B82860C8AD2C68E4A23989BEC85FA631B14DD0FD0F78C318"/>
    <x v="33"/>
    <s v="OUTROS ESTABELECIMENTOS"/>
    <x v="2"/>
    <s v="NÃO SABE INFORMAR"/>
    <s v="VIOLÊNCIA CONTRA CIDADÃO, FAMÍLIA OU COMUNIDADE"/>
    <s v="DESCONHECIDO(A)"/>
    <x v="0"/>
    <x v="7"/>
    <s v="RJ"/>
    <x v="0"/>
    <x v="0"/>
    <x v="2"/>
    <s v="NULL"/>
    <x v="0"/>
    <x v="10"/>
    <s v="NÃO INFORMADO"/>
    <s v="RJ"/>
    <s v="AGNÓSTICO/ATEU/SEM RELIGIÃO"/>
    <x v="1"/>
    <s v="NULL"/>
    <x v="1"/>
    <x v="1"/>
  </r>
  <r>
    <s v="EA33BD4192761DECE3578B7F4A4FFC84FB9DEFED2E2A969ED6088F11EF2DAFED"/>
    <x v="33"/>
    <s v="CASA DA VÍTIMA"/>
    <x v="2"/>
    <s v="NÃO SE APLICA"/>
    <s v="VIOLÊNCIA CONTRA CIDADÃO, FAMÍLIA OU COMUNIDADE"/>
    <s v="OUTROS"/>
    <x v="0"/>
    <x v="7"/>
    <s v="RJ"/>
    <x v="0"/>
    <x v="0"/>
    <x v="2"/>
    <s v="NULL"/>
    <x v="0"/>
    <x v="5"/>
    <s v="NÃO"/>
    <s v="SP"/>
    <s v="AGNÓSTICO/ATEU/SEM RELIGIÃO"/>
    <x v="2"/>
    <s v="NULL"/>
    <x v="0"/>
    <x v="1"/>
  </r>
  <r>
    <s v="DE3C2FB1FE395859BEF13197A765CCDCA474BBB30BA30519B152B3299E3DFA7D"/>
    <x v="33"/>
    <s v="OUTROS ESTABELECIMENTOS"/>
    <x v="2"/>
    <s v="NÃO SABE INFORMAR"/>
    <s v="VIOLÊNCIA CONTRA CIDADÃO, FAMÍLIA OU COMUNIDADE"/>
    <s v="OUTROS"/>
    <x v="0"/>
    <x v="7"/>
    <s v="RJ"/>
    <x v="0"/>
    <x v="0"/>
    <x v="0"/>
    <s v="NULL"/>
    <x v="0"/>
    <x v="5"/>
    <s v="NÃO"/>
    <s v="SP"/>
    <s v="AGNÓSTICO/ATEU/SEM RELIGIÃO"/>
    <x v="2"/>
    <s v="NULL"/>
    <x v="0"/>
    <x v="1"/>
  </r>
  <r>
    <s v="42698E772260035FD94CE456DF5030C59107469B4CADAB80AF1EC721241A7D40"/>
    <x v="33"/>
    <s v="OUTROS ESTABELECIMENTOS"/>
    <x v="2"/>
    <s v="NÃO SABE INFORMAR"/>
    <s v="VIOLÊNCIA CONTRA CIDADÃO, FAMÍLIA OU COMUNIDADE"/>
    <s v="NÃO SE APLICA"/>
    <x v="0"/>
    <x v="7"/>
    <s v="DENUNCIANTE NÃO SOUBE INFORMAR"/>
    <x v="0"/>
    <x v="0"/>
    <x v="1"/>
    <s v="NULL"/>
    <x v="1"/>
    <x v="0"/>
    <s v="NÃO INFORMADO"/>
    <s v="DENUNCIANTE NÃO SOUBE INFORMAR"/>
    <s v="AGNÓSTICO/ATEU/SEM RELIGIÃO"/>
    <x v="1"/>
    <s v="NULL"/>
    <x v="2"/>
    <x v="1"/>
  </r>
  <r>
    <s v="42698E772260035FD94CE456DF5030C59107469B4CADAB80AF1EC721241A7D40"/>
    <x v="33"/>
    <s v="OUTROS ESTABELECIMENTOS"/>
    <x v="2"/>
    <s v="NÃO SABE INFORMAR"/>
    <s v="VIOLÊNCIA CONTRA CIDADÃO, FAMÍLIA OU COMUNIDADE"/>
    <s v="NÃO SE APLICA"/>
    <x v="0"/>
    <x v="7"/>
    <s v="DENUNCIANTE NÃO SOUBE INFORMAR"/>
    <x v="0"/>
    <x v="0"/>
    <x v="1"/>
    <s v="NULL"/>
    <x v="1"/>
    <x v="0"/>
    <s v="NÃO INFORMADO"/>
    <s v="DENUNCIANTE NÃO SOUBE INFORMAR"/>
    <s v="AGNÓSTICO/ATEU/SEM RELIGIÃO"/>
    <x v="1"/>
    <s v="NULL"/>
    <x v="0"/>
    <x v="1"/>
  </r>
  <r>
    <s v="65284B9CCEB4E9221A469B7CF6CC35A244EBDC3A94371252F49D9EDBF11EF6AE"/>
    <x v="33"/>
    <s v="OUTROS ESTABELECIMENTOS"/>
    <x v="2"/>
    <s v="NÃO SABE INFORMAR"/>
    <s v="VIOLÊNCIA CONTRA CIDADÃO, FAMÍLIA OU COMUNIDADE"/>
    <s v="NÃO SABE INFORMAR"/>
    <x v="0"/>
    <x v="5"/>
    <s v="RJ"/>
    <x v="0"/>
    <x v="0"/>
    <x v="1"/>
    <s v="NULL"/>
    <x v="0"/>
    <x v="0"/>
    <s v="NÃO INFORMADO"/>
    <s v="DENUNCIANTE NÃO SOUBE INFORMAR"/>
    <s v="AGNÓSTICO/ATEU/SEM RELIGIÃO"/>
    <x v="2"/>
    <s v="NULL"/>
    <x v="0"/>
    <x v="1"/>
  </r>
  <r>
    <s v="2EC6172CE28864AE4F745FA60A7790BB470289FB0CF45D8535ED04F9ABF9B60C"/>
    <x v="33"/>
    <s v="OUTROS ESTABELECIMENTOS"/>
    <x v="2"/>
    <s v="NÃO SABE INFORMAR"/>
    <s v="VIOLÊNCIA CONTRA CIDADÃO, FAMÍLIA OU COMUNIDADE"/>
    <s v="NÃO SE APLICA"/>
    <x v="0"/>
    <x v="7"/>
    <s v="RJ"/>
    <x v="0"/>
    <x v="0"/>
    <x v="0"/>
    <s v="NULL"/>
    <x v="0"/>
    <x v="0"/>
    <s v="NÃO"/>
    <s v="DENUNCIANTE NÃO SOUBE INFORMAR"/>
    <s v="AGNÓSTICO/ATEU/SEM RELIGIÃO"/>
    <x v="1"/>
    <s v="NULL"/>
    <x v="1"/>
    <x v="1"/>
  </r>
  <r>
    <s v="2EC6172CE28864AE4F745FA60A7790BB470289FB0CF45D8535ED04F9ABF9B60C"/>
    <x v="33"/>
    <s v="OUTROS ESTABELECIMENTOS"/>
    <x v="2"/>
    <s v="NÃO SABE INFORMAR"/>
    <s v="VIOLÊNCIA CONTRA CIDADÃO, FAMÍLIA OU COMUNIDADE"/>
    <s v="NÃO SE APLICA"/>
    <x v="0"/>
    <x v="7"/>
    <s v="RJ"/>
    <x v="0"/>
    <x v="0"/>
    <x v="0"/>
    <s v="NULL"/>
    <x v="0"/>
    <x v="0"/>
    <s v="NÃO"/>
    <s v="DENUNCIANTE NÃO SOUBE INFORMAR"/>
    <s v="AGNÓSTICO/ATEU/SEM RELIGIÃO"/>
    <x v="1"/>
    <s v="NULL"/>
    <x v="2"/>
    <x v="1"/>
  </r>
  <r>
    <s v="2EC6172CE28864AE4F745FA60A7790BB470289FB0CF45D8535ED04F9ABF9B60C"/>
    <x v="33"/>
    <s v="OUTROS ESTABELECIMENTOS"/>
    <x v="2"/>
    <s v="NÃO SABE INFORMAR"/>
    <s v="VIOLÊNCIA CONTRA CIDADÃO, FAMÍLIA OU COMUNIDADE"/>
    <s v="NÃO SE APLICA"/>
    <x v="0"/>
    <x v="7"/>
    <s v="RJ"/>
    <x v="0"/>
    <x v="0"/>
    <x v="0"/>
    <s v="NULL"/>
    <x v="0"/>
    <x v="0"/>
    <s v="NÃO"/>
    <s v="DENUNCIANTE NÃO SOUBE INFORMAR"/>
    <s v="AGNÓSTICO/ATEU/SEM RELIGIÃO"/>
    <x v="1"/>
    <s v="NULL"/>
    <x v="0"/>
    <x v="1"/>
  </r>
  <r>
    <s v="0DBE474BA89C185DE39493EDBF4784B7FBEDFEA6DF02E351D2CBB03AE3B1E56C"/>
    <x v="33"/>
    <s v="OUTROS ESTABELECIMENTOS"/>
    <x v="2"/>
    <s v="NÃO SE APLICA"/>
    <s v="VIOLÊNCIA CONTRA CIDADÃO, FAMÍLIA OU COMUNIDADE"/>
    <s v="DESCONHECIDO(A)"/>
    <x v="0"/>
    <x v="7"/>
    <s v="RJ"/>
    <x v="0"/>
    <x v="0"/>
    <x v="1"/>
    <s v="NULL"/>
    <x v="0"/>
    <x v="5"/>
    <s v="NÃO"/>
    <s v="SP"/>
    <s v="AGNÓSTICO/ATEU/SEM RELIGIÃO"/>
    <x v="2"/>
    <s v="NULL"/>
    <x v="0"/>
    <x v="1"/>
  </r>
  <r>
    <s v="0DBE474BA89C185DE39493EDBF4784B7FBEDFEA6DF02E351D2CBB03AE3B1E56C"/>
    <x v="33"/>
    <s v="OUTROS ESTABELECIMENTOS"/>
    <x v="2"/>
    <s v="NÃO SE APLICA"/>
    <s v="VIOLÊNCIA CONTRA CIDADÃO, FAMÍLIA OU COMUNIDADE"/>
    <s v="DESCONHECIDO(A)"/>
    <x v="0"/>
    <x v="7"/>
    <s v="RJ"/>
    <x v="0"/>
    <x v="0"/>
    <x v="1"/>
    <s v="NULL"/>
    <x v="0"/>
    <x v="5"/>
    <s v="NÃO"/>
    <s v="SP"/>
    <s v="AGNÓSTICO/ATEU/SEM RELIGIÃO"/>
    <x v="2"/>
    <s v="NULL"/>
    <x v="2"/>
    <x v="1"/>
  </r>
  <r>
    <s v="029FB9DC49F809A65201C42B1EF051A4C131E2B3448B20B76DDA930ED0DF30C0"/>
    <x v="33"/>
    <s v="OUTROS ESTABELECIMENTOS"/>
    <x v="2"/>
    <s v="NÃO SE APLICA"/>
    <s v="VIOLÊNCIA CONTRA CIDADÃO, FAMÍLIA OU COMUNIDADE"/>
    <s v="DESCONHECIDO(A)"/>
    <x v="1"/>
    <x v="1"/>
    <s v="RJ"/>
    <x v="0"/>
    <x v="0"/>
    <x v="1"/>
    <s v="NULL"/>
    <x v="0"/>
    <x v="5"/>
    <s v="NÃO INFORMADO"/>
    <s v="RJ"/>
    <s v="AGNÓSTICO/ATEU/SEM RELIGIÃO"/>
    <x v="0"/>
    <s v="NULL"/>
    <x v="2"/>
    <x v="1"/>
  </r>
  <r>
    <s v="029FB9DC49F809A65201C42B1EF051A4C131E2B3448B20B76DDA930ED0DF30C0"/>
    <x v="33"/>
    <s v="OUTROS ESTABELECIMENTOS"/>
    <x v="2"/>
    <s v="NÃO SE APLICA"/>
    <s v="VIOLÊNCIA CONTRA CIDADÃO, FAMÍLIA OU COMUNIDADE"/>
    <s v="DESCONHECIDO(A)"/>
    <x v="1"/>
    <x v="1"/>
    <s v="RJ"/>
    <x v="0"/>
    <x v="0"/>
    <x v="1"/>
    <s v="NULL"/>
    <x v="0"/>
    <x v="5"/>
    <s v="NÃO INFORMADO"/>
    <s v="RJ"/>
    <s v="AGNÓSTICO/ATEU/SEM RELIGIÃO"/>
    <x v="0"/>
    <s v="NULL"/>
    <x v="1"/>
    <x v="1"/>
  </r>
  <r>
    <s v="029FB9DC49F809A65201C42B1EF051A4C131E2B3448B20B76DDA930ED0DF30C0"/>
    <x v="33"/>
    <s v="OUTROS ESTABELECIMENTOS"/>
    <x v="2"/>
    <s v="NÃO SE APLICA"/>
    <s v="VIOLÊNCIA CONTRA CIDADÃO, FAMÍLIA OU COMUNIDADE"/>
    <s v="DESCONHECIDO(A)"/>
    <x v="1"/>
    <x v="1"/>
    <s v="RJ"/>
    <x v="0"/>
    <x v="0"/>
    <x v="1"/>
    <s v="NULL"/>
    <x v="0"/>
    <x v="5"/>
    <s v="NÃO INFORMADO"/>
    <s v="RJ"/>
    <s v="AGNÓSTICO/ATEU/SEM RELIGIÃO"/>
    <x v="0"/>
    <s v="NULL"/>
    <x v="0"/>
    <x v="1"/>
  </r>
  <r>
    <s v="6DB33A1C4EDACCD9D340B56C6C5CE58DB17486C4101838046BE73A4498F91F74"/>
    <x v="33"/>
    <s v="OUTROS ESTABELECIMENTOS"/>
    <x v="2"/>
    <s v="NÃO SE APLICA"/>
    <s v="VIOLÊNCIA CONTRA CIDADÃO, FAMÍLIA OU COMUNIDADE"/>
    <s v="DESCONHECIDO(A)"/>
    <x v="0"/>
    <x v="7"/>
    <s v="RJ"/>
    <x v="0"/>
    <x v="1"/>
    <x v="0"/>
    <s v="NULL"/>
    <x v="0"/>
    <x v="0"/>
    <s v="NÃO"/>
    <s v="DENUNCIANTE NÃO SOUBE INFORMAR"/>
    <s v="AGNÓSTICO/ATEU/SEM RELIGIÃO"/>
    <x v="3"/>
    <s v="NULL"/>
    <x v="0"/>
    <x v="1"/>
  </r>
  <r>
    <s v="BE72F5047D5AAF27C2CFF38EBD6D960000C3F273B7D9A1824579745BA6138E28"/>
    <x v="33"/>
    <s v="OUTROS ESTABELECIMENTOS"/>
    <x v="2"/>
    <s v="NÃO SE APLICA"/>
    <s v="VIOLÊNCIA CONTRA CIDADÃO, FAMÍLIA OU COMUNIDADE"/>
    <s v="OUTROS"/>
    <x v="0"/>
    <x v="7"/>
    <s v="RJ"/>
    <x v="0"/>
    <x v="0"/>
    <x v="0"/>
    <s v="NULL"/>
    <x v="0"/>
    <x v="5"/>
    <s v="NÃO"/>
    <s v="DENUNCIANTE NÃO SOUBE INFORMAR"/>
    <s v="EVANGÉLICA"/>
    <x v="2"/>
    <s v="NULL"/>
    <x v="2"/>
    <x v="1"/>
  </r>
  <r>
    <s v="92A6B313C8DDAA4A091EDB6BC290A2438E8BD2A657A6F85213F6BEB33DED781C"/>
    <x v="33"/>
    <s v="OUTROS ESTABELECIMENTOS"/>
    <x v="2"/>
    <s v="NÃO SE APLICA"/>
    <s v="VIOLÊNCIA CONTRA CIDADÃO, FAMÍLIA OU COMUNIDADE"/>
    <s v="OUTROS"/>
    <x v="0"/>
    <x v="7"/>
    <s v="RJ"/>
    <x v="0"/>
    <x v="0"/>
    <x v="0"/>
    <s v="NULL"/>
    <x v="1"/>
    <x v="0"/>
    <s v="NÃO INFORMADO"/>
    <s v="RJ"/>
    <s v="AGNÓSTICO/ATEU/SEM RELIGIÃO"/>
    <x v="1"/>
    <s v="SEGURANÇA PÚBLICA, FORÇAS ARMADAS, DEFESA CIVIL, BOMBEIROS E ASSEMELHADOS ? FEDERAL"/>
    <x v="0"/>
    <x v="1"/>
  </r>
  <r>
    <s v="422E8FD6195EF5434B9D05172E1EA4A399DF54E7D07344434478B0AF85240A09"/>
    <x v="33"/>
    <s v="OUTROS ESTABELECIMENTOS"/>
    <x v="2"/>
    <s v="NÃO SE APLICA"/>
    <s v="VIOLÊNCIA CONTRA CIDADÃO, FAMÍLIA OU COMUNIDADE"/>
    <s v="OUTROS"/>
    <x v="0"/>
    <x v="7"/>
    <s v="RJ"/>
    <x v="0"/>
    <x v="0"/>
    <x v="0"/>
    <s v="NULL"/>
    <x v="0"/>
    <x v="5"/>
    <s v="NÃO"/>
    <s v="DENUNCIANTE NÃO SOUBE INFORMAR"/>
    <s v="AGNÓSTICO/ATEU/SEM RELIGIÃO"/>
    <x v="2"/>
    <s v="NULL"/>
    <x v="0"/>
    <x v="1"/>
  </r>
  <r>
    <s v="533A2A215BE1403DAB7E58A76088D2ABC4E03ABA7AEDBB19D9AE5BC8615FB5E7"/>
    <x v="33"/>
    <s v="CASA DA VÍTIMA"/>
    <x v="2"/>
    <s v="NÃO SE APLICA"/>
    <s v="VIOLÊNCIA CONTRA CIDADÃO, FAMÍLIA OU COMUNIDADE"/>
    <s v="DESCONHECIDO(A)"/>
    <x v="0"/>
    <x v="7"/>
    <s v="RJ"/>
    <x v="0"/>
    <x v="1"/>
    <x v="0"/>
    <s v="NULL"/>
    <x v="0"/>
    <x v="5"/>
    <s v="NÃO"/>
    <s v="DENUNCIANTE NÃO SOUBE INFORMAR"/>
    <s v="AGNÓSTICO/ATEU/SEM RELIGIÃO"/>
    <x v="2"/>
    <s v="NULL"/>
    <x v="0"/>
    <x v="1"/>
  </r>
  <r>
    <s v="02C9E2BD4321669162E47434B3E2CC73BF59F2AA298D573C3CFBCD2AA7708D1F"/>
    <x v="33"/>
    <s v="OUTROS ESTABELECIMENTOS"/>
    <x v="2"/>
    <s v="NÃO SE APLICA"/>
    <s v="VIOLÊNCIA CONTRA CIDADÃO, FAMÍLIA OU COMUNIDADE"/>
    <s v="DESCONHECIDO(A)"/>
    <x v="0"/>
    <x v="7"/>
    <s v="RJ"/>
    <x v="0"/>
    <x v="0"/>
    <x v="0"/>
    <s v="NULL"/>
    <x v="0"/>
    <x v="0"/>
    <s v="NÃO INFORMADO"/>
    <s v="DENUNCIANTE NÃO SOUBE INFORMAR"/>
    <s v="AGNÓSTICO/ATEU/SEM RELIGIÃO"/>
    <x v="1"/>
    <s v="NULL"/>
    <x v="0"/>
    <x v="1"/>
  </r>
  <r>
    <s v="F5E3F3A96BB80D666E7CEB308BEC8D7AC439E9A54B2A52261BDBCB86707FED50"/>
    <x v="33"/>
    <s v="CASA DA VÍTIMA"/>
    <x v="2"/>
    <s v="NÃO SABE INFORMAR"/>
    <s v="VIOLÊNCIA CONTRA CIDADÃO, FAMÍLIA OU COMUNIDADE"/>
    <s v="DESCONHECIDO(A)"/>
    <x v="0"/>
    <x v="7"/>
    <s v="RJ"/>
    <x v="0"/>
    <x v="0"/>
    <x v="0"/>
    <s v="NULL"/>
    <x v="0"/>
    <x v="5"/>
    <s v="NÃO INFORMADO"/>
    <s v="DENUNCIANTE NÃO SOUBE INFORMAR"/>
    <s v="AGNÓSTICO/ATEU/SEM RELIGIÃO"/>
    <x v="2"/>
    <s v="NULL"/>
    <x v="0"/>
    <x v="1"/>
  </r>
  <r>
    <s v="E6ECDE3357254CDA989318532494C0A360ABC77C4B9AD70E7CAF8CEEC7968874"/>
    <x v="34"/>
    <s v="CASA DA VÍTIMA"/>
    <x v="2"/>
    <s v="NÃO SE APLICA"/>
    <s v="VIOLÊNCIA CONTRA CIDADÃO, FAMÍLIA OU COMUNIDADE"/>
    <s v="DESCONHECIDO(A)"/>
    <x v="0"/>
    <x v="7"/>
    <s v="RJ"/>
    <x v="0"/>
    <x v="0"/>
    <x v="0"/>
    <s v="NULL"/>
    <x v="0"/>
    <x v="5"/>
    <s v="NÃO"/>
    <s v="DENUNCIANTE NÃO SOUBE INFORMAR"/>
    <s v="AGNÓSTICO/ATEU/SEM RELIGIÃO"/>
    <x v="2"/>
    <s v="NULL"/>
    <x v="2"/>
    <x v="1"/>
  </r>
  <r>
    <s v="51A5FA9C3FD0EA79DDB038C320D9B12614BCFCF0E034AD7FC8F93F4B88F87D73"/>
    <x v="34"/>
    <s v="CASA ONDE RESIDE A VÍTIMA E O SUSPEITO"/>
    <x v="2"/>
    <s v="NÃO SE APLICA"/>
    <s v="VIOLÊNCIA CONTRA CIDADÃO, FAMÍLIA OU COMUNIDADE"/>
    <s v="OUTROS"/>
    <x v="0"/>
    <x v="7"/>
    <s v="RJ"/>
    <x v="0"/>
    <x v="0"/>
    <x v="0"/>
    <s v="NULL"/>
    <x v="0"/>
    <x v="5"/>
    <s v="NÃO INFORMADO"/>
    <s v="RJ"/>
    <s v="AGNÓSTICO/ATEU/SEM RELIGIÃO"/>
    <x v="2"/>
    <s v="NULL"/>
    <x v="1"/>
    <x v="1"/>
  </r>
  <r>
    <s v="66E76C364AA965D6CC9F1B69490AF75711BA8EB210A1448A231E8A7ADBB91BBB"/>
    <x v="34"/>
    <s v="CASA ONDE RESIDE A VÍTIMA E O SUSPEITO"/>
    <x v="2"/>
    <s v="NÃO SE APLICA"/>
    <s v="VIOLÊNCIA CONTRA CIDADÃO, FAMÍLIA OU COMUNIDADE"/>
    <s v="OUTROS"/>
    <x v="0"/>
    <x v="7"/>
    <s v="RJ"/>
    <x v="0"/>
    <x v="0"/>
    <x v="0"/>
    <s v="NULL"/>
    <x v="0"/>
    <x v="5"/>
    <s v="NÃO INFORMADO"/>
    <s v="RJ"/>
    <s v="AGNÓSTICO/ATEU/SEM RELIGIÃO"/>
    <x v="2"/>
    <s v="NULL"/>
    <x v="0"/>
    <x v="1"/>
  </r>
  <r>
    <s v="66E76C364AA965D6CC9F1B69490AF75711BA8EB210A1448A231E8A7ADBB91BBB"/>
    <x v="34"/>
    <s v="CASA ONDE RESIDE A VÍTIMA E O SUSPEITO"/>
    <x v="2"/>
    <s v="NÃO SE APLICA"/>
    <s v="VIOLÊNCIA CONTRA CIDADÃO, FAMÍLIA OU COMUNIDADE"/>
    <s v="OUTROS"/>
    <x v="0"/>
    <x v="7"/>
    <s v="RJ"/>
    <x v="0"/>
    <x v="0"/>
    <x v="0"/>
    <s v="NULL"/>
    <x v="0"/>
    <x v="5"/>
    <s v="NÃO INFORMADO"/>
    <s v="RJ"/>
    <s v="AGNÓSTICO/ATEU/SEM RELIGIÃO"/>
    <x v="2"/>
    <s v="NULL"/>
    <x v="2"/>
    <x v="1"/>
  </r>
  <r>
    <s v="06607B13B7B7DAAF0FB538D18FF3B1A0F27BC08C5F017CFB731086A611C8EB35"/>
    <x v="34"/>
    <s v="OUTROS ESTABELECIMENTOS"/>
    <x v="15"/>
    <s v="HÁ UMA SEMANA"/>
    <s v="VIOLÊNCIA CONTRA CIDADÃO, FAMÍLIA OU COMUNIDADE"/>
    <s v="DESCONHECIDO(A)"/>
    <x v="1"/>
    <x v="4"/>
    <s v="PR"/>
    <x v="0"/>
    <x v="0"/>
    <x v="3"/>
    <s v="NULL"/>
    <x v="0"/>
    <x v="4"/>
    <s v="NÃO"/>
    <s v="PR"/>
    <s v="AGNÓSTICO/ATEU/SEM RELIGIÃO"/>
    <x v="1"/>
    <s v="NULL"/>
    <x v="0"/>
    <x v="1"/>
  </r>
  <r>
    <s v="8E6212A0681D3BE59B4550296455D4938DA280EF68F622A5AD6ECD92277CDF76"/>
    <x v="34"/>
    <s v="CASA DA VÍTIMA"/>
    <x v="2"/>
    <s v="NÃO SE APLICA"/>
    <s v="VIOLÊNCIA CONTRA CIDADÃO, FAMÍLIA OU COMUNIDADE"/>
    <s v="OUTROS"/>
    <x v="0"/>
    <x v="7"/>
    <s v="RJ"/>
    <x v="0"/>
    <x v="0"/>
    <x v="2"/>
    <s v="NULL"/>
    <x v="0"/>
    <x v="5"/>
    <s v="NÃO"/>
    <s v="SP"/>
    <s v="AGNÓSTICO/ATEU/SEM RELIGIÃO"/>
    <x v="2"/>
    <s v="NULL"/>
    <x v="2"/>
    <x v="1"/>
  </r>
  <r>
    <s v="8E6212A0681D3BE59B4550296455D4938DA280EF68F622A5AD6ECD92277CDF76"/>
    <x v="34"/>
    <s v="CASA DA VÍTIMA"/>
    <x v="2"/>
    <s v="NÃO SE APLICA"/>
    <s v="VIOLÊNCIA CONTRA CIDADÃO, FAMÍLIA OU COMUNIDADE"/>
    <s v="OUTROS"/>
    <x v="0"/>
    <x v="7"/>
    <s v="RJ"/>
    <x v="0"/>
    <x v="0"/>
    <x v="2"/>
    <s v="NULL"/>
    <x v="0"/>
    <x v="5"/>
    <s v="NÃO"/>
    <s v="SP"/>
    <s v="AGNÓSTICO/ATEU/SEM RELIGIÃO"/>
    <x v="2"/>
    <s v="NULL"/>
    <x v="0"/>
    <x v="1"/>
  </r>
  <r>
    <s v="4FB1163833975D5A43E1CD71B0261A19C615C5595C9260453D55A060621E3750"/>
    <x v="34"/>
    <s v="CASA DA VÍTIMA"/>
    <x v="2"/>
    <s v="NÃO SE APLICA"/>
    <s v="VIOLÊNCIA CONTRA CIDADÃO, FAMÍLIA OU COMUNIDADE"/>
    <s v="OUTROS"/>
    <x v="0"/>
    <x v="7"/>
    <s v="RJ"/>
    <x v="0"/>
    <x v="0"/>
    <x v="0"/>
    <s v="NULL"/>
    <x v="0"/>
    <x v="0"/>
    <s v="NÃO INFORMADO"/>
    <s v="DENUNCIANTE NÃO SOUBE INFORMAR"/>
    <s v="AGNÓSTICO/ATEU/SEM RELIGIÃO"/>
    <x v="2"/>
    <s v="NULL"/>
    <x v="1"/>
    <x v="1"/>
  </r>
  <r>
    <s v="CF788AC9CBB02F97E681C20B2A4984D158A7DE5EB6CD828C11942168F83A6C2C"/>
    <x v="34"/>
    <s v="CASA DA VÍTIMA"/>
    <x v="1"/>
    <s v="HÁ MAIS DE SEIS MESES"/>
    <s v="VIOLÊNCIA CONTRA CIDADÃO, FAMÍLIA OU COMUNIDADE"/>
    <s v="VIZINHO(A)"/>
    <x v="0"/>
    <x v="2"/>
    <s v="SP"/>
    <x v="0"/>
    <x v="0"/>
    <x v="2"/>
    <s v="NULL"/>
    <x v="2"/>
    <x v="1"/>
    <s v="NÃO INFORMADO"/>
    <s v="SP"/>
    <s v="AGNÓSTICO/ATEU/SEM RELIGIÃO"/>
    <x v="1"/>
    <s v="NULL"/>
    <x v="0"/>
    <x v="1"/>
  </r>
  <r>
    <s v="EA8E10CB34FE0DD90DFE62FEF3ED5BEDA2AB2B37576F617966492DAC344DC6A6"/>
    <x v="34"/>
    <s v="CASA DA VÍTIMA"/>
    <x v="2"/>
    <s v="HÁ MAIS DE SEIS MESES"/>
    <s v="VIOLÊNCIA CONTRA CIDADÃO, FAMÍLIA OU COMUNIDADE"/>
    <s v="DESCONHECIDO(A)"/>
    <x v="0"/>
    <x v="7"/>
    <s v="RJ"/>
    <x v="0"/>
    <x v="0"/>
    <x v="0"/>
    <s v="NULL"/>
    <x v="0"/>
    <x v="0"/>
    <s v="NÃO INFORMADO"/>
    <s v="DENUNCIANTE NÃO SOUBE INFORMAR"/>
    <s v="AGNÓSTICO/ATEU/SEM RELIGIÃO"/>
    <x v="2"/>
    <s v="NULL"/>
    <x v="2"/>
    <x v="1"/>
  </r>
  <r>
    <s v="195830964D46B5E16D407082B60C26CC75ACBE6A553DF3AA658340E1B9999761"/>
    <x v="34"/>
    <s v="CASA DA VÍTIMA"/>
    <x v="2"/>
    <s v="NÃO SE APLICA"/>
    <s v="VIOLÊNCIA CONTRA CIDADÃO, FAMÍLIA OU COMUNIDADE"/>
    <s v="DESCONHECIDO(A)"/>
    <x v="0"/>
    <x v="7"/>
    <s v="RJ"/>
    <x v="0"/>
    <x v="3"/>
    <x v="0"/>
    <s v="NULL"/>
    <x v="0"/>
    <x v="5"/>
    <s v="NÃO"/>
    <s v="SP"/>
    <s v="AGNÓSTICO/ATEU/SEM RELIGIÃO"/>
    <x v="2"/>
    <s v="NULL"/>
    <x v="0"/>
    <x v="1"/>
  </r>
  <r>
    <s v="A0E581F71F7FC4D818350E95DD4FB1F824E077160A126EBBA8D6CBDB295BA77C"/>
    <x v="35"/>
    <s v="OUTROS ESTABELECIMENTOS"/>
    <x v="2"/>
    <s v="NÃO SE APLICA"/>
    <s v="VIOLÊNCIA CONTRA CIDADÃO, FAMÍLIA OU COMUNIDADE"/>
    <s v="DESCONHECIDO(A)"/>
    <x v="0"/>
    <x v="7"/>
    <s v="DENUNCIANTE NÃO SOUBE INFORMAR"/>
    <x v="0"/>
    <x v="0"/>
    <x v="1"/>
    <s v="NULL"/>
    <x v="0"/>
    <x v="5"/>
    <s v="NÃO INFORMADO"/>
    <s v="DENUNCIANTE NÃO SOUBE INFORMAR"/>
    <s v="AGNÓSTICO/ATEU/SEM RELIGIÃO"/>
    <x v="0"/>
    <s v="NULL"/>
    <x v="0"/>
    <x v="1"/>
  </r>
  <r>
    <s v="A0E581F71F7FC4D818350E95DD4FB1F824E077160A126EBBA8D6CBDB295BA77C"/>
    <x v="35"/>
    <s v="OUTROS ESTABELECIMENTOS"/>
    <x v="2"/>
    <s v="NÃO SE APLICA"/>
    <s v="VIOLÊNCIA CONTRA CIDADÃO, FAMÍLIA OU COMUNIDADE"/>
    <s v="DESCONHECIDO(A)"/>
    <x v="0"/>
    <x v="7"/>
    <s v="DENUNCIANTE NÃO SOUBE INFORMAR"/>
    <x v="0"/>
    <x v="0"/>
    <x v="1"/>
    <s v="NULL"/>
    <x v="0"/>
    <x v="5"/>
    <s v="NÃO INFORMADO"/>
    <s v="DENUNCIANTE NÃO SOUBE INFORMAR"/>
    <s v="AGNÓSTICO/ATEU/SEM RELIGIÃO"/>
    <x v="0"/>
    <s v="NULL"/>
    <x v="2"/>
    <x v="1"/>
  </r>
  <r>
    <s v="F8EDA3E4D99B241C6BBD62CE880785BF1723E3F52ACE1141F4B7309B00F1C44D"/>
    <x v="35"/>
    <s v="CASA DA VÍTIMA"/>
    <x v="2"/>
    <s v="HÁ UMA SEMANA"/>
    <s v="VIOLÊNCIA CONTRA CIDADÃO, FAMÍLIA OU COMUNIDADE"/>
    <s v="DESCONHECIDO(A)"/>
    <x v="0"/>
    <x v="7"/>
    <s v="RJ"/>
    <x v="0"/>
    <x v="6"/>
    <x v="0"/>
    <s v="NULL"/>
    <x v="0"/>
    <x v="0"/>
    <s v="NÃO"/>
    <s v="DENUNCIANTE NÃO SOUBE INFORMAR"/>
    <s v="AGNÓSTICO/ATEU/SEM RELIGIÃO"/>
    <x v="2"/>
    <s v="NULL"/>
    <x v="2"/>
    <x v="1"/>
  </r>
  <r>
    <s v="CBB7AF5CD83326518AF0AF254CD375884460D356574EAB1491FF5226A7D89235"/>
    <x v="35"/>
    <s v="OUTROS ESTABELECIMENTOS"/>
    <x v="2"/>
    <s v="HÁ MAIS DE UM ANO"/>
    <s v="VIOLÊNCIA CONTRA CIDADÃO, FAMÍLIA OU COMUNIDADE"/>
    <s v="EMPREGADOR/PATRÃO (HIERARQUICAMENTE SUPERIOR)"/>
    <x v="1"/>
    <x v="4"/>
    <s v="RJ"/>
    <x v="0"/>
    <x v="0"/>
    <x v="1"/>
    <s v="NULL"/>
    <x v="1"/>
    <x v="0"/>
    <s v="NÃO INFORMADO"/>
    <s v="RJ"/>
    <s v="AGNÓSTICO/ATEU/SEM RELIGIÃO"/>
    <x v="1"/>
    <s v="PODER EXECUTIVO EM GERAL - MUNICIPAL"/>
    <x v="0"/>
    <x v="1"/>
  </r>
  <r>
    <s v="985894242FA3E17C83A8D571A9D41D8B30E19FD77AAAD266A50C4543C7001866"/>
    <x v="36"/>
    <s v="CASA ONDE RESIDE A VÍTIMA E O SUSPEITO"/>
    <x v="3"/>
    <s v="HÁ MAIS DE SEIS MESES"/>
    <s v="VIOLÊNCIA CONTRA CIDADÃO, FAMÍLIA OU COMUNIDADE"/>
    <s v="VIZINHO(A)"/>
    <x v="0"/>
    <x v="2"/>
    <s v="BA"/>
    <x v="0"/>
    <x v="0"/>
    <x v="3"/>
    <s v="NULL"/>
    <x v="2"/>
    <x v="1"/>
    <s v="NÃO"/>
    <s v="BA"/>
    <s v="AGNÓSTICO/ATEU/SEM RELIGIÃO"/>
    <x v="3"/>
    <s v="NULL"/>
    <x v="0"/>
    <x v="1"/>
  </r>
  <r>
    <s v="0C4CFD6525E8D3201A7E9219818AEB3B85A4470036E08154EC033559B9ABACD7"/>
    <x v="37"/>
    <s v="CASA DA VÍTIMA"/>
    <x v="1"/>
    <s v="HÁ UM MÊS"/>
    <s v="VIOLÊNCIA CONTRA CIDADÃO, FAMÍLIA OU COMUNIDADE"/>
    <s v="VIZINHO(A)"/>
    <x v="0"/>
    <x v="3"/>
    <s v="SP"/>
    <x v="8"/>
    <x v="3"/>
    <x v="2"/>
    <s v="NULL"/>
    <x v="1"/>
    <x v="0"/>
    <s v="NÃO INFORMADO"/>
    <s v="SP"/>
    <s v="AGNÓSTICO/ATEU/SEM RELIGIÃO"/>
    <x v="1"/>
    <s v="NULL"/>
    <x v="1"/>
    <x v="1"/>
  </r>
  <r>
    <s v="0C4CFD6525E8D3201A7E9219818AEB3B85A4470036E08154EC033559B9ABACD7"/>
    <x v="37"/>
    <s v="CASA DA VÍTIMA"/>
    <x v="1"/>
    <s v="HÁ UM MÊS"/>
    <s v="VIOLÊNCIA CONTRA CIDADÃO, FAMÍLIA OU COMUNIDADE"/>
    <s v="VIZINHO(A)"/>
    <x v="0"/>
    <x v="3"/>
    <s v="SP"/>
    <x v="8"/>
    <x v="3"/>
    <x v="2"/>
    <s v="NULL"/>
    <x v="1"/>
    <x v="0"/>
    <s v="NÃO INFORMADO"/>
    <s v="SP"/>
    <s v="AGNÓSTICO/ATEU/SEM RELIGIÃO"/>
    <x v="1"/>
    <s v="NULL"/>
    <x v="0"/>
    <x v="1"/>
  </r>
  <r>
    <s v="0C4CFD6525E8D3201A7E9219818AEB3B85A4470036E08154EC033559B9ABACD7"/>
    <x v="37"/>
    <s v="CASA DA VÍTIMA"/>
    <x v="1"/>
    <s v="HÁ UM MÊS"/>
    <s v="VIOLÊNCIA CONTRA CIDADÃO, FAMÍLIA OU COMUNIDADE"/>
    <s v="VIZINHO(A)"/>
    <x v="0"/>
    <x v="3"/>
    <s v="SP"/>
    <x v="8"/>
    <x v="3"/>
    <x v="2"/>
    <s v="NULL"/>
    <x v="1"/>
    <x v="0"/>
    <s v="NÃO INFORMADO"/>
    <s v="SP"/>
    <s v="AGNÓSTICO/ATEU/SEM RELIGIÃO"/>
    <x v="1"/>
    <s v="NULL"/>
    <x v="2"/>
    <x v="1"/>
  </r>
  <r>
    <s v="61F8EAAE6D7B54F305B5BB759320EF01179D287BD4E434C4EDA0A2CA33864C04"/>
    <x v="37"/>
    <s v="OUTROS ESTABELECIMENTOS"/>
    <x v="1"/>
    <s v="HÁ MAIS DE UM ANO"/>
    <s v="VIOLÊNCIA CONTRA CIDADÃO, FAMÍLIA OU COMUNIDADE"/>
    <s v="FUNCIONÁRIO, VOLUNTÁRIO OU PRESTADOR DE SERVIÇO PARA INSTITUIÇÃO"/>
    <x v="1"/>
    <x v="1"/>
    <s v="DENUNCIANTE NÃO SOUBE INFORMAR"/>
    <x v="0"/>
    <x v="0"/>
    <x v="1"/>
    <s v="NULL"/>
    <x v="1"/>
    <x v="0"/>
    <s v="NÃO INFORMADO"/>
    <s v="SP"/>
    <s v="AGNÓSTICO/ATEU/SEM RELIGIÃO"/>
    <x v="1"/>
    <s v="PODER EXECUTIVO EM GERAL - MUNICIPAL"/>
    <x v="0"/>
    <x v="1"/>
  </r>
  <r>
    <s v="8DF9768B4503E7E8B904F4E910BBC76D8B07A749C1B0BB0A6A310ACE0FA0A484"/>
    <x v="38"/>
    <s v="OUTROS ESTABELECIMENTOS"/>
    <x v="4"/>
    <s v="HÁ MAIS DE SEIS MESES"/>
    <s v="VIOLÊNCIA CONTRA CIDADÃO, FAMÍLIA OU COMUNIDADE"/>
    <s v="DIRETOR(A) DE UNIDADE PRISIONAL"/>
    <x v="1"/>
    <x v="3"/>
    <s v="MG"/>
    <x v="0"/>
    <x v="0"/>
    <x v="1"/>
    <s v="NULL"/>
    <x v="1"/>
    <x v="0"/>
    <s v="NÃO INFORMADO"/>
    <s v="MG"/>
    <s v="AGNÓSTICO/ATEU/SEM RELIGIÃO"/>
    <x v="1"/>
    <s v="SEGURANÇA PÚBLICA, FORÇAS ARMADAS, DEFESA CIVIL, BOMBEIROS E ASSEMELHADOS ? FEDERAL"/>
    <x v="0"/>
    <x v="1"/>
  </r>
  <r>
    <s v="8DF9768B4503E7E8B904F4E910BBC76D8B07A749C1B0BB0A6A310ACE0FA0A484"/>
    <x v="38"/>
    <s v="OUTROS ESTABELECIMENTOS"/>
    <x v="4"/>
    <s v="HÁ MAIS DE SEIS MESES"/>
    <s v="VIOLÊNCIA CONTRA CIDADÃO, FAMÍLIA OU COMUNIDADE"/>
    <s v="DIRETOR(A) DE UNIDADE PRISIONAL"/>
    <x v="1"/>
    <x v="3"/>
    <s v="MG"/>
    <x v="0"/>
    <x v="0"/>
    <x v="1"/>
    <s v="NULL"/>
    <x v="1"/>
    <x v="0"/>
    <s v="NÃO INFORMADO"/>
    <s v="MG"/>
    <s v="AGNÓSTICO/ATEU/SEM RELIGIÃO"/>
    <x v="1"/>
    <s v="SEGURANÇA PÚBLICA, FORÇAS ARMADAS, DEFESA CIVIL, BOMBEIROS E ASSEMELHADOS ? FEDERAL"/>
    <x v="2"/>
    <x v="1"/>
  </r>
  <r>
    <s v="BBFC7F195084E9514356A891B512E9E5AA27DF82027A99D66BAD9EE52CADDAD0"/>
    <x v="38"/>
    <s v="OUTROS ESTABELECIMENTOS"/>
    <x v="4"/>
    <s v="HÁ MAIS DE SEIS MESES"/>
    <s v="VIOLÊNCIA CONTRA CIDADÃO, FAMÍLIA OU COMUNIDADE"/>
    <s v="DIRETOR(A) DE UNIDADE PRISIONAL"/>
    <x v="1"/>
    <x v="3"/>
    <s v="MG"/>
    <x v="0"/>
    <x v="0"/>
    <x v="1"/>
    <s v="NULL"/>
    <x v="1"/>
    <x v="0"/>
    <s v="NÃO INFORMADO"/>
    <s v="MG"/>
    <s v="AGNÓSTICO/ATEU/SEM RELIGIÃO"/>
    <x v="1"/>
    <s v="SEGURANÇA PÚBLICA, FORÇAS ARMADAS, DEFESA CIVIL, BOMBEIROS E ASSEMELHADOS ? FEDERAL"/>
    <x v="0"/>
    <x v="1"/>
  </r>
  <r>
    <s v="BBFC7F195084E9514356A891B512E9E5AA27DF82027A99D66BAD9EE52CADDAD0"/>
    <x v="38"/>
    <s v="OUTROS ESTABELECIMENTOS"/>
    <x v="4"/>
    <s v="HÁ MAIS DE SEIS MESES"/>
    <s v="VIOLÊNCIA CONTRA CIDADÃO, FAMÍLIA OU COMUNIDADE"/>
    <s v="DIRETOR(A) DE UNIDADE PRISIONAL"/>
    <x v="1"/>
    <x v="3"/>
    <s v="MG"/>
    <x v="0"/>
    <x v="0"/>
    <x v="1"/>
    <s v="NULL"/>
    <x v="1"/>
    <x v="0"/>
    <s v="NÃO INFORMADO"/>
    <s v="MG"/>
    <s v="AGNÓSTICO/ATEU/SEM RELIGIÃO"/>
    <x v="1"/>
    <s v="SEGURANÇA PÚBLICA, FORÇAS ARMADAS, DEFESA CIVIL, BOMBEIROS E ASSEMELHADOS ? FEDERAL"/>
    <x v="2"/>
    <x v="1"/>
  </r>
  <r>
    <s v="0126F941054061E6861E1D48A830D9EB1A6061F67694DA7FA9518E7143B7366F"/>
    <x v="39"/>
    <s v="OUTROS ESTABELECIMENTOS"/>
    <x v="12"/>
    <s v="NÃO SE APLICA"/>
    <s v="VIOLÊNCIA CONTRA CIDADÃO, FAMÍLIA OU COMUNIDADE"/>
    <s v="OUTROS"/>
    <x v="1"/>
    <x v="8"/>
    <s v="DENUNCIANTE NÃO SOUBE INFORMAR"/>
    <x v="0"/>
    <x v="0"/>
    <x v="1"/>
    <s v="NULL"/>
    <x v="0"/>
    <x v="9"/>
    <s v="NÃO"/>
    <s v="RS"/>
    <s v="AGNÓSTICO/ATEU/SEM RELIGIÃO"/>
    <x v="0"/>
    <s v="NULL"/>
    <x v="0"/>
    <x v="1"/>
  </r>
  <r>
    <s v="F2FF58AE50474EA5A42E3AF93AA3AFBC3B7F813B143CCA6B430E39A8E2ABFD83"/>
    <x v="40"/>
    <s v="CASA ONDE RESIDE A VÍTIMA E O SUSPEITO"/>
    <x v="14"/>
    <s v="NÃO SABE INFORMAR"/>
    <s v="VIOLÊNCIA CONTRA CIDADÃO, FAMÍLIA OU COMUNIDADE"/>
    <s v="PAI"/>
    <x v="0"/>
    <x v="1"/>
    <s v="RN"/>
    <x v="0"/>
    <x v="0"/>
    <x v="1"/>
    <s v="NULL"/>
    <x v="2"/>
    <x v="0"/>
    <s v="NÃO INFORMADO"/>
    <s v="RN"/>
    <s v="AGNÓSTICO/ATEU/SEM RELIGIÃO"/>
    <x v="1"/>
    <s v="NULL"/>
    <x v="1"/>
    <x v="1"/>
  </r>
  <r>
    <s v="3FD8EE7CC933C09F907A50F342FD1772EA2E8D4BFB037B11F0D4407DD61454B1"/>
    <x v="40"/>
    <s v="CASA ONDE RESIDE A VÍTIMA E O SUSPEITO"/>
    <x v="14"/>
    <s v="NÃO SABE INFORMAR"/>
    <s v="VIOLÊNCIA CONTRA CIDADÃO, FAMÍLIA OU COMUNIDADE"/>
    <s v="PAI"/>
    <x v="0"/>
    <x v="1"/>
    <s v="RN"/>
    <x v="0"/>
    <x v="0"/>
    <x v="1"/>
    <s v="NULL"/>
    <x v="0"/>
    <x v="0"/>
    <s v="NÃO INFORMADO"/>
    <s v="RN"/>
    <s v="AGNÓSTICO/ATEU/SEM RELIGIÃO"/>
    <x v="1"/>
    <s v="NULL"/>
    <x v="1"/>
    <x v="1"/>
  </r>
  <r>
    <s v="EF1FCC3C5A0690D951D88DE44498A3BD2C3794B4FF20CC558E2380B2A487339C"/>
    <x v="41"/>
    <s v="OUTROS ESTABELECIMENTOS"/>
    <x v="1"/>
    <s v="HÁ MAIS DE DEZ ANOS"/>
    <s v="VIOLÊNCIA CONTRA CIDADÃO, FAMÍLIA OU COMUNIDADE"/>
    <s v="VIZINHO(A)"/>
    <x v="0"/>
    <x v="0"/>
    <s v="SP"/>
    <x v="3"/>
    <x v="0"/>
    <x v="3"/>
    <s v="NULL"/>
    <x v="2"/>
    <x v="1"/>
    <s v="NÃO"/>
    <s v="SP"/>
    <s v="AGNÓSTICO/ATEU/SEM RELIGIÃO"/>
    <x v="0"/>
    <s v="NULL"/>
    <x v="0"/>
    <x v="1"/>
  </r>
  <r>
    <s v="2EDBB888F3C539F4F787637E912D942BDF6BBFFE8032F7BC8AC70795C2C1905F"/>
    <x v="42"/>
    <s v="CASA DA VÍTIMA"/>
    <x v="1"/>
    <s v="NÃO SE APLICA"/>
    <s v="VIOLÊNCIA CONTRA CIDADÃO, FAMÍLIA OU COMUNIDADE"/>
    <s v="OUTROS"/>
    <x v="0"/>
    <x v="0"/>
    <s v="SP"/>
    <x v="0"/>
    <x v="0"/>
    <x v="1"/>
    <s v="NULL"/>
    <x v="0"/>
    <x v="5"/>
    <s v="NÃO"/>
    <s v="SP"/>
    <s v="AGNÓSTICO/ATEU/SEM RELIGIÃO"/>
    <x v="0"/>
    <s v="NULL"/>
    <x v="0"/>
    <x v="1"/>
  </r>
  <r>
    <s v="240A22F9B2BFC99EC74AB5972D22DFB2B90104269A39E7CAA3A0804CD6AAF698"/>
    <x v="43"/>
    <s v="CASA ONDE RESIDE A VÍTIMA E O SUSPEITO"/>
    <x v="1"/>
    <s v="HÁ MAIS DE UM ANO"/>
    <s v="VIOLÊNCIA CONTRA CIDADÃO, FAMÍLIA OU COMUNIDADE"/>
    <s v="IRMÃO(Ã)"/>
    <x v="0"/>
    <x v="2"/>
    <s v="SP"/>
    <x v="0"/>
    <x v="0"/>
    <x v="3"/>
    <s v="NULL"/>
    <x v="2"/>
    <x v="4"/>
    <s v="NÃO"/>
    <s v="SP"/>
    <s v="AGNÓSTICO/ATEU/SEM RELIGIÃO"/>
    <x v="0"/>
    <s v="NULL"/>
    <x v="0"/>
    <x v="1"/>
  </r>
  <r>
    <s v="240A22F9B2BFC99EC74AB5972D22DFB2B90104269A39E7CAA3A0804CD6AAF698"/>
    <x v="43"/>
    <s v="CASA ONDE RESIDE A VÍTIMA E O SUSPEITO"/>
    <x v="1"/>
    <s v="HÁ MAIS DE UM ANO"/>
    <s v="VIOLÊNCIA CONTRA CIDADÃO, FAMÍLIA OU COMUNIDADE"/>
    <s v="IRMÃO(Ã)"/>
    <x v="0"/>
    <x v="2"/>
    <s v="SP"/>
    <x v="0"/>
    <x v="0"/>
    <x v="3"/>
    <s v="NULL"/>
    <x v="2"/>
    <x v="4"/>
    <s v="NÃO"/>
    <s v="SP"/>
    <s v="AGNÓSTICO/ATEU/SEM RELIGIÃO"/>
    <x v="0"/>
    <s v="NULL"/>
    <x v="2"/>
    <x v="1"/>
  </r>
  <r>
    <s v="1CD82498EF97F0A695CC12AC840DEADABE3C3B05B92EA94172CEBA68EA541BD6"/>
    <x v="43"/>
    <s v="CASA DA VÍTIMA"/>
    <x v="1"/>
    <s v="HÁ MAIS DE UM ANO"/>
    <s v="VIOLÊNCIA CONTRA CIDADÃO, FAMÍLIA OU COMUNIDADE"/>
    <s v="OUTROS"/>
    <x v="0"/>
    <x v="0"/>
    <s v="SP"/>
    <x v="0"/>
    <x v="0"/>
    <x v="0"/>
    <s v="NULL"/>
    <x v="1"/>
    <x v="0"/>
    <s v="NÃO INFORMADO"/>
    <s v="DENUNCIANTE NÃO SOUBE INFORMAR"/>
    <s v="AGNÓSTICO/ATEU/SEM RELIGIÃO"/>
    <x v="1"/>
    <s v="INFORMAÇÃO E COMUNICAÇÃO"/>
    <x v="0"/>
    <x v="1"/>
  </r>
  <r>
    <s v="395FA2B6ECD2C4191EAFD876B5230DB942848FEB3C2C3AAFC91D7FA6A52AB7AC"/>
    <x v="43"/>
    <s v="OUTROS ESTABELECIMENTOS"/>
    <x v="12"/>
    <s v="NÃO SE APLICA"/>
    <s v="VIOLÊNCIA CONTRA CIDADÃO, FAMÍLIA OU COMUNIDADE"/>
    <s v="EX-COMPANHEIRO(A)"/>
    <x v="0"/>
    <x v="5"/>
    <s v="RJ"/>
    <x v="0"/>
    <x v="0"/>
    <x v="2"/>
    <s v="NULL"/>
    <x v="2"/>
    <x v="4"/>
    <s v="NÃO"/>
    <s v="RJ"/>
    <s v="UMBANDA E CANDOMBLÉ"/>
    <x v="0"/>
    <s v="NULL"/>
    <x v="0"/>
    <x v="1"/>
  </r>
  <r>
    <s v="A5B01C0849AB6C2DAA991AC30A183B12C1EA2739902F3FB4119B606432A174D0"/>
    <x v="43"/>
    <s v="OUTROS ESTABELECIMENTOS"/>
    <x v="12"/>
    <s v="NÃO SE APLICA"/>
    <s v="VIOLÊNCIA CONTRA CIDADÃO, FAMÍLIA OU COMUNIDADE"/>
    <s v="EX-COMPANHEIRO(A)"/>
    <x v="0"/>
    <x v="5"/>
    <s v="RJ"/>
    <x v="0"/>
    <x v="0"/>
    <x v="2"/>
    <s v="NULL"/>
    <x v="0"/>
    <x v="1"/>
    <s v="NÃO"/>
    <s v="RJ"/>
    <s v="UMBANDA E CANDOMBLÉ"/>
    <x v="2"/>
    <s v="NULL"/>
    <x v="0"/>
    <x v="1"/>
  </r>
  <r>
    <s v="54B6C06BAE1FA139F168059D0EE90AC9D8AA592632258F288721E66B0B86343E"/>
    <x v="43"/>
    <s v="OUTROS ESTABELECIMENTOS"/>
    <x v="12"/>
    <s v="NÃO SE APLICA"/>
    <s v="VIOLÊNCIA CONTRA CIDADÃO, FAMÍLIA OU COMUNIDADE"/>
    <s v="EX-COMPANHEIRO(A)"/>
    <x v="0"/>
    <x v="5"/>
    <s v="RJ"/>
    <x v="0"/>
    <x v="0"/>
    <x v="2"/>
    <s v="NULL"/>
    <x v="2"/>
    <x v="11"/>
    <s v="NÃO"/>
    <s v="RJ"/>
    <s v="UMBANDA E CANDOMBLÉ"/>
    <x v="0"/>
    <s v="NULL"/>
    <x v="0"/>
    <x v="1"/>
  </r>
  <r>
    <s v="FA9203E3C875FBFE27DA9E27387FE52E4DE43A5C982521C71087006F8FA3D035"/>
    <x v="43"/>
    <s v="OUTROS ESTABELECIMENTOS"/>
    <x v="12"/>
    <s v="NÃO SE APLICA"/>
    <s v="VIOLÊNCIA CONTRA CIDADÃO, FAMÍLIA OU COMUNIDADE"/>
    <s v="OUTROS"/>
    <x v="1"/>
    <x v="1"/>
    <s v="DENUNCIANTE NÃO SOUBE INFORMAR"/>
    <x v="0"/>
    <x v="0"/>
    <x v="1"/>
    <s v="NULL"/>
    <x v="2"/>
    <x v="11"/>
    <s v="NÃO"/>
    <s v="RJ"/>
    <s v="UMBANDA E CANDOMBLÉ"/>
    <x v="0"/>
    <s v="NULL"/>
    <x v="1"/>
    <x v="1"/>
  </r>
  <r>
    <s v="0CE2EBCF75C8E7F2F360F72FC9EC4B7CF4E5CC0BED4E941DC14A678C21C72380"/>
    <x v="43"/>
    <s v="OUTROS ESTABELECIMENTOS"/>
    <x v="12"/>
    <s v="NÃO SE APLICA"/>
    <s v="VIOLÊNCIA CONTRA CIDADÃO, FAMÍLIA OU COMUNIDADE"/>
    <s v="OUTROS"/>
    <x v="1"/>
    <x v="1"/>
    <s v="DENUNCIANTE NÃO SOUBE INFORMAR"/>
    <x v="0"/>
    <x v="0"/>
    <x v="1"/>
    <s v="NULL"/>
    <x v="2"/>
    <x v="4"/>
    <s v="NÃO"/>
    <s v="RJ"/>
    <s v="UMBANDA E CANDOMBLÉ"/>
    <x v="0"/>
    <s v="NULL"/>
    <x v="1"/>
    <x v="1"/>
  </r>
  <r>
    <s v="5E138158F2668C1613CB4A1C39B40E1C731265F51DBF7A6E0E460E418E619B2C"/>
    <x v="43"/>
    <s v="OUTROS ESTABELECIMENTOS"/>
    <x v="12"/>
    <s v="NÃO SE APLICA"/>
    <s v="VIOLÊNCIA CONTRA CIDADÃO, FAMÍLIA OU COMUNIDADE"/>
    <s v="OUTROS"/>
    <x v="1"/>
    <x v="1"/>
    <s v="DENUNCIANTE NÃO SOUBE INFORMAR"/>
    <x v="0"/>
    <x v="0"/>
    <x v="1"/>
    <s v="NULL"/>
    <x v="0"/>
    <x v="1"/>
    <s v="NÃO"/>
    <s v="RJ"/>
    <s v="UMBANDA E CANDOMBLÉ"/>
    <x v="2"/>
    <s v="NULL"/>
    <x v="1"/>
    <x v="1"/>
  </r>
  <r>
    <s v="524308446D9EEEFF6955831EFB1DA3C791F8A5FC30419FEF9B399CF15E0BCA0A"/>
    <x v="44"/>
    <s v="CASA DA VÍTIMA"/>
    <x v="1"/>
    <s v="HÁ MAIS DE UM ANO"/>
    <s v="VIOLÊNCIA CONTRA CIDADÃO, FAMÍLIA OU COMUNIDADE"/>
    <s v="VIZINHO(A)"/>
    <x v="1"/>
    <x v="8"/>
    <s v="SP"/>
    <x v="0"/>
    <x v="0"/>
    <x v="1"/>
    <s v="NULL"/>
    <x v="2"/>
    <x v="4"/>
    <s v="NÃO"/>
    <s v="SP"/>
    <s v="AGNÓSTICO/ATEU/SEM RELIGIÃO"/>
    <x v="0"/>
    <s v="NULL"/>
    <x v="2"/>
    <x v="1"/>
  </r>
  <r>
    <s v="F72CAECA1B995C06A77D5ED315C1964CBCC1CA65FA95C904B295D8BBDFD15C31"/>
    <x v="44"/>
    <s v="CASA ONDE RESIDE A VÍTIMA E O SUSPEITO"/>
    <x v="1"/>
    <s v="HÁ MAIS DE UM ANO"/>
    <s v="VIOLÊNCIA CONTRA CIDADÃO, FAMÍLIA OU COMUNIDADE"/>
    <s v="VIZINHO(A)"/>
    <x v="0"/>
    <x v="3"/>
    <s v="SP"/>
    <x v="3"/>
    <x v="0"/>
    <x v="3"/>
    <s v="NULL"/>
    <x v="2"/>
    <x v="0"/>
    <s v="NÃO INFORMADO"/>
    <s v="SP"/>
    <s v="AGNÓSTICO/ATEU/SEM RELIGIÃO"/>
    <x v="1"/>
    <s v="NULL"/>
    <x v="0"/>
    <x v="1"/>
  </r>
  <r>
    <s v="CB8660FE819889E018BBF3B59E40382170ADDB4E90385104C3B14ADB3BCCF76E"/>
    <x v="44"/>
    <s v="CASA ONDE RESIDE A VÍTIMA E O SUSPEITO"/>
    <x v="1"/>
    <s v="HÁ MAIS DE UM ANO"/>
    <s v="VIOLÊNCIA CONTRA CIDADÃO, FAMÍLIA OU COMUNIDADE"/>
    <s v="VIZINHO(A)"/>
    <x v="0"/>
    <x v="3"/>
    <s v="SP"/>
    <x v="3"/>
    <x v="0"/>
    <x v="3"/>
    <s v="NULL"/>
    <x v="0"/>
    <x v="0"/>
    <s v="NÃO INFORMADO"/>
    <s v="SP"/>
    <s v="AGNÓSTICO/ATEU/SEM RELIGIÃO"/>
    <x v="1"/>
    <s v="NULL"/>
    <x v="0"/>
    <x v="1"/>
  </r>
  <r>
    <s v="9F594E281BA42FDF2D681E7B47CE4488593F5B1C145A53989F5CC074A6FBFDAC"/>
    <x v="44"/>
    <s v="OUTROS ESTABELECIMENTOS"/>
    <x v="1"/>
    <s v="HÁ MAIS DE UM ANO"/>
    <s v="VIOLÊNCIA CONTRA CIDADÃO, FAMÍLIA OU COMUNIDADE"/>
    <s v="DESCONHECIDO(A)"/>
    <x v="0"/>
    <x v="7"/>
    <s v="SP"/>
    <x v="0"/>
    <x v="0"/>
    <x v="2"/>
    <s v="NULL"/>
    <x v="1"/>
    <x v="0"/>
    <s v="NÃO"/>
    <s v="DENUNCIANTE NÃO SOUBE INFORMAR"/>
    <s v="OUTRAS RELIGIOSIDADES"/>
    <x v="1"/>
    <s v="NULL"/>
    <x v="0"/>
    <x v="1"/>
  </r>
  <r>
    <s v="1DD5F13E583AF404842019A9AF5D6F271288260214A41620E1BD8FD4AB1F87E3"/>
    <x v="44"/>
    <s v="OUTROS ESTABELECIMENTOS"/>
    <x v="9"/>
    <s v="HÁ MAIS DE DEZ ANOS"/>
    <s v="VIOLÊNCIA CONTRA CIDADÃO, FAMÍLIA OU COMUNIDADE"/>
    <s v="LÍDER RELIGIOSO(A)"/>
    <x v="1"/>
    <x v="1"/>
    <s v="SC"/>
    <x v="0"/>
    <x v="0"/>
    <x v="0"/>
    <s v="NULL"/>
    <x v="1"/>
    <x v="0"/>
    <s v="NÃO INFORMADO"/>
    <s v="SC"/>
    <s v="AGNÓSTICO/ATEU/SEM RELIGIÃO"/>
    <x v="1"/>
    <s v="OUTRAS ATIVIDADES DE SERVIÇOS"/>
    <x v="1"/>
    <x v="1"/>
  </r>
  <r>
    <s v="7049DF9CB2F33CA240F16F1ABB3119BFD73A3C25518F274FB83AB5256B3B6D2D"/>
    <x v="44"/>
    <s v="OUTROS ESTABELECIMENTOS"/>
    <x v="9"/>
    <s v="HÁ MAIS DE DEZ ANOS"/>
    <s v="VIOLÊNCIA CONTRA CIDADÃO, FAMÍLIA OU COMUNIDADE"/>
    <s v="LÍDER RELIGIOSO(A)"/>
    <x v="1"/>
    <x v="1"/>
    <s v="SC"/>
    <x v="0"/>
    <x v="0"/>
    <x v="0"/>
    <s v="NULL"/>
    <x v="1"/>
    <x v="0"/>
    <s v="NÃO INFORMADO"/>
    <s v="SC"/>
    <s v="AGNÓSTICO/ATEU/SEM RELIGIÃO"/>
    <x v="1"/>
    <s v="OUTRAS ATIVIDADES DE SERVIÇOS"/>
    <x v="1"/>
    <x v="1"/>
  </r>
  <r>
    <s v="E1F1977977FDF210729877671CCFE35B659B65CBEF8F311851D59018399788E0"/>
    <x v="44"/>
    <s v="LOCAL DE TRABALHO DA VÍTIMA"/>
    <x v="3"/>
    <s v="NÃO SE APLICA"/>
    <s v="VIOLÊNCIA CONTRA CIDADÃO, FAMÍLIA OU COMUNIDADE"/>
    <s v="COLEGA DE TRABALHO (MESMO NÍVEL HIERÁRQUICO)"/>
    <x v="0"/>
    <x v="7"/>
    <s v="BA"/>
    <x v="8"/>
    <x v="3"/>
    <x v="0"/>
    <s v="NULL"/>
    <x v="0"/>
    <x v="7"/>
    <s v="NÃO"/>
    <s v="BA"/>
    <s v="EVANGÉLICA"/>
    <x v="2"/>
    <s v="NULL"/>
    <x v="0"/>
    <x v="1"/>
  </r>
  <r>
    <s v="6483270F2287F63C17169F847F396A65F5C424FEBE6DD2970E802FA2C56F959D"/>
    <x v="45"/>
    <s v="OUTROS ESTABELECIMENTOS"/>
    <x v="10"/>
    <s v="NÃO SABE INFORMAR"/>
    <s v="VIOLÊNCIA CONTRA CIDADÃO, FAMÍLIA OU COMUNIDADE"/>
    <s v="NÃO SABE INFORMAR"/>
    <x v="1"/>
    <x v="7"/>
    <s v="CE"/>
    <x v="0"/>
    <x v="0"/>
    <x v="1"/>
    <s v="NULL"/>
    <x v="1"/>
    <x v="0"/>
    <s v="NÃO INFORMADO"/>
    <s v="CE"/>
    <s v="AGNÓSTICO/ATEU/SEM RELIGIÃO"/>
    <x v="1"/>
    <s v="NULL"/>
    <x v="0"/>
    <x v="1"/>
  </r>
  <r>
    <s v="2532A0040425909368947BD858B91C04B44447308AEDA0391282E788325BBBC2"/>
    <x v="46"/>
    <s v="OUTROS ESTABELECIMENTOS"/>
    <x v="4"/>
    <s v="HÁ MAIS DE UM ANO"/>
    <s v="VIOLÊNCIA CONTRA CIDADÃO, FAMÍLIA OU COMUNIDADE"/>
    <s v="DESCONHECIDO(A)"/>
    <x v="0"/>
    <x v="3"/>
    <s v="MG"/>
    <x v="0"/>
    <x v="0"/>
    <x v="2"/>
    <s v="NULL"/>
    <x v="2"/>
    <x v="8"/>
    <s v="NÃO"/>
    <s v="MG"/>
    <s v="EVANGÉLICA"/>
    <x v="0"/>
    <s v="NULL"/>
    <x v="2"/>
    <x v="2"/>
  </r>
  <r>
    <s v="D2FCDAEF2487A65B609808DCB91704D9657C43C93E06567497AE1D8C0CBE0323"/>
    <x v="46"/>
    <s v="CASA DA VÍTIMA"/>
    <x v="4"/>
    <s v="HÁ MAIS DE UM ANO"/>
    <s v="VIOLÊNCIA CONTRA CIDADÃO, FAMÍLIA OU COMUNIDADE"/>
    <s v="DESCONHECIDO(A)"/>
    <x v="0"/>
    <x v="2"/>
    <s v="MG"/>
    <x v="0"/>
    <x v="0"/>
    <x v="0"/>
    <s v="NULL"/>
    <x v="2"/>
    <x v="8"/>
    <s v="NÃO"/>
    <s v="MG"/>
    <s v="EVANGÉLICA"/>
    <x v="0"/>
    <s v="NULL"/>
    <x v="2"/>
    <x v="2"/>
  </r>
  <r>
    <s v="D2FCDAEF2487A65B609808DCB91704D9657C43C93E06567497AE1D8C0CBE0323"/>
    <x v="46"/>
    <s v="CASA DA VÍTIMA"/>
    <x v="4"/>
    <s v="HÁ MAIS DE UM ANO"/>
    <s v="VIOLÊNCIA CONTRA CIDADÃO, FAMÍLIA OU COMUNIDADE"/>
    <s v="DESCONHECIDO(A)"/>
    <x v="0"/>
    <x v="2"/>
    <s v="MG"/>
    <x v="0"/>
    <x v="0"/>
    <x v="0"/>
    <s v="NULL"/>
    <x v="2"/>
    <x v="8"/>
    <s v="NÃO"/>
    <s v="MG"/>
    <s v="EVANGÉLICA"/>
    <x v="0"/>
    <s v="NULL"/>
    <x v="0"/>
    <x v="2"/>
  </r>
  <r>
    <s v="2532A0040425909368947BD858B91C04B44447308AEDA0391282E788325BBBC2"/>
    <x v="46"/>
    <s v="OUTROS ESTABELECIMENTOS"/>
    <x v="4"/>
    <s v="HÁ MAIS DE UM ANO"/>
    <s v="VIOLÊNCIA CONTRA CIDADÃO, FAMÍLIA OU COMUNIDADE"/>
    <s v="DESCONHECIDO(A)"/>
    <x v="0"/>
    <x v="3"/>
    <s v="MG"/>
    <x v="0"/>
    <x v="0"/>
    <x v="2"/>
    <s v="NULL"/>
    <x v="2"/>
    <x v="8"/>
    <s v="NÃO"/>
    <s v="MG"/>
    <s v="EVANGÉLICA"/>
    <x v="0"/>
    <s v="NULL"/>
    <x v="0"/>
    <x v="2"/>
  </r>
  <r>
    <s v="3F4EE8A03C3DF93ABA13DB17D57D00ECFCAE1F2F3798590FE8D65FC614D231DA"/>
    <x v="47"/>
    <s v="AMBIENTE VIRTUAL (NO ÂMBITO DA INTERNET)"/>
    <x v="4"/>
    <s v="NÃO SABE INFORMAR"/>
    <s v="VIOLÊNCIA CONTRA CIDADÃO, FAMÍLIA OU COMUNIDADE"/>
    <s v="DESCONHECIDO(A)"/>
    <x v="0"/>
    <x v="7"/>
    <s v="SP"/>
    <x v="0"/>
    <x v="0"/>
    <x v="2"/>
    <s v="NULL"/>
    <x v="0"/>
    <x v="0"/>
    <s v="NÃO"/>
    <s v="MG"/>
    <s v="AGNÓSTICO/ATEU/SEM RELIGIÃO"/>
    <x v="1"/>
    <s v="NULL"/>
    <x v="0"/>
    <x v="2"/>
  </r>
  <r>
    <s v="3F4EE8A03C3DF93ABA13DB17D57D00ECFCAE1F2F3798590FE8D65FC614D231DA"/>
    <x v="47"/>
    <s v="AMBIENTE VIRTUAL (NO ÂMBITO DA INTERNET)"/>
    <x v="4"/>
    <s v="NÃO SABE INFORMAR"/>
    <s v="VIOLÊNCIA CONTRA CIDADÃO, FAMÍLIA OU COMUNIDADE"/>
    <s v="DESCONHECIDO(A)"/>
    <x v="0"/>
    <x v="7"/>
    <s v="SP"/>
    <x v="0"/>
    <x v="0"/>
    <x v="2"/>
    <s v="NULL"/>
    <x v="0"/>
    <x v="0"/>
    <s v="NÃO"/>
    <s v="MG"/>
    <s v="AGNÓSTICO/ATEU/SEM RELIGIÃO"/>
    <x v="1"/>
    <s v="NULL"/>
    <x v="2"/>
    <x v="2"/>
  </r>
  <r>
    <s v="3F4EE8A03C3DF93ABA13DB17D57D00ECFCAE1F2F3798590FE8D65FC614D231DA"/>
    <x v="47"/>
    <s v="AMBIENTE VIRTUAL (NO ÂMBITO DA INTERNET)"/>
    <x v="4"/>
    <s v="NÃO SABE INFORMAR"/>
    <s v="VIOLÊNCIA CONTRA CIDADÃO, FAMÍLIA OU COMUNIDADE"/>
    <s v="DESCONHECIDO(A)"/>
    <x v="0"/>
    <x v="7"/>
    <s v="SP"/>
    <x v="0"/>
    <x v="0"/>
    <x v="2"/>
    <s v="NULL"/>
    <x v="0"/>
    <x v="0"/>
    <s v="NÃO"/>
    <s v="MG"/>
    <s v="AGNÓSTICO/ATEU/SEM RELIGIÃO"/>
    <x v="1"/>
    <s v="NULL"/>
    <x v="1"/>
    <x v="2"/>
  </r>
  <r>
    <s v="09ADC5ED6766F1DFA0A419747F03B44FD937EFCDE818380B9C48AB9D1D823072"/>
    <x v="47"/>
    <s v="AMBIENTE VIRTUAL (NO ÂMBITO DA INTERNET)"/>
    <x v="3"/>
    <s v="NÃO SABE INFORMAR"/>
    <s v="VIOLÊNCIA CONTRA CIDADÃO, FAMÍLIA OU COMUNIDADE"/>
    <s v="VIZINHO(A)"/>
    <x v="1"/>
    <x v="8"/>
    <s v="BA"/>
    <x v="0"/>
    <x v="0"/>
    <x v="1"/>
    <s v="NULL"/>
    <x v="2"/>
    <x v="1"/>
    <s v="NÃO"/>
    <s v="BA"/>
    <s v="AGNÓSTICO/ATEU/SEM RELIGIÃO"/>
    <x v="2"/>
    <s v="NULL"/>
    <x v="0"/>
    <x v="2"/>
  </r>
  <r>
    <s v="57907616D06756BAD3158BE1EFFF5955270B068B6CECCE1335BEF272C33C7B30"/>
    <x v="47"/>
    <s v="ESTABELECIMENTO DE SAÚDE"/>
    <x v="1"/>
    <s v="HÁ MAIS DE UM ANO"/>
    <s v="VIOLÊNCIA CONTRA CIDADÃO, FAMÍLIA OU COMUNIDADE"/>
    <s v="PROFISSIONAL DE SAÚDE"/>
    <x v="0"/>
    <x v="3"/>
    <s v="SP"/>
    <x v="3"/>
    <x v="0"/>
    <x v="2"/>
    <s v="NULL"/>
    <x v="2"/>
    <x v="6"/>
    <s v="NÃO"/>
    <s v="SP"/>
    <s v="AGNÓSTICO/ATEU/SEM RELIGIÃO"/>
    <x v="0"/>
    <s v="NULL"/>
    <x v="0"/>
    <x v="2"/>
  </r>
  <r>
    <s v="0DAD0550BD6240203277D1007568907B6B9B3EA002BE8181213CF2E98741B627"/>
    <x v="48"/>
    <s v="OUTROS ESTABELECIMENTOS"/>
    <x v="2"/>
    <s v="NÃO SE APLICA"/>
    <s v="VIOLÊNCIA CONTRA CIDADÃO, FAMÍLIA OU COMUNIDADE"/>
    <s v="DESCONHECIDO(A)"/>
    <x v="1"/>
    <x v="1"/>
    <s v="DENUNCIANTE NÃO SOUBE INFORMAR"/>
    <x v="0"/>
    <x v="0"/>
    <x v="1"/>
    <s v="NULL"/>
    <x v="2"/>
    <x v="1"/>
    <s v="NÃO"/>
    <s v="DENUNCIANTE NÃO SOUBE INFORMAR"/>
    <s v="AGNÓSTICO/ATEU/SEM RELIGIÃO"/>
    <x v="0"/>
    <s v="NULL"/>
    <x v="2"/>
    <x v="2"/>
  </r>
  <r>
    <s v="0DAD0550BD6240203277D1007568907B6B9B3EA002BE8181213CF2E98741B627"/>
    <x v="48"/>
    <s v="OUTROS ESTABELECIMENTOS"/>
    <x v="2"/>
    <s v="NÃO SE APLICA"/>
    <s v="VIOLÊNCIA CONTRA CIDADÃO, FAMÍLIA OU COMUNIDADE"/>
    <s v="DESCONHECIDO(A)"/>
    <x v="1"/>
    <x v="1"/>
    <s v="DENUNCIANTE NÃO SOUBE INFORMAR"/>
    <x v="0"/>
    <x v="0"/>
    <x v="1"/>
    <s v="NULL"/>
    <x v="2"/>
    <x v="1"/>
    <s v="NÃO"/>
    <s v="DENUNCIANTE NÃO SOUBE INFORMAR"/>
    <s v="AGNÓSTICO/ATEU/SEM RELIGIÃO"/>
    <x v="0"/>
    <s v="NULL"/>
    <x v="0"/>
    <x v="2"/>
  </r>
  <r>
    <s v="9719F7A4F26446E29192A17BC03D5C843741ED739C3237E12AF500108CAD0140"/>
    <x v="48"/>
    <s v="LOCAL DE TRABALHO DO AGRESSOR"/>
    <x v="17"/>
    <s v="NÃO SE APLICA"/>
    <s v="VIOLÊNCIA CONTRA CIDADÃO, FAMÍLIA OU COMUNIDADE"/>
    <s v="PROFESSOR(A)"/>
    <x v="0"/>
    <x v="5"/>
    <s v="PA"/>
    <x v="0"/>
    <x v="4"/>
    <x v="2"/>
    <s v="NULL"/>
    <x v="1"/>
    <x v="0"/>
    <s v="NÃO INFORMADO"/>
    <s v="PA"/>
    <s v="AGNÓSTICO/ATEU/SEM RELIGIÃO"/>
    <x v="1"/>
    <s v="MINISTÉRIO PÚBLICO - ESTADUAL"/>
    <x v="0"/>
    <x v="2"/>
  </r>
  <r>
    <s v="B71C9F96CB473A2F34E05DE0BAEED21DA57955DA142F7F4F24A5817FA8277092"/>
    <x v="48"/>
    <s v="CASA DO SUSPEITO"/>
    <x v="16"/>
    <s v="NÃO SE APLICA"/>
    <s v="VIOLÊNCIA CONTRA CIDADÃO, FAMÍLIA OU COMUNIDADE"/>
    <s v="EX-COMPANHEIRO(A)"/>
    <x v="0"/>
    <x v="3"/>
    <s v="RS"/>
    <x v="0"/>
    <x v="3"/>
    <x v="2"/>
    <s v="NULL"/>
    <x v="2"/>
    <x v="7"/>
    <s v="NÃO"/>
    <s v="RS"/>
    <s v="AGNÓSTICO/ATEU/SEM RELIGIÃO"/>
    <x v="0"/>
    <s v="NULL"/>
    <x v="1"/>
    <x v="2"/>
  </r>
  <r>
    <s v="B71C9F96CB473A2F34E05DE0BAEED21DA57955DA142F7F4F24A5817FA8277092"/>
    <x v="48"/>
    <s v="CASA DO SUSPEITO"/>
    <x v="16"/>
    <s v="NÃO SE APLICA"/>
    <s v="VIOLÊNCIA CONTRA CIDADÃO, FAMÍLIA OU COMUNIDADE"/>
    <s v="EX-COMPANHEIRO(A)"/>
    <x v="0"/>
    <x v="3"/>
    <s v="RS"/>
    <x v="0"/>
    <x v="3"/>
    <x v="2"/>
    <s v="NULL"/>
    <x v="2"/>
    <x v="7"/>
    <s v="NÃO"/>
    <s v="RS"/>
    <s v="AGNÓSTICO/ATEU/SEM RELIGIÃO"/>
    <x v="0"/>
    <s v="NULL"/>
    <x v="2"/>
    <x v="2"/>
  </r>
  <r>
    <s v="708F5F521E07F83F7FB57B18DADCE64395CB0DCA92F6C7155C574A2A7406D142"/>
    <x v="49"/>
    <s v="OUTROS ESTABELECIMENTOS"/>
    <x v="10"/>
    <s v="NÃO SE APLICA"/>
    <s v="VIOLÊNCIA CONTRA CIDADÃO, FAMÍLIA OU COMUNIDADE"/>
    <s v="OUTROS"/>
    <x v="1"/>
    <x v="7"/>
    <s v="CE"/>
    <x v="0"/>
    <x v="1"/>
    <x v="1"/>
    <s v="NULL"/>
    <x v="0"/>
    <x v="0"/>
    <s v="NÃO"/>
    <s v="CE"/>
    <s v="AGNÓSTICO/ATEU/SEM RELIGIÃO"/>
    <x v="0"/>
    <s v="NULL"/>
    <x v="0"/>
    <x v="2"/>
  </r>
  <r>
    <s v="708F5F521E07F83F7FB57B18DADCE64395CB0DCA92F6C7155C574A2A7406D142"/>
    <x v="49"/>
    <s v="OUTROS ESTABELECIMENTOS"/>
    <x v="10"/>
    <s v="NÃO SE APLICA"/>
    <s v="VIOLÊNCIA CONTRA CIDADÃO, FAMÍLIA OU COMUNIDADE"/>
    <s v="OUTROS"/>
    <x v="1"/>
    <x v="7"/>
    <s v="CE"/>
    <x v="0"/>
    <x v="1"/>
    <x v="1"/>
    <s v="NULL"/>
    <x v="0"/>
    <x v="0"/>
    <s v="NÃO"/>
    <s v="CE"/>
    <s v="AGNÓSTICO/ATEU/SEM RELIGIÃO"/>
    <x v="0"/>
    <s v="NULL"/>
    <x v="2"/>
    <x v="2"/>
  </r>
  <r>
    <s v="061FDFB2BFB4A52DDC90E0388F4E6022E42E880970B3F953A1C1556754840ED4"/>
    <x v="49"/>
    <s v="AMBIENTE VIRTUAL (NO ÂMBITO DA INTERNET)"/>
    <x v="3"/>
    <s v="HÁ MAIS DE UM ANO"/>
    <s v="VIOLÊNCIA CONTRA CIDADÃO, FAMÍLIA OU COMUNIDADE"/>
    <s v="DESCONHECIDO(A)"/>
    <x v="0"/>
    <x v="0"/>
    <s v="BA"/>
    <x v="2"/>
    <x v="0"/>
    <x v="0"/>
    <s v="NULL"/>
    <x v="1"/>
    <x v="0"/>
    <s v="NÃO INFORMADO"/>
    <s v="DENUNCIANTE NÃO SOUBE INFORMAR"/>
    <s v="AGNÓSTICO/ATEU/SEM RELIGIÃO"/>
    <x v="1"/>
    <s v="NULL"/>
    <x v="2"/>
    <x v="2"/>
  </r>
  <r>
    <s v="061FDFB2BFB4A52DDC90E0388F4E6022E42E880970B3F953A1C1556754840ED4"/>
    <x v="49"/>
    <s v="AMBIENTE VIRTUAL (NO ÂMBITO DA INTERNET)"/>
    <x v="3"/>
    <s v="HÁ MAIS DE UM ANO"/>
    <s v="VIOLÊNCIA CONTRA CIDADÃO, FAMÍLIA OU COMUNIDADE"/>
    <s v="DESCONHECIDO(A)"/>
    <x v="0"/>
    <x v="0"/>
    <s v="BA"/>
    <x v="2"/>
    <x v="0"/>
    <x v="0"/>
    <s v="NULL"/>
    <x v="1"/>
    <x v="0"/>
    <s v="NÃO INFORMADO"/>
    <s v="DENUNCIANTE NÃO SOUBE INFORMAR"/>
    <s v="AGNÓSTICO/ATEU/SEM RELIGIÃO"/>
    <x v="1"/>
    <s v="NULL"/>
    <x v="0"/>
    <x v="2"/>
  </r>
  <r>
    <s v="061FDFB2BFB4A52DDC90E0388F4E6022E42E880970B3F953A1C1556754840ED4"/>
    <x v="49"/>
    <s v="AMBIENTE VIRTUAL (NO ÂMBITO DA INTERNET)"/>
    <x v="3"/>
    <s v="HÁ MAIS DE UM ANO"/>
    <s v="VIOLÊNCIA CONTRA CIDADÃO, FAMÍLIA OU COMUNIDADE"/>
    <s v="DESCONHECIDO(A)"/>
    <x v="0"/>
    <x v="0"/>
    <s v="BA"/>
    <x v="2"/>
    <x v="0"/>
    <x v="0"/>
    <s v="NULL"/>
    <x v="1"/>
    <x v="0"/>
    <s v="NÃO INFORMADO"/>
    <s v="DENUNCIANTE NÃO SOUBE INFORMAR"/>
    <s v="AGNÓSTICO/ATEU/SEM RELIGIÃO"/>
    <x v="1"/>
    <s v="NULL"/>
    <x v="1"/>
    <x v="2"/>
  </r>
  <r>
    <s v="E5AD05FAB139B0261CBDAFAEB50F486CC4EBBCDE34ADFB6E60640C57CBB7D4E1"/>
    <x v="50"/>
    <s v="OUTROS ESTABELECIMENTOS"/>
    <x v="0"/>
    <s v="HÁ UM MÊS"/>
    <s v="VIOLÊNCIA CONTRA CIDADÃO, FAMÍLIA OU COMUNIDADE"/>
    <s v="OUTROS"/>
    <x v="0"/>
    <x v="7"/>
    <s v="DF"/>
    <x v="0"/>
    <x v="0"/>
    <x v="1"/>
    <s v="NULL"/>
    <x v="2"/>
    <x v="0"/>
    <s v="NÃO INFORMADO"/>
    <s v="DF"/>
    <s v="AGNÓSTICO/ATEU/SEM RELIGIÃO"/>
    <x v="1"/>
    <s v="NULL"/>
    <x v="0"/>
    <x v="2"/>
  </r>
  <r>
    <s v="325681F84C2418E05D8F3BFA09754BAA91287E02C3C8DCC45863C38DCC96F689"/>
    <x v="50"/>
    <s v="AMBIENTE VIRTUAL (NO ÂMBITO DA INTERNET)"/>
    <x v="2"/>
    <s v="HÁ UM MÊS"/>
    <s v="VIOLÊNCIA CONTRA CIDADÃO, FAMÍLIA OU COMUNIDADE"/>
    <s v="OUTROS"/>
    <x v="0"/>
    <x v="2"/>
    <s v="RJ"/>
    <x v="0"/>
    <x v="0"/>
    <x v="3"/>
    <s v="NULL"/>
    <x v="0"/>
    <x v="7"/>
    <s v="NÃO"/>
    <s v="RJ"/>
    <s v="AGNÓSTICO/ATEU/SEM RELIGIÃO"/>
    <x v="0"/>
    <s v="NULL"/>
    <x v="0"/>
    <x v="2"/>
  </r>
  <r>
    <s v="651ACF0ED0B848E59899CEB97F7726C87229108E38DF4D981ADE518618101C0F"/>
    <x v="51"/>
    <s v="AMBIENTE VIRTUAL (NO ÂMBITO DA INTERNET)"/>
    <x v="14"/>
    <s v="NÃO SABE INFORMAR"/>
    <s v="VIOLÊNCIA CONTRA CIDADÃO, FAMÍLIA OU COMUNIDADE"/>
    <s v="COLEGA DE TRABALHO (MESMO NÍVEL HIERÁRQUICO)"/>
    <x v="0"/>
    <x v="4"/>
    <s v="RN"/>
    <x v="0"/>
    <x v="3"/>
    <x v="3"/>
    <s v="NULL"/>
    <x v="0"/>
    <x v="9"/>
    <s v="NÃO"/>
    <s v="DENUNCIANTE NÃO SOUBE INFORMAR"/>
    <s v="EVANGÉLICA"/>
    <x v="0"/>
    <s v="NULL"/>
    <x v="0"/>
    <x v="2"/>
  </r>
  <r>
    <s v="220E00DDC68043D78B0748D4EAEC6CAE2724CD0DCC836E587138E7FEB546B2D0"/>
    <x v="52"/>
    <s v="CASA DO SUSPEITO"/>
    <x v="0"/>
    <s v="HÁ MAIS DE SEIS MESES"/>
    <s v="VIOLÊNCIA CONTRA CIDADÃO, FAMÍLIA OU COMUNIDADE"/>
    <s v="VIZINHO(A)"/>
    <x v="0"/>
    <x v="3"/>
    <s v="DF"/>
    <x v="0"/>
    <x v="0"/>
    <x v="0"/>
    <s v="NULL"/>
    <x v="0"/>
    <x v="3"/>
    <s v="NÃO"/>
    <s v="DF"/>
    <s v="AGNÓSTICO/ATEU/SEM RELIGIÃO"/>
    <x v="2"/>
    <s v="NULL"/>
    <x v="2"/>
    <x v="2"/>
  </r>
  <r>
    <s v="8975DE7EAAD7694A49B56CD6CCB319D1A3C552D735373A4BC5F1068977936E3B"/>
    <x v="53"/>
    <s v="CASA DA VÍTIMA"/>
    <x v="15"/>
    <s v="NÃO SABE INFORMAR"/>
    <s v="VIOLÊNCIA CONTRA CIDADÃO, FAMÍLIA OU COMUNIDADE"/>
    <s v="VIZINHO(A)"/>
    <x v="1"/>
    <x v="8"/>
    <s v="PR"/>
    <x v="0"/>
    <x v="0"/>
    <x v="1"/>
    <s v="NULL"/>
    <x v="0"/>
    <x v="7"/>
    <s v="NÃO"/>
    <s v="PR"/>
    <s v="AGNÓSTICO/ATEU/SEM RELIGIÃO"/>
    <x v="1"/>
    <s v="NULL"/>
    <x v="0"/>
    <x v="2"/>
  </r>
  <r>
    <s v="8975DE7EAAD7694A49B56CD6CCB319D1A3C552D735373A4BC5F1068977936E3B"/>
    <x v="53"/>
    <s v="CASA DA VÍTIMA"/>
    <x v="15"/>
    <s v="NÃO SABE INFORMAR"/>
    <s v="VIOLÊNCIA CONTRA CIDADÃO, FAMÍLIA OU COMUNIDADE"/>
    <s v="VIZINHO(A)"/>
    <x v="1"/>
    <x v="8"/>
    <s v="PR"/>
    <x v="0"/>
    <x v="0"/>
    <x v="1"/>
    <s v="NULL"/>
    <x v="0"/>
    <x v="7"/>
    <s v="NÃO"/>
    <s v="PR"/>
    <s v="AGNÓSTICO/ATEU/SEM RELIGIÃO"/>
    <x v="1"/>
    <s v="NULL"/>
    <x v="2"/>
    <x v="2"/>
  </r>
  <r>
    <s v="FEE6BD76A2A1AEED480ED3559445C7697D725BC405948C7F196551C79913B046"/>
    <x v="53"/>
    <s v="OUTROS ESTABELECIMENTOS"/>
    <x v="4"/>
    <s v="HÁ MAIS DE UM ANO"/>
    <s v="VIOLÊNCIA CONTRA CIDADÃO, FAMÍLIA OU COMUNIDADE"/>
    <s v="PRESTADOR(A) DE SERVIÇO"/>
    <x v="1"/>
    <x v="7"/>
    <s v="MG"/>
    <x v="0"/>
    <x v="0"/>
    <x v="1"/>
    <s v="NULL"/>
    <x v="1"/>
    <x v="0"/>
    <s v="NÃO INFORMADO"/>
    <s v="MG"/>
    <s v="AGNÓSTICO/ATEU/SEM RELIGIÃO"/>
    <x v="1"/>
    <s v="PODER EXECUTIVO EM GERAL - MUNICIPAL"/>
    <x v="0"/>
    <x v="2"/>
  </r>
  <r>
    <s v="FEE6BD76A2A1AEED480ED3559445C7697D725BC405948C7F196551C79913B046"/>
    <x v="53"/>
    <s v="OUTROS ESTABELECIMENTOS"/>
    <x v="4"/>
    <s v="HÁ MAIS DE UM ANO"/>
    <s v="VIOLÊNCIA CONTRA CIDADÃO, FAMÍLIA OU COMUNIDADE"/>
    <s v="PRESTADOR(A) DE SERVIÇO"/>
    <x v="1"/>
    <x v="7"/>
    <s v="MG"/>
    <x v="0"/>
    <x v="0"/>
    <x v="1"/>
    <s v="NULL"/>
    <x v="1"/>
    <x v="0"/>
    <s v="NÃO INFORMADO"/>
    <s v="MG"/>
    <s v="AGNÓSTICO/ATEU/SEM RELIGIÃO"/>
    <x v="1"/>
    <s v="PODER EXECUTIVO EM GERAL - MUNICIPAL"/>
    <x v="2"/>
    <x v="2"/>
  </r>
  <r>
    <s v="57C39C82736106B9EE8FA694C6ED78EA9D73E0B5BFEA61BBAC507495BE660A4F"/>
    <x v="53"/>
    <s v="OUTROS ESTABELECIMENTOS"/>
    <x v="4"/>
    <s v="HÁ MAIS DE UM ANO"/>
    <s v="VIOLÊNCIA CONTRA CIDADÃO, FAMÍLIA OU COMUNIDADE"/>
    <s v="NÃO SABE INFORMAR"/>
    <x v="0"/>
    <x v="5"/>
    <s v="MG"/>
    <x v="0"/>
    <x v="0"/>
    <x v="2"/>
    <s v="NULL"/>
    <x v="1"/>
    <x v="0"/>
    <s v="NÃO INFORMADO"/>
    <s v="DENUNCIANTE NÃO SOUBE INFORMAR"/>
    <s v="AGNÓSTICO/ATEU/SEM RELIGIÃO"/>
    <x v="1"/>
    <s v="NULL"/>
    <x v="0"/>
    <x v="2"/>
  </r>
  <r>
    <s v="51450B3D77ECEA65CD6E30E204BF3F1C30A08FD32E2A5ACB0584331865D01CD9"/>
    <x v="53"/>
    <s v="AMBIENTE VIRTUAL (NO ÂMBITO DA INTERNET)"/>
    <x v="4"/>
    <s v="NÃO SABE INFORMAR"/>
    <s v="VIOLÊNCIA CONTRA CIDADÃO, FAMÍLIA OU COMUNIDADE"/>
    <s v="EMPREGADO (HIERARQUICAMENTE INFERIOR)"/>
    <x v="0"/>
    <x v="0"/>
    <s v="MG"/>
    <x v="0"/>
    <x v="3"/>
    <x v="3"/>
    <s v="NULL"/>
    <x v="0"/>
    <x v="1"/>
    <s v="NÃO"/>
    <s v="MG"/>
    <s v="AGNÓSTICO/ATEU/SEM RELIGIÃO"/>
    <x v="0"/>
    <s v="NULL"/>
    <x v="2"/>
    <x v="2"/>
  </r>
  <r>
    <s v="43D258A91666D312CCD9C25621AE4BD0AE585579440DD0DFFDBEE698E9B7E35A"/>
    <x v="53"/>
    <s v="OUTROS ESTABELECIMENTOS"/>
    <x v="1"/>
    <s v="NÃO SE APLICA"/>
    <s v="VIOLÊNCIA CONTRA CIDADÃO, FAMÍLIA OU COMUNIDADE"/>
    <s v="PRESTADOR(A) DE SERVIÇO"/>
    <x v="0"/>
    <x v="0"/>
    <s v="SP"/>
    <x v="2"/>
    <x v="0"/>
    <x v="0"/>
    <s v="NULL"/>
    <x v="1"/>
    <x v="0"/>
    <s v="NÃO INFORMADO"/>
    <s v="SP"/>
    <s v="AGNÓSTICO/ATEU/SEM RELIGIÃO"/>
    <x v="1"/>
    <s v="AGÊNCIA REGULADORA ? FEDERAL"/>
    <x v="2"/>
    <x v="2"/>
  </r>
  <r>
    <s v="43D258A91666D312CCD9C25621AE4BD0AE585579440DD0DFFDBEE698E9B7E35A"/>
    <x v="53"/>
    <s v="OUTROS ESTABELECIMENTOS"/>
    <x v="1"/>
    <s v="NÃO SE APLICA"/>
    <s v="VIOLÊNCIA CONTRA CIDADÃO, FAMÍLIA OU COMUNIDADE"/>
    <s v="PRESTADOR(A) DE SERVIÇO"/>
    <x v="0"/>
    <x v="0"/>
    <s v="SP"/>
    <x v="2"/>
    <x v="0"/>
    <x v="0"/>
    <s v="NULL"/>
    <x v="1"/>
    <x v="0"/>
    <s v="NÃO INFORMADO"/>
    <s v="SP"/>
    <s v="AGNÓSTICO/ATEU/SEM RELIGIÃO"/>
    <x v="1"/>
    <s v="AGÊNCIA REGULADORA ? FEDERAL"/>
    <x v="0"/>
    <x v="2"/>
  </r>
  <r>
    <s v="29FBD9F592322D034E72945E3136B36D5DD2AF671EC707A53473A58279D2ED46"/>
    <x v="53"/>
    <s v="AMBIENTE VIRTUAL (NO ÂMBITO DA INTERNET)"/>
    <x v="12"/>
    <s v="HÁ UM MÊS"/>
    <s v="VIOLÊNCIA CONTRA CIDADÃO, FAMÍLIA OU COMUNIDADE"/>
    <s v="OUTROS"/>
    <x v="0"/>
    <x v="0"/>
    <s v="GO"/>
    <x v="0"/>
    <x v="0"/>
    <x v="3"/>
    <s v="NULL"/>
    <x v="0"/>
    <x v="0"/>
    <s v="NÃO INFORMADO"/>
    <s v="SC"/>
    <s v="AGNÓSTICO/ATEU/SEM RELIGIÃO"/>
    <x v="0"/>
    <s v="NULL"/>
    <x v="0"/>
    <x v="2"/>
  </r>
  <r>
    <s v="2AFDB43E09C54723CC3B67DA3FC6CFDC2A48B3A0AB91589F098B3D09274E1528"/>
    <x v="54"/>
    <s v="OUTROS ESTABELECIMENTOS"/>
    <x v="4"/>
    <s v="HÁ MAIS DE SEIS MESES"/>
    <s v="VIOLÊNCIA CONTRA CIDADÃO, FAMÍLIA OU COMUNIDADE"/>
    <s v="VIZINHO(A)"/>
    <x v="1"/>
    <x v="0"/>
    <s v="MG"/>
    <x v="0"/>
    <x v="3"/>
    <x v="1"/>
    <s v="COMUNIDADES DE TERREIROS E MATRIZ AFRICANA"/>
    <x v="0"/>
    <x v="0"/>
    <s v="NÃO"/>
    <s v="MG"/>
    <s v="AGNÓSTICO/ATEU/SEM RELIGIÃO"/>
    <x v="1"/>
    <s v="NULL"/>
    <x v="0"/>
    <x v="2"/>
  </r>
  <r>
    <s v="2AFDB43E09C54723CC3B67DA3FC6CFDC2A48B3A0AB91589F098B3D09274E1528"/>
    <x v="54"/>
    <s v="OUTROS ESTABELECIMENTOS"/>
    <x v="4"/>
    <s v="HÁ MAIS DE SEIS MESES"/>
    <s v="VIOLÊNCIA CONTRA CIDADÃO, FAMÍLIA OU COMUNIDADE"/>
    <s v="VIZINHO(A)"/>
    <x v="1"/>
    <x v="0"/>
    <s v="MG"/>
    <x v="0"/>
    <x v="3"/>
    <x v="1"/>
    <s v="COMUNIDADES DE TERREIROS E MATRIZ AFRICANA"/>
    <x v="0"/>
    <x v="0"/>
    <s v="NÃO"/>
    <s v="MG"/>
    <s v="AGNÓSTICO/ATEU/SEM RELIGIÃO"/>
    <x v="1"/>
    <s v="NULL"/>
    <x v="2"/>
    <x v="2"/>
  </r>
  <r>
    <s v="9AB084D08281B2274D5235789DC46F00FF1829F3E52B0C5AF7EE60556F8F83D6"/>
    <x v="54"/>
    <s v="OUTROS ESTABELECIMENTOS"/>
    <x v="4"/>
    <s v="NÃO SABE INFORMAR"/>
    <s v="VIOLÊNCIA CONTRA CIDADÃO, FAMÍLIA OU COMUNIDADE"/>
    <s v="VIZINHO(A)"/>
    <x v="0"/>
    <x v="7"/>
    <s v="MG"/>
    <x v="0"/>
    <x v="0"/>
    <x v="3"/>
    <s v="NULL"/>
    <x v="0"/>
    <x v="0"/>
    <s v="NÃO"/>
    <s v="MG"/>
    <s v="AGNÓSTICO/ATEU/SEM RELIGIÃO"/>
    <x v="0"/>
    <s v="NULL"/>
    <x v="0"/>
    <x v="2"/>
  </r>
  <r>
    <s v="513583B124CCC37BC64A6E9944FD88A98EFB61C4AEF83D6B7280E5D44F0EDE20"/>
    <x v="54"/>
    <s v="CASA DA VÍTIMA"/>
    <x v="4"/>
    <s v="NÃO SABE INFORMAR"/>
    <s v="VIOLÊNCIA CONTRA CIDADÃO, FAMÍLIA OU COMUNIDADE"/>
    <s v="VIZINHO(A)"/>
    <x v="0"/>
    <x v="7"/>
    <s v="MG"/>
    <x v="7"/>
    <x v="0"/>
    <x v="3"/>
    <s v="NULL"/>
    <x v="0"/>
    <x v="7"/>
    <s v="NÃO"/>
    <s v="MG"/>
    <s v="AGNÓSTICO/ATEU/SEM RELIGIÃO"/>
    <x v="2"/>
    <s v="NULL"/>
    <x v="0"/>
    <x v="2"/>
  </r>
  <r>
    <s v="513583B124CCC37BC64A6E9944FD88A98EFB61C4AEF83D6B7280E5D44F0EDE20"/>
    <x v="54"/>
    <s v="CASA DA VÍTIMA"/>
    <x v="4"/>
    <s v="NÃO SABE INFORMAR"/>
    <s v="VIOLÊNCIA CONTRA CIDADÃO, FAMÍLIA OU COMUNIDADE"/>
    <s v="VIZINHO(A)"/>
    <x v="0"/>
    <x v="7"/>
    <s v="MG"/>
    <x v="7"/>
    <x v="0"/>
    <x v="3"/>
    <s v="NULL"/>
    <x v="0"/>
    <x v="7"/>
    <s v="NÃO"/>
    <s v="MG"/>
    <s v="AGNÓSTICO/ATEU/SEM RELIGIÃO"/>
    <x v="2"/>
    <s v="NULL"/>
    <x v="2"/>
    <x v="2"/>
  </r>
  <r>
    <s v="5FF8D33C6D8EA9FA64C3D1DA956510E3351B27D84838AFFD3AD2B48203BAC62D"/>
    <x v="54"/>
    <s v="CASA DA VÍTIMA"/>
    <x v="4"/>
    <s v="HÁ MAIS DE UM ANO"/>
    <s v="VIOLÊNCIA CONTRA CIDADÃO, FAMÍLIA OU COMUNIDADE"/>
    <s v="VIZINHO(A)"/>
    <x v="1"/>
    <x v="3"/>
    <s v="MG"/>
    <x v="0"/>
    <x v="3"/>
    <x v="1"/>
    <s v="NULL"/>
    <x v="1"/>
    <x v="0"/>
    <s v="NÃO INFORMADO"/>
    <s v="MG"/>
    <s v="AGNÓSTICO/ATEU/SEM RELIGIÃO"/>
    <x v="1"/>
    <s v="SEGURANÇA PÚBLICA, FORÇAS ARMADAS, DEFESA CIVIL, BOMBEIROS E ASSEMELHADOS ? MUNICIPAL"/>
    <x v="0"/>
    <x v="2"/>
  </r>
  <r>
    <s v="86835A21D538E7D5BC330222D10E485D52622ECEBB76F32E3D785ED13C1D19C4"/>
    <x v="54"/>
    <s v="CASA DA VÍTIMA"/>
    <x v="4"/>
    <s v="HÁ MAIS DE UM ANO"/>
    <s v="VIOLÊNCIA CONTRA CIDADÃO, FAMÍLIA OU COMUNIDADE"/>
    <s v="VIZINHO(A)"/>
    <x v="1"/>
    <x v="3"/>
    <s v="MG"/>
    <x v="0"/>
    <x v="3"/>
    <x v="1"/>
    <s v="NULL"/>
    <x v="0"/>
    <x v="0"/>
    <s v="NÃO"/>
    <s v="MG"/>
    <s v="AGNÓSTICO/ATEU/SEM RELIGIÃO"/>
    <x v="1"/>
    <s v="NULL"/>
    <x v="0"/>
    <x v="2"/>
  </r>
  <r>
    <s v="A1692C48F368527A9F9389C3AA723992935937B0FFDADFC1B72D4AEC640435A4"/>
    <x v="54"/>
    <s v="OUTROS ESTABELECIMENTOS"/>
    <x v="3"/>
    <s v="NÃO SABE INFORMAR"/>
    <s v="VIOLÊNCIA CONTRA CIDADÃO, FAMÍLIA OU COMUNIDADE"/>
    <s v="LÍDER RELIGIOSO(A)"/>
    <x v="0"/>
    <x v="7"/>
    <s v="BA"/>
    <x v="0"/>
    <x v="0"/>
    <x v="2"/>
    <s v="NULL"/>
    <x v="2"/>
    <x v="0"/>
    <s v="NÃO"/>
    <s v="BA"/>
    <s v="AGNÓSTICO/ATEU/SEM RELIGIÃO"/>
    <x v="0"/>
    <s v="NULL"/>
    <x v="0"/>
    <x v="2"/>
  </r>
  <r>
    <s v="1E00388F868E520B4F0D30448353EF881291B37B6F852BE7F360604373C75545"/>
    <x v="54"/>
    <s v="OUTROS ESTABELECIMENTOS"/>
    <x v="4"/>
    <s v="HÁ MAIS DE SEIS MESES"/>
    <s v="VIOLÊNCIA CONTRA CIDADÃO, FAMÍLIA OU COMUNIDADE"/>
    <s v="VIZINHO(A)"/>
    <x v="1"/>
    <x v="7"/>
    <s v="MG"/>
    <x v="0"/>
    <x v="0"/>
    <x v="1"/>
    <s v="NULL"/>
    <x v="2"/>
    <x v="0"/>
    <s v="NÃO INFORMADO"/>
    <s v="MG"/>
    <s v="AGNÓSTICO/ATEU/SEM RELIGIÃO"/>
    <x v="1"/>
    <s v="NULL"/>
    <x v="2"/>
    <x v="2"/>
  </r>
  <r>
    <s v="1E00388F868E520B4F0D30448353EF881291B37B6F852BE7F360604373C75545"/>
    <x v="54"/>
    <s v="OUTROS ESTABELECIMENTOS"/>
    <x v="4"/>
    <s v="HÁ MAIS DE SEIS MESES"/>
    <s v="VIOLÊNCIA CONTRA CIDADÃO, FAMÍLIA OU COMUNIDADE"/>
    <s v="VIZINHO(A)"/>
    <x v="1"/>
    <x v="7"/>
    <s v="MG"/>
    <x v="0"/>
    <x v="0"/>
    <x v="1"/>
    <s v="NULL"/>
    <x v="2"/>
    <x v="0"/>
    <s v="NÃO INFORMADO"/>
    <s v="MG"/>
    <s v="AGNÓSTICO/ATEU/SEM RELIGIÃO"/>
    <x v="1"/>
    <s v="NULL"/>
    <x v="0"/>
    <x v="2"/>
  </r>
  <r>
    <s v="41E91CB93A2CCB6F1172D15C2BBAE6F1148A6AD46C9BE35B767BD65347C53E47"/>
    <x v="54"/>
    <s v="OUTROS ESTABELECIMENTOS"/>
    <x v="4"/>
    <s v="NÃO SABE INFORMAR"/>
    <s v="VIOLÊNCIA CONTRA CIDADÃO, FAMÍLIA OU COMUNIDADE"/>
    <s v="VIZINHO(A)"/>
    <x v="0"/>
    <x v="3"/>
    <s v="MG"/>
    <x v="0"/>
    <x v="3"/>
    <x v="3"/>
    <s v="NULL"/>
    <x v="0"/>
    <x v="0"/>
    <s v="NÃO INFORMADO"/>
    <s v="MG"/>
    <s v="AGNÓSTICO/ATEU/SEM RELIGIÃO"/>
    <x v="1"/>
    <s v="NULL"/>
    <x v="0"/>
    <x v="2"/>
  </r>
  <r>
    <s v="41E91CB93A2CCB6F1172D15C2BBAE6F1148A6AD46C9BE35B767BD65347C53E47"/>
    <x v="54"/>
    <s v="OUTROS ESTABELECIMENTOS"/>
    <x v="4"/>
    <s v="NÃO SABE INFORMAR"/>
    <s v="VIOLÊNCIA CONTRA CIDADÃO, FAMÍLIA OU COMUNIDADE"/>
    <s v="VIZINHO(A)"/>
    <x v="0"/>
    <x v="3"/>
    <s v="MG"/>
    <x v="0"/>
    <x v="3"/>
    <x v="3"/>
    <s v="NULL"/>
    <x v="0"/>
    <x v="0"/>
    <s v="NÃO INFORMADO"/>
    <s v="MG"/>
    <s v="AGNÓSTICO/ATEU/SEM RELIGIÃO"/>
    <x v="1"/>
    <s v="NULL"/>
    <x v="2"/>
    <x v="2"/>
  </r>
  <r>
    <s v="B1F1878705C3B43A2E9C2F9D7049B22F3903E3EEFEE8F7E7E5D27D8EBEB3C3EF"/>
    <x v="54"/>
    <s v="LOCAL DE TRABALHO DA VÍTIMA"/>
    <x v="4"/>
    <s v="HÁ UMA SEMANA"/>
    <s v="VIOLÊNCIA CONTRA CIDADÃO, FAMÍLIA OU COMUNIDADE"/>
    <s v="OUTROS"/>
    <x v="0"/>
    <x v="7"/>
    <s v="MG"/>
    <x v="9"/>
    <x v="0"/>
    <x v="0"/>
    <s v="NULL"/>
    <x v="0"/>
    <x v="2"/>
    <s v="NÃO INFORMADO"/>
    <s v="MG"/>
    <s v="AGNÓSTICO/ATEU/SEM RELIGIÃO"/>
    <x v="0"/>
    <s v="NULL"/>
    <x v="1"/>
    <x v="2"/>
  </r>
  <r>
    <s v="B1F1878705C3B43A2E9C2F9D7049B22F3903E3EEFEE8F7E7E5D27D8EBEB3C3EF"/>
    <x v="54"/>
    <s v="LOCAL DE TRABALHO DA VÍTIMA"/>
    <x v="4"/>
    <s v="HÁ UMA SEMANA"/>
    <s v="VIOLÊNCIA CONTRA CIDADÃO, FAMÍLIA OU COMUNIDADE"/>
    <s v="OUTROS"/>
    <x v="0"/>
    <x v="7"/>
    <s v="MG"/>
    <x v="9"/>
    <x v="0"/>
    <x v="0"/>
    <s v="NULL"/>
    <x v="0"/>
    <x v="2"/>
    <s v="NÃO INFORMADO"/>
    <s v="MG"/>
    <s v="AGNÓSTICO/ATEU/SEM RELIGIÃO"/>
    <x v="0"/>
    <s v="NULL"/>
    <x v="0"/>
    <x v="2"/>
  </r>
  <r>
    <s v="2450483B62EE2DF9AE146F1CDAFE2DC04C0996B93A5BD2C16A767922AA0AA3D0"/>
    <x v="55"/>
    <s v="OUTROS ESTABELECIMENTOS"/>
    <x v="13"/>
    <s v="NÃO SABE INFORMAR"/>
    <s v="VIOLÊNCIA CONTRA CIDADÃO, FAMÍLIA OU COMUNIDADE"/>
    <s v="LÍDER RELIGIOSO(A)"/>
    <x v="1"/>
    <x v="4"/>
    <s v="PE"/>
    <x v="0"/>
    <x v="0"/>
    <x v="1"/>
    <s v="NULL"/>
    <x v="0"/>
    <x v="0"/>
    <s v="NÃO INFORMADO"/>
    <s v="PE"/>
    <s v="AGNÓSTICO/ATEU/SEM RELIGIÃO"/>
    <x v="1"/>
    <s v="NULL"/>
    <x v="0"/>
    <x v="2"/>
  </r>
  <r>
    <s v="637841B2DB98BDB4EBAC65643487D77A4A16467EE9B297A067EEE57B3F55DD83"/>
    <x v="55"/>
    <s v="OUTROS ESTABELECIMENTOS"/>
    <x v="13"/>
    <s v="NÃO SABE INFORMAR"/>
    <s v="VIOLÊNCIA CONTRA CIDADÃO, FAMÍLIA OU COMUNIDADE"/>
    <s v="LÍDER RELIGIOSO(A)"/>
    <x v="1"/>
    <x v="4"/>
    <s v="PE"/>
    <x v="0"/>
    <x v="0"/>
    <x v="1"/>
    <s v="NULL"/>
    <x v="0"/>
    <x v="0"/>
    <s v="NÃO INFORMADO"/>
    <s v="PE"/>
    <s v="AGNÓSTICO/ATEU/SEM RELIGIÃO"/>
    <x v="1"/>
    <s v="NULL"/>
    <x v="2"/>
    <x v="2"/>
  </r>
  <r>
    <s v="8C665B62FE1BAAB26805538BA0DED32AE3B9F40097BFFF22F22BBA4F23019809"/>
    <x v="55"/>
    <s v="OUTROS ESTABELECIMENTOS"/>
    <x v="13"/>
    <s v="NÃO SABE INFORMAR"/>
    <s v="VIOLÊNCIA CONTRA CIDADÃO, FAMÍLIA OU COMUNIDADE"/>
    <s v="LÍDER RELIGIOSO(A)"/>
    <x v="1"/>
    <x v="4"/>
    <s v="PE"/>
    <x v="0"/>
    <x v="0"/>
    <x v="1"/>
    <s v="NULL"/>
    <x v="0"/>
    <x v="0"/>
    <s v="NÃO INFORMADO"/>
    <s v="PE"/>
    <s v="AGNÓSTICO/ATEU/SEM RELIGIÃO"/>
    <x v="1"/>
    <s v="NULL"/>
    <x v="1"/>
    <x v="2"/>
  </r>
  <r>
    <s v="637841B2DB98BDB4EBAC65643487D77A4A16467EE9B297A067EEE57B3F55DD83"/>
    <x v="55"/>
    <s v="OUTROS ESTABELECIMENTOS"/>
    <x v="13"/>
    <s v="NÃO SABE INFORMAR"/>
    <s v="VIOLÊNCIA CONTRA CIDADÃO, FAMÍLIA OU COMUNIDADE"/>
    <s v="LÍDER RELIGIOSO(A)"/>
    <x v="1"/>
    <x v="4"/>
    <s v="PE"/>
    <x v="0"/>
    <x v="0"/>
    <x v="1"/>
    <s v="NULL"/>
    <x v="0"/>
    <x v="0"/>
    <s v="NÃO INFORMADO"/>
    <s v="PE"/>
    <s v="AGNÓSTICO/ATEU/SEM RELIGIÃO"/>
    <x v="1"/>
    <s v="NULL"/>
    <x v="1"/>
    <x v="2"/>
  </r>
  <r>
    <s v="2450483B62EE2DF9AE146F1CDAFE2DC04C0996B93A5BD2C16A767922AA0AA3D0"/>
    <x v="55"/>
    <s v="OUTROS ESTABELECIMENTOS"/>
    <x v="13"/>
    <s v="NÃO SABE INFORMAR"/>
    <s v="VIOLÊNCIA CONTRA CIDADÃO, FAMÍLIA OU COMUNIDADE"/>
    <s v="LÍDER RELIGIOSO(A)"/>
    <x v="1"/>
    <x v="4"/>
    <s v="PE"/>
    <x v="0"/>
    <x v="0"/>
    <x v="1"/>
    <s v="NULL"/>
    <x v="0"/>
    <x v="0"/>
    <s v="NÃO INFORMADO"/>
    <s v="PE"/>
    <s v="AGNÓSTICO/ATEU/SEM RELIGIÃO"/>
    <x v="1"/>
    <s v="NULL"/>
    <x v="1"/>
    <x v="2"/>
  </r>
  <r>
    <s v="2450483B62EE2DF9AE146F1CDAFE2DC04C0996B93A5BD2C16A767922AA0AA3D0"/>
    <x v="55"/>
    <s v="OUTROS ESTABELECIMENTOS"/>
    <x v="13"/>
    <s v="NÃO SABE INFORMAR"/>
    <s v="VIOLÊNCIA CONTRA CIDADÃO, FAMÍLIA OU COMUNIDADE"/>
    <s v="LÍDER RELIGIOSO(A)"/>
    <x v="1"/>
    <x v="4"/>
    <s v="PE"/>
    <x v="0"/>
    <x v="0"/>
    <x v="1"/>
    <s v="NULL"/>
    <x v="0"/>
    <x v="0"/>
    <s v="NÃO INFORMADO"/>
    <s v="PE"/>
    <s v="AGNÓSTICO/ATEU/SEM RELIGIÃO"/>
    <x v="1"/>
    <s v="NULL"/>
    <x v="2"/>
    <x v="2"/>
  </r>
  <r>
    <s v="FC3A7062F141C504777FC922289EB2C233702B4503FA34F32D76B22177409D6D"/>
    <x v="55"/>
    <s v="OUTROS ESTABELECIMENTOS"/>
    <x v="13"/>
    <s v="NÃO SABE INFORMAR"/>
    <s v="VIOLÊNCIA CONTRA CIDADÃO, FAMÍLIA OU COMUNIDADE"/>
    <s v="LÍDER RELIGIOSO(A)"/>
    <x v="1"/>
    <x v="4"/>
    <s v="PE"/>
    <x v="0"/>
    <x v="0"/>
    <x v="1"/>
    <s v="NULL"/>
    <x v="0"/>
    <x v="0"/>
    <s v="NÃO INFORMADO"/>
    <s v="PE"/>
    <s v="AGNÓSTICO/ATEU/SEM RELIGIÃO"/>
    <x v="1"/>
    <s v="NULL"/>
    <x v="2"/>
    <x v="2"/>
  </r>
  <r>
    <s v="FC3A7062F141C504777FC922289EB2C233702B4503FA34F32D76B22177409D6D"/>
    <x v="55"/>
    <s v="OUTROS ESTABELECIMENTOS"/>
    <x v="13"/>
    <s v="NÃO SABE INFORMAR"/>
    <s v="VIOLÊNCIA CONTRA CIDADÃO, FAMÍLIA OU COMUNIDADE"/>
    <s v="LÍDER RELIGIOSO(A)"/>
    <x v="1"/>
    <x v="4"/>
    <s v="PE"/>
    <x v="0"/>
    <x v="0"/>
    <x v="1"/>
    <s v="NULL"/>
    <x v="0"/>
    <x v="0"/>
    <s v="NÃO INFORMADO"/>
    <s v="PE"/>
    <s v="AGNÓSTICO/ATEU/SEM RELIGIÃO"/>
    <x v="1"/>
    <s v="NULL"/>
    <x v="0"/>
    <x v="2"/>
  </r>
  <r>
    <s v="FC3A7062F141C504777FC922289EB2C233702B4503FA34F32D76B22177409D6D"/>
    <x v="55"/>
    <s v="OUTROS ESTABELECIMENTOS"/>
    <x v="13"/>
    <s v="NÃO SABE INFORMAR"/>
    <s v="VIOLÊNCIA CONTRA CIDADÃO, FAMÍLIA OU COMUNIDADE"/>
    <s v="LÍDER RELIGIOSO(A)"/>
    <x v="1"/>
    <x v="4"/>
    <s v="PE"/>
    <x v="0"/>
    <x v="0"/>
    <x v="1"/>
    <s v="NULL"/>
    <x v="0"/>
    <x v="0"/>
    <s v="NÃO INFORMADO"/>
    <s v="PE"/>
    <s v="AGNÓSTICO/ATEU/SEM RELIGIÃO"/>
    <x v="1"/>
    <s v="NULL"/>
    <x v="1"/>
    <x v="2"/>
  </r>
  <r>
    <s v="637841B2DB98BDB4EBAC65643487D77A4A16467EE9B297A067EEE57B3F55DD83"/>
    <x v="55"/>
    <s v="OUTROS ESTABELECIMENTOS"/>
    <x v="13"/>
    <s v="NÃO SABE INFORMAR"/>
    <s v="VIOLÊNCIA CONTRA CIDADÃO, FAMÍLIA OU COMUNIDADE"/>
    <s v="LÍDER RELIGIOSO(A)"/>
    <x v="1"/>
    <x v="4"/>
    <s v="PE"/>
    <x v="0"/>
    <x v="0"/>
    <x v="1"/>
    <s v="NULL"/>
    <x v="0"/>
    <x v="0"/>
    <s v="NÃO INFORMADO"/>
    <s v="PE"/>
    <s v="AGNÓSTICO/ATEU/SEM RELIGIÃO"/>
    <x v="1"/>
    <s v="NULL"/>
    <x v="0"/>
    <x v="2"/>
  </r>
  <r>
    <s v="8C665B62FE1BAAB26805538BA0DED32AE3B9F40097BFFF22F22BBA4F23019809"/>
    <x v="55"/>
    <s v="OUTROS ESTABELECIMENTOS"/>
    <x v="13"/>
    <s v="NÃO SABE INFORMAR"/>
    <s v="VIOLÊNCIA CONTRA CIDADÃO, FAMÍLIA OU COMUNIDADE"/>
    <s v="LÍDER RELIGIOSO(A)"/>
    <x v="1"/>
    <x v="4"/>
    <s v="PE"/>
    <x v="0"/>
    <x v="0"/>
    <x v="1"/>
    <s v="NULL"/>
    <x v="0"/>
    <x v="0"/>
    <s v="NÃO INFORMADO"/>
    <s v="PE"/>
    <s v="AGNÓSTICO/ATEU/SEM RELIGIÃO"/>
    <x v="1"/>
    <s v="NULL"/>
    <x v="2"/>
    <x v="2"/>
  </r>
  <r>
    <s v="8C665B62FE1BAAB26805538BA0DED32AE3B9F40097BFFF22F22BBA4F23019809"/>
    <x v="55"/>
    <s v="OUTROS ESTABELECIMENTOS"/>
    <x v="13"/>
    <s v="NÃO SABE INFORMAR"/>
    <s v="VIOLÊNCIA CONTRA CIDADÃO, FAMÍLIA OU COMUNIDADE"/>
    <s v="LÍDER RELIGIOSO(A)"/>
    <x v="1"/>
    <x v="4"/>
    <s v="PE"/>
    <x v="0"/>
    <x v="0"/>
    <x v="1"/>
    <s v="NULL"/>
    <x v="0"/>
    <x v="0"/>
    <s v="NÃO INFORMADO"/>
    <s v="PE"/>
    <s v="AGNÓSTICO/ATEU/SEM RELIGIÃO"/>
    <x v="1"/>
    <s v="NULL"/>
    <x v="0"/>
    <x v="2"/>
  </r>
  <r>
    <s v="5EE28C33D3AACA9E799CAF1B88F0ECE849C30818E12DE5C212991CBE3B16CE0A"/>
    <x v="56"/>
    <s v="CASA DA VÍTIMA"/>
    <x v="6"/>
    <s v="HÁ MAIS DE DEZ ANOS"/>
    <s v="VIOLÊNCIA CONTRA CIDADÃO, FAMÍLIA OU COMUNIDADE"/>
    <s v="EMPREGADOR/PATRÃO (HIERARQUICAMENTE SUPERIOR)"/>
    <x v="0"/>
    <x v="5"/>
    <s v="GO"/>
    <x v="6"/>
    <x v="0"/>
    <x v="0"/>
    <s v="NULL"/>
    <x v="1"/>
    <x v="0"/>
    <s v="NÃO INFORMADO"/>
    <s v="GO"/>
    <s v="AGNÓSTICO/ATEU/SEM RELIGIÃO"/>
    <x v="1"/>
    <s v="SEGURANÇA PÚBLICA, FORÇAS ARMADAS, DEFESA CIVIL, BOMBEIROS E ASSEMELHADOS ? MUNICIPAL"/>
    <x v="1"/>
    <x v="2"/>
  </r>
  <r>
    <s v="DC4A8D90D04193B0CDAD326EC7008F400A36CCC7777C8D83B8D7E4224E767D20"/>
    <x v="56"/>
    <s v="CASA DA VÍTIMA"/>
    <x v="6"/>
    <s v="HÁ MAIS DE DEZ ANOS"/>
    <s v="VIOLÊNCIA CONTRA CIDADÃO, FAMÍLIA OU COMUNIDADE"/>
    <s v="EMPREGADOR/PATRÃO (HIERARQUICAMENTE SUPERIOR)"/>
    <x v="0"/>
    <x v="5"/>
    <s v="GO"/>
    <x v="6"/>
    <x v="0"/>
    <x v="0"/>
    <s v="NULL"/>
    <x v="1"/>
    <x v="0"/>
    <s v="NÃO INFORMADO"/>
    <s v="GO"/>
    <s v="AGNÓSTICO/ATEU/SEM RELIGIÃO"/>
    <x v="1"/>
    <s v="SEGURANÇA PÚBLICA, FORÇAS ARMADAS, DEFESA CIVIL, BOMBEIROS E ASSEMELHADOS ? MUNICIPAL"/>
    <x v="1"/>
    <x v="2"/>
  </r>
  <r>
    <s v="E37C251A8CFEB6CC0529A043D1E4C9B77768EC2160DC81F6BFB80BBBB27B6680"/>
    <x v="56"/>
    <s v="OUTROS ESTABELECIMENTOS"/>
    <x v="2"/>
    <s v="HÁ UM MÊS"/>
    <s v="VIOLÊNCIA CONTRA CIDADÃO, FAMÍLIA OU COMUNIDADE"/>
    <s v="DESCONHECIDO(A)"/>
    <x v="0"/>
    <x v="9"/>
    <s v="RJ"/>
    <x v="0"/>
    <x v="0"/>
    <x v="0"/>
    <s v="NULL"/>
    <x v="2"/>
    <x v="3"/>
    <s v="NÃO"/>
    <s v="RJ"/>
    <s v="AGNÓSTICO/ATEU/SEM RELIGIÃO"/>
    <x v="3"/>
    <s v="NULL"/>
    <x v="2"/>
    <x v="2"/>
  </r>
  <r>
    <s v="A1BE1FF82C5FD7A374D7C02BEDB43051BF96BF4A8FCBFD11EC15941B1C3D2734"/>
    <x v="57"/>
    <s v="OUTROS ESTABELECIMENTOS"/>
    <x v="1"/>
    <s v="NÃO SE APLICA"/>
    <s v="VIOLÊNCIA CONTRA CIDADÃO, FAMÍLIA OU COMUNIDADE"/>
    <s v="VIZINHO(A)"/>
    <x v="1"/>
    <x v="3"/>
    <s v="DENUNCIANTE NÃO SOUBE INFORMAR"/>
    <x v="0"/>
    <x v="0"/>
    <x v="1"/>
    <s v="NULL"/>
    <x v="2"/>
    <x v="6"/>
    <s v="NÃO"/>
    <s v="SP"/>
    <s v="AGNÓSTICO/ATEU/SEM RELIGIÃO"/>
    <x v="0"/>
    <s v="NULL"/>
    <x v="2"/>
    <x v="2"/>
  </r>
  <r>
    <s v="A1BE1FF82C5FD7A374D7C02BEDB43051BF96BF4A8FCBFD11EC15941B1C3D2734"/>
    <x v="57"/>
    <s v="OUTROS ESTABELECIMENTOS"/>
    <x v="1"/>
    <s v="NÃO SE APLICA"/>
    <s v="VIOLÊNCIA CONTRA CIDADÃO, FAMÍLIA OU COMUNIDADE"/>
    <s v="VIZINHO(A)"/>
    <x v="1"/>
    <x v="3"/>
    <s v="DENUNCIANTE NÃO SOUBE INFORMAR"/>
    <x v="0"/>
    <x v="0"/>
    <x v="1"/>
    <s v="NULL"/>
    <x v="2"/>
    <x v="6"/>
    <s v="NÃO"/>
    <s v="SP"/>
    <s v="AGNÓSTICO/ATEU/SEM RELIGIÃO"/>
    <x v="0"/>
    <s v="NULL"/>
    <x v="0"/>
    <x v="2"/>
  </r>
  <r>
    <s v="088E1F8239713038A0C811AE437AA4E410A125DAED006C141DC954CEC9B8DFC9"/>
    <x v="58"/>
    <s v="CASA DA VÍTIMA"/>
    <x v="15"/>
    <s v="HÁ UM MÊS"/>
    <s v="VIOLÊNCIA CONTRA CIDADÃO, FAMÍLIA OU COMUNIDADE"/>
    <s v="OUTROS"/>
    <x v="0"/>
    <x v="2"/>
    <s v="PR"/>
    <x v="3"/>
    <x v="3"/>
    <x v="2"/>
    <s v="NULL"/>
    <x v="2"/>
    <x v="2"/>
    <s v="NÃO"/>
    <s v="PR"/>
    <s v="AGNÓSTICO/ATEU/SEM RELIGIÃO"/>
    <x v="0"/>
    <s v="NULL"/>
    <x v="2"/>
    <x v="2"/>
  </r>
  <r>
    <s v="0E806A0DDEA8632E7C3220936296E5769847107E99A05637C7931E595068B7E1"/>
    <x v="58"/>
    <s v="CASA DO SUSPEITO"/>
    <x v="2"/>
    <s v="HÁ MAIS DE UM ANO"/>
    <s v="VIOLÊNCIA CONTRA CIDADÃO, FAMÍLIA OU COMUNIDADE"/>
    <s v="OUTROS"/>
    <x v="0"/>
    <x v="9"/>
    <s v="RJ"/>
    <x v="0"/>
    <x v="3"/>
    <x v="0"/>
    <s v="NULL"/>
    <x v="2"/>
    <x v="2"/>
    <s v="NÃO"/>
    <s v="RJ"/>
    <s v="AGNÓSTICO/ATEU/SEM RELIGIÃO"/>
    <x v="3"/>
    <s v="NULL"/>
    <x v="0"/>
    <x v="2"/>
  </r>
  <r>
    <s v="FEA1E8FB6446380E1E5991D4AC891AC55D131777F11D3D8ACC001A330BC48BC5"/>
    <x v="58"/>
    <s v="CASA ONDE RESIDE A VÍTIMA E O SUSPEITO"/>
    <x v="3"/>
    <s v="HÁ MAIS DE UM ANO"/>
    <s v="VIOLÊNCIA CONTRA CIDADÃO, FAMÍLIA OU COMUNIDADE"/>
    <s v="OUTROS"/>
    <x v="1"/>
    <x v="7"/>
    <s v="BA"/>
    <x v="0"/>
    <x v="0"/>
    <x v="1"/>
    <s v="NULL"/>
    <x v="1"/>
    <x v="0"/>
    <s v="NÃO INFORMADO"/>
    <s v="BA"/>
    <s v="AGNÓSTICO/ATEU/SEM RELIGIÃO"/>
    <x v="1"/>
    <s v="PODER LEGISLATIVO ? MUNICIPAL"/>
    <x v="0"/>
    <x v="2"/>
  </r>
  <r>
    <s v="C5A9261573E4DFDCEC668B08368A9CAC00065832777684E2DB4F339977E1DE43"/>
    <x v="58"/>
    <s v="AMBIENTE VIRTUAL (NO ÂMBITO DA INTERNET)"/>
    <x v="2"/>
    <s v="HÁ UM MÊS"/>
    <s v="VIOLÊNCIA CONTRA CIDADÃO, FAMÍLIA OU COMUNIDADE"/>
    <s v="OUTROS"/>
    <x v="0"/>
    <x v="3"/>
    <s v="RJ"/>
    <x v="0"/>
    <x v="0"/>
    <x v="1"/>
    <s v="NULL"/>
    <x v="2"/>
    <x v="0"/>
    <s v="NÃO INFORMADO"/>
    <s v="RJ"/>
    <s v="AGNÓSTICO/ATEU/SEM RELIGIÃO"/>
    <x v="1"/>
    <s v="NULL"/>
    <x v="0"/>
    <x v="2"/>
  </r>
  <r>
    <s v="C5A9261573E4DFDCEC668B08368A9CAC00065832777684E2DB4F339977E1DE43"/>
    <x v="58"/>
    <s v="AMBIENTE VIRTUAL (NO ÂMBITO DA INTERNET)"/>
    <x v="2"/>
    <s v="HÁ UM MÊS"/>
    <s v="VIOLÊNCIA CONTRA CIDADÃO, FAMÍLIA OU COMUNIDADE"/>
    <s v="OUTROS"/>
    <x v="0"/>
    <x v="3"/>
    <s v="RJ"/>
    <x v="0"/>
    <x v="0"/>
    <x v="1"/>
    <s v="NULL"/>
    <x v="2"/>
    <x v="0"/>
    <s v="NÃO INFORMADO"/>
    <s v="RJ"/>
    <s v="AGNÓSTICO/ATEU/SEM RELIGIÃO"/>
    <x v="1"/>
    <s v="NULL"/>
    <x v="2"/>
    <x v="2"/>
  </r>
  <r>
    <s v="C5A9261573E4DFDCEC668B08368A9CAC00065832777684E2DB4F339977E1DE43"/>
    <x v="58"/>
    <s v="AMBIENTE VIRTUAL (NO ÂMBITO DA INTERNET)"/>
    <x v="2"/>
    <s v="HÁ UM MÊS"/>
    <s v="VIOLÊNCIA CONTRA CIDADÃO, FAMÍLIA OU COMUNIDADE"/>
    <s v="OUTROS"/>
    <x v="0"/>
    <x v="3"/>
    <s v="RJ"/>
    <x v="0"/>
    <x v="0"/>
    <x v="1"/>
    <s v="NULL"/>
    <x v="2"/>
    <x v="0"/>
    <s v="NÃO INFORMADO"/>
    <s v="RJ"/>
    <s v="AGNÓSTICO/ATEU/SEM RELIGIÃO"/>
    <x v="1"/>
    <s v="NULL"/>
    <x v="1"/>
    <x v="2"/>
  </r>
  <r>
    <s v="6BED0DB0D78F5D4803D6D671B0C44F0DC0D3FBCDD58E48C4AE75132FAFEF7D04"/>
    <x v="58"/>
    <s v="OUTROS ESTABELECIMENTOS"/>
    <x v="1"/>
    <s v="NÃO SABE INFORMAR"/>
    <s v="VIOLÊNCIA CONTRA CIDADÃO, FAMÍLIA OU COMUNIDADE"/>
    <s v="OUTROS"/>
    <x v="0"/>
    <x v="5"/>
    <s v="SP"/>
    <x v="0"/>
    <x v="0"/>
    <x v="1"/>
    <s v="NULL"/>
    <x v="1"/>
    <x v="0"/>
    <s v="NÃO INFORMADO"/>
    <s v="SP"/>
    <s v="AGNÓSTICO/ATEU/SEM RELIGIÃO"/>
    <x v="1"/>
    <s v="PODER EXECUTIVO EM GERAL - MUNICIPAL"/>
    <x v="0"/>
    <x v="2"/>
  </r>
  <r>
    <s v="90E3099AA555691EE98FB92D82B06888AFDE49DA11FF51F0475C46B241576871"/>
    <x v="59"/>
    <s v="CASA ONDE RESIDE A VÍTIMA E O SUSPEITO"/>
    <x v="1"/>
    <s v="HÁ UM MÊS"/>
    <s v="VIOLÊNCIA CONTRA CIDADÃO, FAMÍLIA OU COMUNIDADE"/>
    <s v="TIO(A)"/>
    <x v="0"/>
    <x v="4"/>
    <s v="SP"/>
    <x v="0"/>
    <x v="0"/>
    <x v="0"/>
    <s v="NULL"/>
    <x v="0"/>
    <x v="6"/>
    <s v="NÃO"/>
    <s v="SP"/>
    <s v="AGNÓSTICO/ATEU/SEM RELIGIÃO"/>
    <x v="1"/>
    <s v="NULL"/>
    <x v="0"/>
    <x v="2"/>
  </r>
  <r>
    <s v="7D7444019D27B73F116FDA0136332B1FAF03D5380CDF4E7285DC48AE135EB0BF"/>
    <x v="59"/>
    <s v="CASA DA VÍTIMA"/>
    <x v="10"/>
    <s v="HÁ UM MÊS"/>
    <s v="VIOLÊNCIA CONTRA CIDADÃO, FAMÍLIA OU COMUNIDADE"/>
    <s v="VIZINHO(A)"/>
    <x v="0"/>
    <x v="0"/>
    <s v="CE"/>
    <x v="0"/>
    <x v="0"/>
    <x v="2"/>
    <s v="NULL"/>
    <x v="0"/>
    <x v="5"/>
    <s v="NÃO"/>
    <s v="CE"/>
    <s v="AGNÓSTICO/ATEU/SEM RELIGIÃO"/>
    <x v="0"/>
    <s v="NULL"/>
    <x v="0"/>
    <x v="2"/>
  </r>
  <r>
    <s v="E1CB00C969704F7D7DF8593AE3CE500E6D500523AF7DC48C418659FC965FBE20"/>
    <x v="59"/>
    <s v="AMBIENTE VIRTUAL (NO ÂMBITO DA INTERNET)"/>
    <x v="18"/>
    <s v="NÃO SABE INFORMAR"/>
    <s v="VIOLÊNCIA CONTRA CIDADÃO, FAMÍLIA OU COMUNIDADE"/>
    <s v="DESCONHECIDO(A)"/>
    <x v="1"/>
    <x v="0"/>
    <s v="MA"/>
    <x v="0"/>
    <x v="0"/>
    <x v="1"/>
    <s v="NULL"/>
    <x v="0"/>
    <x v="0"/>
    <s v="NÃO"/>
    <s v="DENUNCIANTE NÃO SOUBE INFORMAR"/>
    <s v="JUDAÍSMO"/>
    <x v="0"/>
    <s v="NULL"/>
    <x v="1"/>
    <x v="2"/>
  </r>
  <r>
    <s v="9FE2757F7E9FE7D4C11EF44844536BD4CA32181BF101CE350E3CC0F841801E52"/>
    <x v="59"/>
    <s v="AMBIENTE VIRTUAL (NO ÂMBITO DA INTERNET)"/>
    <x v="18"/>
    <s v="NÃO SABE INFORMAR"/>
    <s v="VIOLÊNCIA CONTRA CIDADÃO, FAMÍLIA OU COMUNIDADE"/>
    <s v="DESCONHECIDO(A)"/>
    <x v="1"/>
    <x v="0"/>
    <s v="MA"/>
    <x v="0"/>
    <x v="0"/>
    <x v="1"/>
    <s v="NULL"/>
    <x v="0"/>
    <x v="0"/>
    <s v="NÃO"/>
    <s v="MA"/>
    <s v="EVANGÉLICA"/>
    <x v="0"/>
    <s v="NULL"/>
    <x v="1"/>
    <x v="2"/>
  </r>
  <r>
    <s v="562C2261C493EB7E7CF5A0A768FAFDCA9DB8002F539C4F209055978CEE2D2699"/>
    <x v="60"/>
    <s v="CASA ONDE RESIDE A VÍTIMA E O SUSPEITO"/>
    <x v="19"/>
    <s v="HÁ MAIS DE CINCO ANOS"/>
    <s v="VIOLÊNCIA CONTRA CIDADÃO, FAMÍLIA OU COMUNIDADE"/>
    <s v="IRMÃO(Ã)"/>
    <x v="0"/>
    <x v="3"/>
    <s v="PB"/>
    <x v="0"/>
    <x v="4"/>
    <x v="0"/>
    <s v="NULL"/>
    <x v="0"/>
    <x v="6"/>
    <s v="NÃO"/>
    <s v="PB"/>
    <s v="AGNÓSTICO/ATEU/SEM RELIGIÃO"/>
    <x v="2"/>
    <s v="NULL"/>
    <x v="2"/>
    <x v="2"/>
  </r>
  <r>
    <s v="FB87FC022C1D3AEBD581F98CF066B81081F268EBEEB1927DB80479687B9F1E9D"/>
    <x v="60"/>
    <s v="CASA ONDE RESIDE A VÍTIMA E O SUSPEITO"/>
    <x v="19"/>
    <s v="HÁ MAIS DE CINCO ANOS"/>
    <s v="VIOLÊNCIA CONTRA CIDADÃO, FAMÍLIA OU COMUNIDADE"/>
    <s v="IRMÃO(Ã)"/>
    <x v="0"/>
    <x v="3"/>
    <s v="PB"/>
    <x v="0"/>
    <x v="4"/>
    <x v="0"/>
    <s v="NULL"/>
    <x v="2"/>
    <x v="1"/>
    <s v="NÃO"/>
    <s v="PB"/>
    <s v="CATÓLICA"/>
    <x v="2"/>
    <s v="NULL"/>
    <x v="2"/>
    <x v="2"/>
  </r>
  <r>
    <s v="5023F92691058791C86E26E809CDDD8090DE763F313366234BF3E53968910819"/>
    <x v="60"/>
    <s v="CASA ONDE RESIDE A VÍTIMA E O SUSPEITO"/>
    <x v="2"/>
    <s v="HÁ MAIS DE SEIS MESES"/>
    <s v="VIOLÊNCIA CONTRA CIDADÃO, FAMÍLIA OU COMUNIDADE"/>
    <s v="PAI"/>
    <x v="0"/>
    <x v="4"/>
    <s v="RJ"/>
    <x v="0"/>
    <x v="0"/>
    <x v="0"/>
    <s v="NULL"/>
    <x v="0"/>
    <x v="5"/>
    <s v="NÃO INFORMADO"/>
    <s v="RJ"/>
    <s v="AGNÓSTICO/ATEU/SEM RELIGIÃO"/>
    <x v="2"/>
    <s v="NULL"/>
    <x v="0"/>
    <x v="2"/>
  </r>
  <r>
    <s v="5023F92691058791C86E26E809CDDD8090DE763F313366234BF3E53968910819"/>
    <x v="60"/>
    <s v="CASA ONDE RESIDE A VÍTIMA E O SUSPEITO"/>
    <x v="2"/>
    <s v="HÁ MAIS DE SEIS MESES"/>
    <s v="VIOLÊNCIA CONTRA CIDADÃO, FAMÍLIA OU COMUNIDADE"/>
    <s v="PAI"/>
    <x v="0"/>
    <x v="4"/>
    <s v="RJ"/>
    <x v="0"/>
    <x v="0"/>
    <x v="0"/>
    <s v="NULL"/>
    <x v="0"/>
    <x v="5"/>
    <s v="NÃO INFORMADO"/>
    <s v="RJ"/>
    <s v="AGNÓSTICO/ATEU/SEM RELIGIÃO"/>
    <x v="2"/>
    <s v="NULL"/>
    <x v="2"/>
    <x v="2"/>
  </r>
  <r>
    <s v="5023F92691058791C86E26E809CDDD8090DE763F313366234BF3E53968910819"/>
    <x v="60"/>
    <s v="CASA ONDE RESIDE A VÍTIMA E O SUSPEITO"/>
    <x v="2"/>
    <s v="HÁ MAIS DE SEIS MESES"/>
    <s v="VIOLÊNCIA CONTRA CIDADÃO, FAMÍLIA OU COMUNIDADE"/>
    <s v="PAI"/>
    <x v="0"/>
    <x v="4"/>
    <s v="RJ"/>
    <x v="0"/>
    <x v="0"/>
    <x v="0"/>
    <s v="NULL"/>
    <x v="0"/>
    <x v="5"/>
    <s v="NÃO INFORMADO"/>
    <s v="RJ"/>
    <s v="AGNÓSTICO/ATEU/SEM RELIGIÃO"/>
    <x v="2"/>
    <s v="NULL"/>
    <x v="1"/>
    <x v="2"/>
  </r>
  <r>
    <s v="0606AEC67B35DB48A0D8F5C7DA4E52D243A0AC2CD8EEBF1D2BB3105010D9FF34"/>
    <x v="60"/>
    <s v="OUTROS ESTABELECIMENTOS"/>
    <x v="3"/>
    <s v="HÁ MAIS DE DEZ ANOS"/>
    <s v="VIOLÊNCIA CONTRA CIDADÃO, FAMÍLIA OU COMUNIDADE"/>
    <s v="PRESTADOR(A) DE SERVIÇO"/>
    <x v="0"/>
    <x v="3"/>
    <s v="BA"/>
    <x v="0"/>
    <x v="0"/>
    <x v="2"/>
    <s v="NULL"/>
    <x v="1"/>
    <x v="0"/>
    <s v="NÃO INFORMADO"/>
    <s v="BA"/>
    <s v="AGNÓSTICO/ATEU/SEM RELIGIÃO"/>
    <x v="1"/>
    <s v="ATIVIDADES FINANCEIRAS, DE SEGUROS E SERVIÇOS RELACIONADOS"/>
    <x v="0"/>
    <x v="2"/>
  </r>
  <r>
    <s v="DFC53D4FA69759D5DCBA4E1C20B63F91C9F11B6F0BC1061EAD6A5CBBD3DAA5D7"/>
    <x v="61"/>
    <s v="CASA ONDE RESIDE A VÍTIMA E O SUSPEITO"/>
    <x v="1"/>
    <s v="HÁ MAIS DE DEZ ANOS"/>
    <s v="VIOLÊNCIA CONTRA CIDADÃO, FAMÍLIA OU COMUNIDADE"/>
    <s v="IRMÃO(Ã)"/>
    <x v="0"/>
    <x v="9"/>
    <s v="SP"/>
    <x v="1"/>
    <x v="4"/>
    <x v="1"/>
    <s v="NULL"/>
    <x v="2"/>
    <x v="1"/>
    <s v="NÃO INFORMADO"/>
    <s v="SP"/>
    <s v="ESPÍRITA"/>
    <x v="2"/>
    <s v="NULL"/>
    <x v="0"/>
    <x v="2"/>
  </r>
  <r>
    <s v="DFC53D4FA69759D5DCBA4E1C20B63F91C9F11B6F0BC1061EAD6A5CBBD3DAA5D7"/>
    <x v="61"/>
    <s v="CASA ONDE RESIDE A VÍTIMA E O SUSPEITO"/>
    <x v="1"/>
    <s v="HÁ MAIS DE DEZ ANOS"/>
    <s v="VIOLÊNCIA CONTRA CIDADÃO, FAMÍLIA OU COMUNIDADE"/>
    <s v="IRMÃO(Ã)"/>
    <x v="0"/>
    <x v="9"/>
    <s v="SP"/>
    <x v="1"/>
    <x v="4"/>
    <x v="1"/>
    <s v="NULL"/>
    <x v="2"/>
    <x v="1"/>
    <s v="NÃO INFORMADO"/>
    <s v="SP"/>
    <s v="ESPÍRITA"/>
    <x v="2"/>
    <s v="NULL"/>
    <x v="2"/>
    <x v="2"/>
  </r>
  <r>
    <s v="147ABA88329448DEBB100B8B9B5DCB2E0A065E05D18E4E67BFCA4B90E228A9DF"/>
    <x v="61"/>
    <s v="CASA DA VÍTIMA"/>
    <x v="3"/>
    <s v="HÁ MAIS DE SEIS MESES"/>
    <s v="VIOLÊNCIA CONTRA CIDADÃO, FAMÍLIA OU COMUNIDADE"/>
    <s v="VIZINHO(A)"/>
    <x v="0"/>
    <x v="0"/>
    <s v="BA"/>
    <x v="0"/>
    <x v="0"/>
    <x v="0"/>
    <s v="NULL"/>
    <x v="0"/>
    <x v="0"/>
    <s v="NÃO INFORMADO"/>
    <s v="BA"/>
    <s v="AGNÓSTICO/ATEU/SEM RELIGIÃO"/>
    <x v="1"/>
    <s v="NULL"/>
    <x v="0"/>
    <x v="2"/>
  </r>
  <r>
    <s v="E7E07139DD62E7131F72A711738B927AC650ABC68D158B3FC4C8482994C50EFA"/>
    <x v="62"/>
    <s v="CASA DO SUSPEITO"/>
    <x v="20"/>
    <s v="HÁ UM MÊS"/>
    <s v="VIOLÊNCIA CONTRA CIDADÃO, FAMÍLIA OU COMUNIDADE"/>
    <s v="VIZINHO(A)"/>
    <x v="1"/>
    <x v="4"/>
    <s v="AM"/>
    <x v="0"/>
    <x v="0"/>
    <x v="1"/>
    <s v="NULL"/>
    <x v="0"/>
    <x v="0"/>
    <s v="NÃO INFORMADO"/>
    <s v="AM"/>
    <s v="AGNÓSTICO/ATEU/SEM RELIGIÃO"/>
    <x v="1"/>
    <s v="NULL"/>
    <x v="1"/>
    <x v="2"/>
  </r>
  <r>
    <s v="E7E07139DD62E7131F72A711738B927AC650ABC68D158B3FC4C8482994C50EFA"/>
    <x v="62"/>
    <s v="CASA DO SUSPEITO"/>
    <x v="20"/>
    <s v="HÁ UM MÊS"/>
    <s v="VIOLÊNCIA CONTRA CIDADÃO, FAMÍLIA OU COMUNIDADE"/>
    <s v="VIZINHO(A)"/>
    <x v="1"/>
    <x v="4"/>
    <s v="AM"/>
    <x v="0"/>
    <x v="0"/>
    <x v="1"/>
    <s v="NULL"/>
    <x v="0"/>
    <x v="0"/>
    <s v="NÃO INFORMADO"/>
    <s v="AM"/>
    <s v="AGNÓSTICO/ATEU/SEM RELIGIÃO"/>
    <x v="1"/>
    <s v="NULL"/>
    <x v="0"/>
    <x v="2"/>
  </r>
  <r>
    <s v="E7E07139DD62E7131F72A711738B927AC650ABC68D158B3FC4C8482994C50EFA"/>
    <x v="62"/>
    <s v="CASA DO SUSPEITO"/>
    <x v="20"/>
    <s v="HÁ UM MÊS"/>
    <s v="VIOLÊNCIA CONTRA CIDADÃO, FAMÍLIA OU COMUNIDADE"/>
    <s v="VIZINHO(A)"/>
    <x v="1"/>
    <x v="4"/>
    <s v="AM"/>
    <x v="0"/>
    <x v="0"/>
    <x v="1"/>
    <s v="NULL"/>
    <x v="0"/>
    <x v="0"/>
    <s v="NÃO INFORMADO"/>
    <s v="AM"/>
    <s v="AGNÓSTICO/ATEU/SEM RELIGIÃO"/>
    <x v="1"/>
    <s v="NULL"/>
    <x v="2"/>
    <x v="2"/>
  </r>
  <r>
    <s v="380D2C5889CF91BA7E29DF19DD5385A422625EED88C9719C4792EC3D824C2769"/>
    <x v="62"/>
    <s v="OUTROS ESTABELECIMENTOS"/>
    <x v="4"/>
    <s v="HÁ MAIS DE UM ANO"/>
    <s v="VIOLÊNCIA CONTRA CIDADÃO, FAMÍLIA OU COMUNIDADE"/>
    <s v="VIZINHO(A)"/>
    <x v="1"/>
    <x v="7"/>
    <s v="MG"/>
    <x v="0"/>
    <x v="3"/>
    <x v="1"/>
    <s v="NULL"/>
    <x v="0"/>
    <x v="5"/>
    <s v="NÃO"/>
    <s v="MG"/>
    <s v="AGNÓSTICO/ATEU/SEM RELIGIÃO"/>
    <x v="1"/>
    <s v="NULL"/>
    <x v="0"/>
    <x v="2"/>
  </r>
  <r>
    <s v="380D2C5889CF91BA7E29DF19DD5385A422625EED88C9719C4792EC3D824C2769"/>
    <x v="62"/>
    <s v="OUTROS ESTABELECIMENTOS"/>
    <x v="4"/>
    <s v="HÁ MAIS DE UM ANO"/>
    <s v="VIOLÊNCIA CONTRA CIDADÃO, FAMÍLIA OU COMUNIDADE"/>
    <s v="VIZINHO(A)"/>
    <x v="1"/>
    <x v="7"/>
    <s v="MG"/>
    <x v="0"/>
    <x v="3"/>
    <x v="1"/>
    <s v="NULL"/>
    <x v="0"/>
    <x v="5"/>
    <s v="NÃO"/>
    <s v="MG"/>
    <s v="AGNÓSTICO/ATEU/SEM RELIGIÃO"/>
    <x v="1"/>
    <s v="NULL"/>
    <x v="2"/>
    <x v="2"/>
  </r>
  <r>
    <s v="1F6104DB44260B061CFEB728DD83FCD212912EAE907EA7662859C0255B1C3B2D"/>
    <x v="62"/>
    <s v="CASA DA VÍTIMA"/>
    <x v="2"/>
    <s v="NÃO SE APLICA"/>
    <s v="VIOLÊNCIA CONTRA CIDADÃO, FAMÍLIA OU COMUNIDADE"/>
    <s v="VIZINHO(A)"/>
    <x v="0"/>
    <x v="6"/>
    <s v="RJ"/>
    <x v="0"/>
    <x v="0"/>
    <x v="2"/>
    <s v="NULL"/>
    <x v="1"/>
    <x v="0"/>
    <s v="NÃO INFORMADO"/>
    <s v="RJ"/>
    <s v="AGNÓSTICO/ATEU/SEM RELIGIÃO"/>
    <x v="1"/>
    <s v="NULL"/>
    <x v="1"/>
    <x v="2"/>
  </r>
  <r>
    <s v="65AACB7B750537AA6D09398276BBED8586A3DCABBF996E1370B86ED743957669"/>
    <x v="62"/>
    <s v="OUTROS ESTABELECIMENTOS"/>
    <x v="2"/>
    <s v="HÁ MAIS DE UM ANO"/>
    <s v="VIOLÊNCIA CONTRA CIDADÃO, FAMÍLIA OU COMUNIDADE"/>
    <s v="OUTROS"/>
    <x v="0"/>
    <x v="9"/>
    <s v="RJ"/>
    <x v="0"/>
    <x v="3"/>
    <x v="0"/>
    <s v="NULL"/>
    <x v="0"/>
    <x v="8"/>
    <s v="NÃO"/>
    <s v="RJ"/>
    <s v="AGNÓSTICO/ATEU/SEM RELIGIÃO"/>
    <x v="2"/>
    <s v="NULL"/>
    <x v="0"/>
    <x v="2"/>
  </r>
  <r>
    <s v="F8E6424D01E08F3D9419D4AFDD687AB613219A5C34EF57C58609BA03C170BD14"/>
    <x v="63"/>
    <s v="AMBIENTE VIRTUAL (NO ÂMBITO DA INTERNET)"/>
    <x v="12"/>
    <s v="HÁ MAIS DE UM ANO"/>
    <s v="VIOLÊNCIA CONTRA CIDADÃO, FAMÍLIA OU COMUNIDADE"/>
    <s v="LÍDER RELIGIOSO(A)"/>
    <x v="1"/>
    <x v="2"/>
    <s v="DENUNCIANTE NÃO SOUBE INFORMAR"/>
    <x v="0"/>
    <x v="0"/>
    <x v="1"/>
    <s v="NULL"/>
    <x v="0"/>
    <x v="6"/>
    <s v="NÃO"/>
    <s v="SP"/>
    <s v="AGNÓSTICO/ATEU/SEM RELIGIÃO"/>
    <x v="0"/>
    <s v="NULL"/>
    <x v="1"/>
    <x v="2"/>
  </r>
  <r>
    <s v="F8E6424D01E08F3D9419D4AFDD687AB613219A5C34EF57C58609BA03C170BD14"/>
    <x v="63"/>
    <s v="AMBIENTE VIRTUAL (NO ÂMBITO DA INTERNET)"/>
    <x v="12"/>
    <s v="HÁ MAIS DE UM ANO"/>
    <s v="VIOLÊNCIA CONTRA CIDADÃO, FAMÍLIA OU COMUNIDADE"/>
    <s v="LÍDER RELIGIOSO(A)"/>
    <x v="1"/>
    <x v="2"/>
    <s v="DENUNCIANTE NÃO SOUBE INFORMAR"/>
    <x v="0"/>
    <x v="0"/>
    <x v="1"/>
    <s v="NULL"/>
    <x v="0"/>
    <x v="6"/>
    <s v="NÃO"/>
    <s v="SP"/>
    <s v="AGNÓSTICO/ATEU/SEM RELIGIÃO"/>
    <x v="0"/>
    <s v="NULL"/>
    <x v="0"/>
    <x v="2"/>
  </r>
  <r>
    <s v="43F6D2278F940FCAFB8CB1468C7C9375DD2E5249BD4BEAD7603CFE08F5BED054"/>
    <x v="64"/>
    <s v="OUTROS ESTABELECIMENTOS"/>
    <x v="15"/>
    <s v="NÃO SE APLICA"/>
    <s v="VIOLÊNCIA CONTRA CIDADÃO, FAMÍLIA OU COMUNIDADE"/>
    <s v="DESCONHECIDO(A)"/>
    <x v="1"/>
    <x v="4"/>
    <s v="PR"/>
    <x v="0"/>
    <x v="0"/>
    <x v="1"/>
    <s v="NULL"/>
    <x v="1"/>
    <x v="0"/>
    <s v="NÃO"/>
    <s v="PR"/>
    <s v="AGNÓSTICO/ATEU/SEM RELIGIÃO"/>
    <x v="1"/>
    <s v="NULL"/>
    <x v="0"/>
    <x v="2"/>
  </r>
  <r>
    <s v="C974522DAADF763859EF19493E58D28BA9FD284F0727A950CE7AFF41E1B2066E"/>
    <x v="64"/>
    <s v="CASA ONDE RESIDE A VÍTIMA E O SUSPEITO"/>
    <x v="1"/>
    <s v="HÁ MAIS DE UM ANO"/>
    <s v="VIOLÊNCIA CONTRA CIDADÃO, FAMÍLIA OU COMUNIDADE"/>
    <s v="PRIMO(A)"/>
    <x v="0"/>
    <x v="3"/>
    <s v="SP"/>
    <x v="9"/>
    <x v="4"/>
    <x v="0"/>
    <s v="NULL"/>
    <x v="2"/>
    <x v="9"/>
    <s v="NÃO INFORMADO"/>
    <s v="SP"/>
    <s v="AGNÓSTICO/ATEU/SEM RELIGIÃO"/>
    <x v="3"/>
    <s v="NULL"/>
    <x v="0"/>
    <x v="2"/>
  </r>
  <r>
    <s v="C5B19460B944F115CB3B7A316C24591CFE6297746DEAA80374B3B334E55609A7"/>
    <x v="64"/>
    <s v="CASA ONDE RESIDE A VÍTIMA E O SUSPEITO"/>
    <x v="1"/>
    <s v="HÁ MAIS DE UM ANO"/>
    <s v="VIOLÊNCIA CONTRA CIDADÃO, FAMÍLIA OU COMUNIDADE"/>
    <s v="PRIMO(A)"/>
    <x v="0"/>
    <x v="3"/>
    <s v="SP"/>
    <x v="9"/>
    <x v="4"/>
    <x v="0"/>
    <s v="NULL"/>
    <x v="0"/>
    <x v="11"/>
    <s v="NÃO INFORMADO"/>
    <s v="SP"/>
    <s v="AGNÓSTICO/ATEU/SEM RELIGIÃO"/>
    <x v="2"/>
    <s v="NULL"/>
    <x v="0"/>
    <x v="2"/>
  </r>
  <r>
    <s v="48963F53A9B6EFFA6EC002832BFD04D18FF09416958BC02B7B764F5C134836ED"/>
    <x v="64"/>
    <s v="LOCAL DE TRABALHO DO AGRESSOR"/>
    <x v="1"/>
    <s v="HÁ MAIS DE UM ANO"/>
    <s v="VIOLÊNCIA CONTRA CIDADÃO, FAMÍLIA OU COMUNIDADE"/>
    <s v="PRIMO(A)"/>
    <x v="0"/>
    <x v="3"/>
    <s v="SP"/>
    <x v="0"/>
    <x v="0"/>
    <x v="0"/>
    <s v="NULL"/>
    <x v="2"/>
    <x v="9"/>
    <s v="NÃO"/>
    <s v="SP"/>
    <s v="AGNÓSTICO/ATEU/SEM RELIGIÃO"/>
    <x v="2"/>
    <s v="NULL"/>
    <x v="0"/>
    <x v="2"/>
  </r>
  <r>
    <s v="BA16232CD0B85ECFEE89DCD877F0498C954F883BCC4A610C21AF2CCD92EBE41E"/>
    <x v="64"/>
    <s v="LOCAL DE TRABALHO DO AGRESSOR"/>
    <x v="1"/>
    <s v="HÁ MAIS DE UM ANO"/>
    <s v="VIOLÊNCIA CONTRA CIDADÃO, FAMÍLIA OU COMUNIDADE"/>
    <s v="PRIMO(A)"/>
    <x v="0"/>
    <x v="3"/>
    <s v="SP"/>
    <x v="0"/>
    <x v="0"/>
    <x v="0"/>
    <s v="NULL"/>
    <x v="2"/>
    <x v="2"/>
    <s v="NÃO"/>
    <s v="SP"/>
    <s v="AGNÓSTICO/ATEU/SEM RELIGIÃO"/>
    <x v="2"/>
    <s v="NULL"/>
    <x v="0"/>
    <x v="2"/>
  </r>
  <r>
    <s v="379768D2F339912CC250F6028A16286BA54D0DA95CD0A21C2045F8BE3DD79291"/>
    <x v="64"/>
    <s v="LOCAL DE TRABALHO DO AGRESSOR"/>
    <x v="1"/>
    <s v="HÁ MAIS DE UM ANO"/>
    <s v="VIOLÊNCIA CONTRA CIDADÃO, FAMÍLIA OU COMUNIDADE"/>
    <s v="PRIMO(A)"/>
    <x v="0"/>
    <x v="3"/>
    <s v="SP"/>
    <x v="0"/>
    <x v="0"/>
    <x v="0"/>
    <s v="NULL"/>
    <x v="0"/>
    <x v="7"/>
    <s v="NÃO"/>
    <s v="DENUNCIANTE NÃO SOUBE INFORMAR"/>
    <s v="AGNÓSTICO/ATEU/SEM RELIGIÃO"/>
    <x v="4"/>
    <s v="NULL"/>
    <x v="0"/>
    <x v="2"/>
  </r>
  <r>
    <s v="74532DB70A16A1C5789C05C9E3E0F725AA3E0B50FBE507E2E213C2DBDC3DB1D0"/>
    <x v="65"/>
    <s v="OUTROS ESTABELECIMENTOS"/>
    <x v="0"/>
    <s v="NÃO SE APLICA"/>
    <s v="VIOLÊNCIA CONTRA CIDADÃO, FAMÍLIA OU COMUNIDADE"/>
    <s v="OUTROS"/>
    <x v="2"/>
    <x v="7"/>
    <s v="DF"/>
    <x v="0"/>
    <x v="0"/>
    <x v="3"/>
    <s v="COMUNIDADES DE TERREIROS E MATRIZ AFRICANA"/>
    <x v="1"/>
    <x v="0"/>
    <s v="NÃO INFORMADO"/>
    <s v="DF"/>
    <s v="AGNÓSTICO/ATEU/SEM RELIGIÃO"/>
    <x v="1"/>
    <s v="SEGURANÇA PÚBLICA, FORÇAS ARMADAS, DEFESA CIVIL, BOMBEIROS E ASSEMELHADOS ? ESTADUAL/DISTRITO FEDERAL"/>
    <x v="0"/>
    <x v="2"/>
  </r>
  <r>
    <s v="AEB936B2BE3C63F03911C1339D23DA89D8258EB8B0195EE649F0830EAF6AA003"/>
    <x v="65"/>
    <s v="OUTROS ESTABELECIMENTOS"/>
    <x v="0"/>
    <s v="NÃO SE APLICA"/>
    <s v="VIOLÊNCIA CONTRA CIDADÃO, FAMÍLIA OU COMUNIDADE"/>
    <s v="OUTROS"/>
    <x v="2"/>
    <x v="7"/>
    <s v="DF"/>
    <x v="0"/>
    <x v="0"/>
    <x v="3"/>
    <s v="COMUNIDADES DE TERREIROS E MATRIZ AFRICANA"/>
    <x v="1"/>
    <x v="0"/>
    <s v="NÃO INFORMADO"/>
    <s v="DF"/>
    <s v="AGNÓSTICO/ATEU/SEM RELIGIÃO"/>
    <x v="1"/>
    <s v="SEGURANÇA PÚBLICA, FORÇAS ARMADAS, DEFESA CIVIL, BOMBEIROS E ASSEMELHADOS ? ESTADUAL/DISTRITO FEDERAL"/>
    <x v="0"/>
    <x v="2"/>
  </r>
  <r>
    <s v="6B4000B5380225211F84481C2D5CD3FD4837DAC54F19DEFAB7BB27C08A9C5DF5"/>
    <x v="65"/>
    <s v="CASA DA VÍTIMA"/>
    <x v="1"/>
    <s v="NÃO SE APLICA"/>
    <s v="VIOLÊNCIA CONTRA CIDADÃO, FAMÍLIA OU COMUNIDADE"/>
    <s v="IRMÃO(Ã)"/>
    <x v="0"/>
    <x v="2"/>
    <s v="SP"/>
    <x v="0"/>
    <x v="3"/>
    <x v="2"/>
    <s v="NULL"/>
    <x v="2"/>
    <x v="5"/>
    <s v="NÃO"/>
    <s v="SP"/>
    <s v="EVANGÉLICA"/>
    <x v="1"/>
    <s v="NULL"/>
    <x v="2"/>
    <x v="2"/>
  </r>
  <r>
    <s v="6B4000B5380225211F84481C2D5CD3FD4837DAC54F19DEFAB7BB27C08A9C5DF5"/>
    <x v="65"/>
    <s v="CASA DA VÍTIMA"/>
    <x v="1"/>
    <s v="NÃO SE APLICA"/>
    <s v="VIOLÊNCIA CONTRA CIDADÃO, FAMÍLIA OU COMUNIDADE"/>
    <s v="IRMÃO(Ã)"/>
    <x v="0"/>
    <x v="2"/>
    <s v="SP"/>
    <x v="0"/>
    <x v="3"/>
    <x v="2"/>
    <s v="NULL"/>
    <x v="2"/>
    <x v="5"/>
    <s v="NÃO"/>
    <s v="SP"/>
    <s v="EVANGÉLICA"/>
    <x v="1"/>
    <s v="NULL"/>
    <x v="0"/>
    <x v="2"/>
  </r>
  <r>
    <s v="9E357893104A50893F50357CCB44C585BE47121F7096DD821F8F1439860E694D"/>
    <x v="66"/>
    <s v="OUTROS ESTABELECIMENTOS"/>
    <x v="12"/>
    <s v="HÁ MAIS DE DEZ ANOS"/>
    <s v="VIOLÊNCIA CONTRA CIDADÃO, FAMÍLIA OU COMUNIDADE"/>
    <s v="NÃO SE APLICA"/>
    <x v="1"/>
    <x v="3"/>
    <s v="DENUNCIANTE NÃO SOUBE INFORMAR"/>
    <x v="0"/>
    <x v="0"/>
    <x v="1"/>
    <s v="NULL"/>
    <x v="1"/>
    <x v="0"/>
    <s v="NÃO INFORMADO"/>
    <s v="RJ"/>
    <s v="AGNÓSTICO/ATEU/SEM RELIGIÃO"/>
    <x v="1"/>
    <s v="OUTRAS ATIVIDADES DE SERVIÇOS"/>
    <x v="1"/>
    <x v="3"/>
  </r>
  <r>
    <s v="BA549E63803251FE5FC5184B131122F76FEAE0EDB114BB9FCD6442CAB4D3BC58"/>
    <x v="66"/>
    <s v="OUTROS ESTABELECIMENTOS"/>
    <x v="12"/>
    <s v="HÁ MAIS DE DEZ ANOS"/>
    <s v="VIOLÊNCIA CONTRA CIDADÃO, FAMÍLIA OU COMUNIDADE"/>
    <s v="NÃO SE APLICA"/>
    <x v="1"/>
    <x v="3"/>
    <s v="DENUNCIANTE NÃO SOUBE INFORMAR"/>
    <x v="0"/>
    <x v="0"/>
    <x v="1"/>
    <s v="NULL"/>
    <x v="1"/>
    <x v="0"/>
    <s v="NÃO INFORMADO"/>
    <s v="RJ"/>
    <s v="AGNÓSTICO/ATEU/SEM RELIGIÃO"/>
    <x v="1"/>
    <s v="OUTRAS ATIVIDADES DE SERVIÇOS"/>
    <x v="1"/>
    <x v="3"/>
  </r>
  <r>
    <s v="166F1282FFCB0E1399B962F7FA0D263E8B5A6057E76EBFA0B2F8363E12B318C2"/>
    <x v="66"/>
    <s v="CASA DA VÍTIMA"/>
    <x v="13"/>
    <s v="NÃO SE APLICA"/>
    <s v="VIOLÊNCIA CONTRA CIDADÃO, FAMÍLIA OU COMUNIDADE"/>
    <s v="VIZINHO(A)"/>
    <x v="1"/>
    <x v="7"/>
    <s v="PE"/>
    <x v="0"/>
    <x v="3"/>
    <x v="1"/>
    <s v="COMUNIDADES DE TERREIROS E MATRIZ AFRICANA"/>
    <x v="0"/>
    <x v="10"/>
    <s v="NÃO"/>
    <s v="PE"/>
    <s v="AGNÓSTICO/ATEU/SEM RELIGIÃO"/>
    <x v="0"/>
    <s v="NULL"/>
    <x v="2"/>
    <x v="3"/>
  </r>
  <r>
    <s v="C2556FBBD20C68AF5A9B7B0ACE9EA50B5B08EF5184BDE04390B44A3F3B65B87F"/>
    <x v="66"/>
    <s v="CASA DA VÍTIMA"/>
    <x v="13"/>
    <s v="NÃO SE APLICA"/>
    <s v="VIOLÊNCIA CONTRA CIDADÃO, FAMÍLIA OU COMUNIDADE"/>
    <s v="VIZINHO(A)"/>
    <x v="1"/>
    <x v="7"/>
    <s v="PE"/>
    <x v="0"/>
    <x v="3"/>
    <x v="1"/>
    <s v="COMUNIDADES DE TERREIROS E MATRIZ AFRICANA"/>
    <x v="1"/>
    <x v="0"/>
    <s v="NÃO"/>
    <s v="PE"/>
    <s v="AGNÓSTICO/ATEU/SEM RELIGIÃO"/>
    <x v="2"/>
    <s v="NULL"/>
    <x v="2"/>
    <x v="3"/>
  </r>
  <r>
    <s v="D949D1FAD2CD3B71A87DCC8F568F177EC73760C3323D42E77F205BCBDA67EB9C"/>
    <x v="66"/>
    <s v="CASA DA VÍTIMA"/>
    <x v="13"/>
    <s v="NÃO SE APLICA"/>
    <s v="VIOLÊNCIA CONTRA CIDADÃO, FAMÍLIA OU COMUNIDADE"/>
    <s v="VIZINHO(A)"/>
    <x v="1"/>
    <x v="7"/>
    <s v="PE"/>
    <x v="0"/>
    <x v="3"/>
    <x v="1"/>
    <s v="COMUNIDADES DE TERREIROS E MATRIZ AFRICANA"/>
    <x v="2"/>
    <x v="3"/>
    <s v="NÃO"/>
    <s v="PE"/>
    <s v="AGNÓSTICO/ATEU/SEM RELIGIÃO"/>
    <x v="0"/>
    <s v="NULL"/>
    <x v="2"/>
    <x v="3"/>
  </r>
  <r>
    <s v="166F1282FFCB0E1399B962F7FA0D263E8B5A6057E76EBFA0B2F8363E12B318C2"/>
    <x v="66"/>
    <s v="CASA DA VÍTIMA"/>
    <x v="13"/>
    <s v="NÃO SE APLICA"/>
    <s v="VIOLÊNCIA CONTRA CIDADÃO, FAMÍLIA OU COMUNIDADE"/>
    <s v="VIZINHO(A)"/>
    <x v="1"/>
    <x v="7"/>
    <s v="PE"/>
    <x v="0"/>
    <x v="3"/>
    <x v="1"/>
    <s v="COMUNIDADES DE TERREIROS E MATRIZ AFRICANA"/>
    <x v="0"/>
    <x v="10"/>
    <s v="NÃO"/>
    <s v="PE"/>
    <s v="AGNÓSTICO/ATEU/SEM RELIGIÃO"/>
    <x v="0"/>
    <s v="NULL"/>
    <x v="0"/>
    <x v="3"/>
  </r>
  <r>
    <s v="C2556FBBD20C68AF5A9B7B0ACE9EA50B5B08EF5184BDE04390B44A3F3B65B87F"/>
    <x v="66"/>
    <s v="CASA DA VÍTIMA"/>
    <x v="13"/>
    <s v="NÃO SE APLICA"/>
    <s v="VIOLÊNCIA CONTRA CIDADÃO, FAMÍLIA OU COMUNIDADE"/>
    <s v="VIZINHO(A)"/>
    <x v="1"/>
    <x v="7"/>
    <s v="PE"/>
    <x v="0"/>
    <x v="3"/>
    <x v="1"/>
    <s v="COMUNIDADES DE TERREIROS E MATRIZ AFRICANA"/>
    <x v="1"/>
    <x v="0"/>
    <s v="NÃO"/>
    <s v="PE"/>
    <s v="AGNÓSTICO/ATEU/SEM RELIGIÃO"/>
    <x v="2"/>
    <s v="NULL"/>
    <x v="0"/>
    <x v="3"/>
  </r>
  <r>
    <s v="D949D1FAD2CD3B71A87DCC8F568F177EC73760C3323D42E77F205BCBDA67EB9C"/>
    <x v="66"/>
    <s v="CASA DA VÍTIMA"/>
    <x v="13"/>
    <s v="NÃO SE APLICA"/>
    <s v="VIOLÊNCIA CONTRA CIDADÃO, FAMÍLIA OU COMUNIDADE"/>
    <s v="VIZINHO(A)"/>
    <x v="1"/>
    <x v="7"/>
    <s v="PE"/>
    <x v="0"/>
    <x v="3"/>
    <x v="1"/>
    <s v="COMUNIDADES DE TERREIROS E MATRIZ AFRICANA"/>
    <x v="2"/>
    <x v="3"/>
    <s v="NÃO"/>
    <s v="PE"/>
    <s v="AGNÓSTICO/ATEU/SEM RELIGIÃO"/>
    <x v="0"/>
    <s v="NULL"/>
    <x v="0"/>
    <x v="3"/>
  </r>
  <r>
    <s v="426C66581DBE9753F9CFED84E626478E3219C4F2652E293E85F2D6EF39F05612"/>
    <x v="67"/>
    <s v="CASA ONDE RESIDE A VÍTIMA E O SUSPEITO"/>
    <x v="1"/>
    <s v="HÁ MAIS DE SEIS MESES"/>
    <s v="VIOLÊNCIA CONTRA CIDADÃO, FAMÍLIA OU COMUNIDADE"/>
    <s v="EMPREGADOR/PATRÃO (HIERARQUICAMENTE SUPERIOR)"/>
    <x v="1"/>
    <x v="7"/>
    <s v="SP"/>
    <x v="0"/>
    <x v="0"/>
    <x v="1"/>
    <s v="NULL"/>
    <x v="1"/>
    <x v="0"/>
    <s v="NÃO INFORMADO"/>
    <s v="SP"/>
    <s v="AGNÓSTICO/ATEU/SEM RELIGIÃO"/>
    <x v="1"/>
    <s v="OUTRAS ATIVIDADES DE SERVIÇOS"/>
    <x v="0"/>
    <x v="3"/>
  </r>
  <r>
    <s v="ACBB6596E7E520B4EBF2903566FAC2725F6A7DD464B0691F83D830B0839092CF"/>
    <x v="68"/>
    <s v="AMBIENTE VIRTUAL (NO ÂMBITO DA INTERNET)"/>
    <x v="1"/>
    <s v="NÃO SE APLICA"/>
    <s v="VIOLÊNCIA CONTRA CIDADÃO, FAMÍLIA OU COMUNIDADE"/>
    <s v="COLEGA DE TRABALHO (MESMO NÍVEL HIERÁRQUICO)"/>
    <x v="0"/>
    <x v="3"/>
    <s v="SP"/>
    <x v="7"/>
    <x v="7"/>
    <x v="2"/>
    <s v="DEMAIS COMUNIDADES TRADICIONAIS"/>
    <x v="0"/>
    <x v="0"/>
    <s v="NÃO INFORMADO"/>
    <s v="SP"/>
    <s v="AGNÓSTICO/ATEU/SEM RELIGIÃO"/>
    <x v="1"/>
    <s v="NULL"/>
    <x v="0"/>
    <x v="3"/>
  </r>
  <r>
    <s v="A0C7F4C1E6C058EF9E05F27308F6C3216FCFE78804298486BCC8678D273B0038"/>
    <x v="68"/>
    <s v="AMBIENTE VIRTUAL (NO ÂMBITO DA INTERNET)"/>
    <x v="1"/>
    <s v="NÃO SE APLICA"/>
    <s v="VIOLÊNCIA CONTRA CIDADÃO, FAMÍLIA OU COMUNIDADE"/>
    <s v="COLEGA DE TRABALHO (MESMO NÍVEL HIERÁRQUICO)"/>
    <x v="0"/>
    <x v="3"/>
    <s v="SP"/>
    <x v="7"/>
    <x v="7"/>
    <x v="2"/>
    <s v="DEMAIS COMUNIDADES TRADICIONAIS"/>
    <x v="0"/>
    <x v="0"/>
    <s v="NÃO INFORMADO"/>
    <s v="SP"/>
    <s v="AGNÓSTICO/ATEU/SEM RELIGIÃO"/>
    <x v="1"/>
    <s v="NULL"/>
    <x v="0"/>
    <x v="3"/>
  </r>
  <r>
    <s v="3ACFBF60A13CDC990DB36FAB729673391DFA6DC2F5FB8784847FFE88DB461597"/>
    <x v="68"/>
    <s v="CASA DO SUSPEITO"/>
    <x v="2"/>
    <s v="HÁ MAIS DE UM ANO"/>
    <s v="VIOLÊNCIA CONTRA CIDADÃO, FAMÍLIA OU COMUNIDADE"/>
    <s v="VIZINHO(A)"/>
    <x v="0"/>
    <x v="0"/>
    <s v="RJ"/>
    <x v="0"/>
    <x v="0"/>
    <x v="3"/>
    <s v="NULL"/>
    <x v="0"/>
    <x v="2"/>
    <s v="NÃO"/>
    <s v="RJ"/>
    <s v="AGNÓSTICO/ATEU/SEM RELIGIÃO"/>
    <x v="2"/>
    <s v="NULL"/>
    <x v="0"/>
    <x v="3"/>
  </r>
  <r>
    <s v="8D45D98688C58A76C5B0AAF54D280C713C447C05F1D214CDC4B1A688387EA943"/>
    <x v="68"/>
    <s v="OUTROS ESTABELECIMENTOS"/>
    <x v="2"/>
    <s v="HÁ MAIS DE UM ANO"/>
    <s v="VIOLÊNCIA CONTRA CIDADÃO, FAMÍLIA OU COMUNIDADE"/>
    <s v="DESCONHECIDO(A)"/>
    <x v="0"/>
    <x v="6"/>
    <s v="RJ"/>
    <x v="0"/>
    <x v="0"/>
    <x v="0"/>
    <s v="NULL"/>
    <x v="0"/>
    <x v="5"/>
    <s v="NÃO"/>
    <s v="RJ"/>
    <s v="AGNÓSTICO/ATEU/SEM RELIGIÃO"/>
    <x v="3"/>
    <s v="NULL"/>
    <x v="0"/>
    <x v="3"/>
  </r>
  <r>
    <s v="94E8E444F89DE10B0E5C3A9487ECBE4F255E52372774D87B97BBE157AAFF451D"/>
    <x v="68"/>
    <s v="CASA DA VÍTIMA"/>
    <x v="2"/>
    <s v="HÁ MAIS DE SEIS MESES"/>
    <s v="VIOLÊNCIA CONTRA CIDADÃO, FAMÍLIA OU COMUNIDADE"/>
    <s v="OUTROS"/>
    <x v="0"/>
    <x v="4"/>
    <s v="RJ"/>
    <x v="0"/>
    <x v="0"/>
    <x v="2"/>
    <s v="NULL"/>
    <x v="2"/>
    <x v="0"/>
    <s v="NÃO INFORMADO"/>
    <s v="RJ"/>
    <s v="AGNÓSTICO/ATEU/SEM RELIGIÃO"/>
    <x v="1"/>
    <s v="NULL"/>
    <x v="2"/>
    <x v="3"/>
  </r>
  <r>
    <s v="94E8E444F89DE10B0E5C3A9487ECBE4F255E52372774D87B97BBE157AAFF451D"/>
    <x v="68"/>
    <s v="CASA DA VÍTIMA"/>
    <x v="2"/>
    <s v="HÁ MAIS DE SEIS MESES"/>
    <s v="VIOLÊNCIA CONTRA CIDADÃO, FAMÍLIA OU COMUNIDADE"/>
    <s v="OUTROS"/>
    <x v="0"/>
    <x v="4"/>
    <s v="RJ"/>
    <x v="0"/>
    <x v="0"/>
    <x v="2"/>
    <s v="NULL"/>
    <x v="2"/>
    <x v="0"/>
    <s v="NÃO INFORMADO"/>
    <s v="RJ"/>
    <s v="AGNÓSTICO/ATEU/SEM RELIGIÃO"/>
    <x v="1"/>
    <s v="NULL"/>
    <x v="0"/>
    <x v="3"/>
  </r>
  <r>
    <s v="C6BFCFDECA4A8807A6BCEC3F15188403A45B11F26882AADE5EB96438D0CD0F2A"/>
    <x v="69"/>
    <s v="OUTROS ESTABELECIMENTOS"/>
    <x v="4"/>
    <s v="HÁ MAIS DE UM ANO"/>
    <s v="VIOLÊNCIA CONTRA CIDADÃO, FAMÍLIA OU COMUNIDADE"/>
    <s v="OUTROS"/>
    <x v="1"/>
    <x v="5"/>
    <s v="MG"/>
    <x v="0"/>
    <x v="8"/>
    <x v="1"/>
    <s v="DEMAIS COMUNIDADES TRADICIONAIS"/>
    <x v="1"/>
    <x v="2"/>
    <s v="NÃO INFORMADO"/>
    <s v="DENUNCIANTE NÃO SOUBE INFORMAR"/>
    <s v="OUTRAS RELIGIOSIDADES CRISTÃS"/>
    <x v="1"/>
    <s v="NULL"/>
    <x v="0"/>
    <x v="3"/>
  </r>
  <r>
    <s v="20CFFD1CA2CC8990F7A74903F1584C999996A3EAFD4EAE2EC15E629D77DC3CA9"/>
    <x v="69"/>
    <s v="OUTROS ESTABELECIMENTOS"/>
    <x v="2"/>
    <s v="NÃO SABE INFORMAR"/>
    <s v="VIOLÊNCIA CONTRA CIDADÃO, FAMÍLIA OU COMUNIDADE"/>
    <s v="OUTROS"/>
    <x v="1"/>
    <x v="3"/>
    <s v="RJ"/>
    <x v="0"/>
    <x v="0"/>
    <x v="1"/>
    <s v="NULL"/>
    <x v="1"/>
    <x v="0"/>
    <s v="NÃO INFORMADO"/>
    <s v="RJ"/>
    <s v="AGNÓSTICO/ATEU/SEM RELIGIÃO"/>
    <x v="1"/>
    <s v="AGÊNCIA REGULADORA ? MUNICIPAL"/>
    <x v="2"/>
    <x v="3"/>
  </r>
  <r>
    <s v="20CFFD1CA2CC8990F7A74903F1584C999996A3EAFD4EAE2EC15E629D77DC3CA9"/>
    <x v="69"/>
    <s v="OUTROS ESTABELECIMENTOS"/>
    <x v="2"/>
    <s v="NÃO SABE INFORMAR"/>
    <s v="VIOLÊNCIA CONTRA CIDADÃO, FAMÍLIA OU COMUNIDADE"/>
    <s v="OUTROS"/>
    <x v="1"/>
    <x v="3"/>
    <s v="RJ"/>
    <x v="0"/>
    <x v="0"/>
    <x v="1"/>
    <s v="NULL"/>
    <x v="1"/>
    <x v="0"/>
    <s v="NÃO INFORMADO"/>
    <s v="RJ"/>
    <s v="AGNÓSTICO/ATEU/SEM RELIGIÃO"/>
    <x v="1"/>
    <s v="AGÊNCIA REGULADORA ? MUNICIPAL"/>
    <x v="1"/>
    <x v="3"/>
  </r>
  <r>
    <s v="806C029731D7BB5D51BA51F5D18E8BB3D24E59CC2AE6FB9C5C2B658120837481"/>
    <x v="69"/>
    <s v="OUTROS ESTABELECIMENTOS"/>
    <x v="2"/>
    <s v="NÃO SABE INFORMAR"/>
    <s v="VIOLÊNCIA CONTRA CIDADÃO, FAMÍLIA OU COMUNIDADE"/>
    <s v="OUTROS"/>
    <x v="0"/>
    <x v="4"/>
    <s v="RJ"/>
    <x v="0"/>
    <x v="0"/>
    <x v="0"/>
    <s v="NULL"/>
    <x v="2"/>
    <x v="4"/>
    <s v="NÃO"/>
    <s v="RJ"/>
    <s v="AGNÓSTICO/ATEU/SEM RELIGIÃO"/>
    <x v="2"/>
    <s v="NULL"/>
    <x v="0"/>
    <x v="3"/>
  </r>
  <r>
    <s v="61EE242E0CF5BD4E0311DD300C9508470F1F4CE52B88FD7F5BDBA3D3B15F2F17"/>
    <x v="69"/>
    <s v="OUTROS ESTABELECIMENTOS"/>
    <x v="2"/>
    <s v="HÁ MAIS DE CINCO ANOS"/>
    <s v="VIOLÊNCIA CONTRA CIDADÃO, FAMÍLIA OU COMUNIDADE"/>
    <s v="OUTROS"/>
    <x v="0"/>
    <x v="9"/>
    <s v="RJ"/>
    <x v="0"/>
    <x v="0"/>
    <x v="0"/>
    <s v="NULL"/>
    <x v="0"/>
    <x v="0"/>
    <s v="NÃO INFORMADO"/>
    <s v="RJ"/>
    <s v="AGNÓSTICO/ATEU/SEM RELIGIÃO"/>
    <x v="1"/>
    <s v="NULL"/>
    <x v="0"/>
    <x v="3"/>
  </r>
  <r>
    <s v="896D8B9C7AD32E8CA2D5F0318898AC83F3155205CB493B86376FE506E7C2AC6B"/>
    <x v="69"/>
    <s v="OUTROS ESTABELECIMENTOS"/>
    <x v="2"/>
    <s v="HÁ MAIS DE CINCO ANOS"/>
    <s v="VIOLÊNCIA CONTRA CIDADÃO, FAMÍLIA OU COMUNIDADE"/>
    <s v="OUTROS"/>
    <x v="0"/>
    <x v="9"/>
    <s v="RJ"/>
    <x v="0"/>
    <x v="0"/>
    <x v="0"/>
    <s v="NULL"/>
    <x v="2"/>
    <x v="0"/>
    <s v="NÃO INFORMADO"/>
    <s v="RJ"/>
    <s v="AGNÓSTICO/ATEU/SEM RELIGIÃO"/>
    <x v="1"/>
    <s v="NULL"/>
    <x v="1"/>
    <x v="3"/>
  </r>
  <r>
    <s v="61EE242E0CF5BD4E0311DD300C9508470F1F4CE52B88FD7F5BDBA3D3B15F2F17"/>
    <x v="69"/>
    <s v="OUTROS ESTABELECIMENTOS"/>
    <x v="2"/>
    <s v="HÁ MAIS DE CINCO ANOS"/>
    <s v="VIOLÊNCIA CONTRA CIDADÃO, FAMÍLIA OU COMUNIDADE"/>
    <s v="OUTROS"/>
    <x v="0"/>
    <x v="9"/>
    <s v="RJ"/>
    <x v="0"/>
    <x v="0"/>
    <x v="0"/>
    <s v="NULL"/>
    <x v="0"/>
    <x v="0"/>
    <s v="NÃO INFORMADO"/>
    <s v="RJ"/>
    <s v="AGNÓSTICO/ATEU/SEM RELIGIÃO"/>
    <x v="1"/>
    <s v="NULL"/>
    <x v="1"/>
    <x v="3"/>
  </r>
  <r>
    <s v="896D8B9C7AD32E8CA2D5F0318898AC83F3155205CB493B86376FE506E7C2AC6B"/>
    <x v="69"/>
    <s v="OUTROS ESTABELECIMENTOS"/>
    <x v="2"/>
    <s v="HÁ MAIS DE CINCO ANOS"/>
    <s v="VIOLÊNCIA CONTRA CIDADÃO, FAMÍLIA OU COMUNIDADE"/>
    <s v="OUTROS"/>
    <x v="0"/>
    <x v="9"/>
    <s v="RJ"/>
    <x v="0"/>
    <x v="0"/>
    <x v="0"/>
    <s v="NULL"/>
    <x v="2"/>
    <x v="0"/>
    <s v="NÃO INFORMADO"/>
    <s v="RJ"/>
    <s v="AGNÓSTICO/ATEU/SEM RELIGIÃO"/>
    <x v="1"/>
    <s v="NULL"/>
    <x v="0"/>
    <x v="3"/>
  </r>
  <r>
    <s v="61EE242E0CF5BD4E0311DD300C9508470F1F4CE52B88FD7F5BDBA3D3B15F2F17"/>
    <x v="69"/>
    <s v="OUTROS ESTABELECIMENTOS"/>
    <x v="2"/>
    <s v="HÁ MAIS DE CINCO ANOS"/>
    <s v="VIOLÊNCIA CONTRA CIDADÃO, FAMÍLIA OU COMUNIDADE"/>
    <s v="OUTROS"/>
    <x v="0"/>
    <x v="9"/>
    <s v="RJ"/>
    <x v="0"/>
    <x v="0"/>
    <x v="0"/>
    <s v="NULL"/>
    <x v="0"/>
    <x v="0"/>
    <s v="NÃO INFORMADO"/>
    <s v="RJ"/>
    <s v="AGNÓSTICO/ATEU/SEM RELIGIÃO"/>
    <x v="1"/>
    <s v="NULL"/>
    <x v="2"/>
    <x v="3"/>
  </r>
  <r>
    <s v="896D8B9C7AD32E8CA2D5F0318898AC83F3155205CB493B86376FE506E7C2AC6B"/>
    <x v="69"/>
    <s v="OUTROS ESTABELECIMENTOS"/>
    <x v="2"/>
    <s v="HÁ MAIS DE CINCO ANOS"/>
    <s v="VIOLÊNCIA CONTRA CIDADÃO, FAMÍLIA OU COMUNIDADE"/>
    <s v="OUTROS"/>
    <x v="0"/>
    <x v="9"/>
    <s v="RJ"/>
    <x v="0"/>
    <x v="0"/>
    <x v="0"/>
    <s v="NULL"/>
    <x v="2"/>
    <x v="0"/>
    <s v="NÃO INFORMADO"/>
    <s v="RJ"/>
    <s v="AGNÓSTICO/ATEU/SEM RELIGIÃO"/>
    <x v="1"/>
    <s v="NULL"/>
    <x v="2"/>
    <x v="3"/>
  </r>
  <r>
    <s v="1ED1D7DC54350D5073EB9EDF03556EC3D5FCE87034D466E543E0D056056AED5E"/>
    <x v="69"/>
    <s v="OUTROS ESTABELECIMENTOS"/>
    <x v="15"/>
    <s v="NÃO SE APLICA"/>
    <s v="VIOLÊNCIA CONTRA CIDADÃO, FAMÍLIA OU COMUNIDADE"/>
    <s v="DIRETOR(A) DE UNIDADE PRISIONAL"/>
    <x v="0"/>
    <x v="2"/>
    <s v="PR"/>
    <x v="0"/>
    <x v="0"/>
    <x v="2"/>
    <s v="NULL"/>
    <x v="1"/>
    <x v="0"/>
    <s v="NÃO INFORMADO"/>
    <s v="PR"/>
    <s v="AGNÓSTICO/ATEU/SEM RELIGIÃO"/>
    <x v="1"/>
    <s v="PODER EXECUTIVO EM GERAL ? ESTADUAL/DISTRITO FEDERAL"/>
    <x v="0"/>
    <x v="3"/>
  </r>
  <r>
    <s v="4952C3D56F169541161B75DE30FAC107344B0C564F3B055367FBBAE7F423EB49"/>
    <x v="70"/>
    <s v="CASA ONDE RESIDE A VÍTIMA E O SUSPEITO"/>
    <x v="2"/>
    <s v="HÁ MAIS DE CINCO ANOS"/>
    <s v="VIOLÊNCIA CONTRA CIDADÃO, FAMÍLIA OU COMUNIDADE"/>
    <s v="AVÔ(Ó)"/>
    <x v="0"/>
    <x v="6"/>
    <s v="RJ"/>
    <x v="0"/>
    <x v="3"/>
    <x v="0"/>
    <s v="NULL"/>
    <x v="2"/>
    <x v="1"/>
    <s v="NÃO"/>
    <s v="RJ"/>
    <s v="EVANGÉLICA"/>
    <x v="2"/>
    <s v="NULL"/>
    <x v="2"/>
    <x v="3"/>
  </r>
  <r>
    <s v="4952C3D56F169541161B75DE30FAC107344B0C564F3B055367FBBAE7F423EB49"/>
    <x v="70"/>
    <s v="CASA ONDE RESIDE A VÍTIMA E O SUSPEITO"/>
    <x v="2"/>
    <s v="HÁ MAIS DE CINCO ANOS"/>
    <s v="VIOLÊNCIA CONTRA CIDADÃO, FAMÍLIA OU COMUNIDADE"/>
    <s v="AVÔ(Ó)"/>
    <x v="0"/>
    <x v="6"/>
    <s v="RJ"/>
    <x v="0"/>
    <x v="3"/>
    <x v="0"/>
    <s v="NULL"/>
    <x v="2"/>
    <x v="1"/>
    <s v="NÃO"/>
    <s v="RJ"/>
    <s v="EVANGÉLICA"/>
    <x v="2"/>
    <s v="NULL"/>
    <x v="1"/>
    <x v="3"/>
  </r>
  <r>
    <s v="5616FAEFDB7AECA7F446F6668B61C959A0F1D2CC96055EE8ADACAE47EE9675E8"/>
    <x v="71"/>
    <s v="OUTROS ESTABELECIMENTOS"/>
    <x v="3"/>
    <s v="HÁ MAIS DE UM ANO"/>
    <s v="VIOLÊNCIA CONTRA CIDADÃO, FAMÍLIA OU COMUNIDADE"/>
    <s v="LÍDER RELIGIOSO(A)"/>
    <x v="0"/>
    <x v="3"/>
    <s v="BA"/>
    <x v="0"/>
    <x v="0"/>
    <x v="2"/>
    <s v="NULL"/>
    <x v="1"/>
    <x v="0"/>
    <s v="NÃO INFORMADO"/>
    <s v="BA"/>
    <s v="AGNÓSTICO/ATEU/SEM RELIGIÃO"/>
    <x v="1"/>
    <s v="OUTRAS ATIVIDADES DE SERVIÇOS"/>
    <x v="2"/>
    <x v="3"/>
  </r>
  <r>
    <s v="699BE190DD0843CADA4AC973B5EF43A205F7E54DF0166FE04061C71471940D5E"/>
    <x v="71"/>
    <s v="CASA DA VÍTIMA"/>
    <x v="2"/>
    <s v="HÁ MAIS DE CINCO ANOS"/>
    <s v="VIOLÊNCIA CONTRA CIDADÃO, FAMÍLIA OU COMUNIDADE"/>
    <s v="VIZINHO(A)"/>
    <x v="0"/>
    <x v="9"/>
    <s v="RJ"/>
    <x v="4"/>
    <x v="0"/>
    <x v="0"/>
    <s v="NULL"/>
    <x v="2"/>
    <x v="1"/>
    <s v="NÃO"/>
    <s v="RJ"/>
    <s v="AGNÓSTICO/ATEU/SEM RELIGIÃO"/>
    <x v="3"/>
    <s v="NULL"/>
    <x v="2"/>
    <x v="3"/>
  </r>
  <r>
    <s v="699BE190DD0843CADA4AC973B5EF43A205F7E54DF0166FE04061C71471940D5E"/>
    <x v="71"/>
    <s v="CASA DA VÍTIMA"/>
    <x v="2"/>
    <s v="HÁ MAIS DE CINCO ANOS"/>
    <s v="VIOLÊNCIA CONTRA CIDADÃO, FAMÍLIA OU COMUNIDADE"/>
    <s v="VIZINHO(A)"/>
    <x v="0"/>
    <x v="9"/>
    <s v="RJ"/>
    <x v="4"/>
    <x v="0"/>
    <x v="0"/>
    <s v="NULL"/>
    <x v="2"/>
    <x v="1"/>
    <s v="NÃO"/>
    <s v="RJ"/>
    <s v="AGNÓSTICO/ATEU/SEM RELIGIÃO"/>
    <x v="3"/>
    <s v="NULL"/>
    <x v="0"/>
    <x v="3"/>
  </r>
  <r>
    <s v="6786C2C2F6B97CD338F4D21DAA6A1E1FDF936A2DFCE50967E260ABE5FE22D2DB"/>
    <x v="71"/>
    <s v="CASA DA VÍTIMA"/>
    <x v="2"/>
    <s v="NÃO SABE INFORMAR"/>
    <s v="VIOLÊNCIA CONTRA CIDADÃO, FAMÍLIA OU COMUNIDADE"/>
    <s v="DESCONHECIDO(A)"/>
    <x v="0"/>
    <x v="9"/>
    <s v="RJ"/>
    <x v="0"/>
    <x v="0"/>
    <x v="0"/>
    <s v="NULL"/>
    <x v="1"/>
    <x v="0"/>
    <s v="NÃO INFORMADO"/>
    <s v="ATENDIMENTO INTERROMPIDO"/>
    <s v="AGNÓSTICO/ATEU/SEM RELIGIÃO"/>
    <x v="1"/>
    <s v="NULL"/>
    <x v="0"/>
    <x v="3"/>
  </r>
  <r>
    <s v="9A942B92B48462DD21013585F7EF48A4AF14718984E24802A285EC08232DD722"/>
    <x v="72"/>
    <s v="AMBIENTE VIRTUAL (NO ÂMBITO DA INTERNET)"/>
    <x v="12"/>
    <s v="NÃO SE APLICA"/>
    <s v="VIOLÊNCIA CONTRA CIDADÃO, FAMÍLIA OU COMUNIDADE"/>
    <s v="VIZINHO(A)"/>
    <x v="0"/>
    <x v="2"/>
    <s v="SC"/>
    <x v="0"/>
    <x v="0"/>
    <x v="2"/>
    <s v="NULL"/>
    <x v="2"/>
    <x v="8"/>
    <s v="NÃO"/>
    <s v="SC"/>
    <s v="AGNÓSTICO/ATEU/SEM RELIGIÃO"/>
    <x v="0"/>
    <s v="NULL"/>
    <x v="0"/>
    <x v="3"/>
  </r>
  <r>
    <s v="B5B7D4C2EECBBAED65F156A68C517B923FAF804908F465A3DA117B86265778AD"/>
    <x v="72"/>
    <s v="AMBIENTE VIRTUAL (NO ÂMBITO DA INTERNET)"/>
    <x v="12"/>
    <s v="NÃO SE APLICA"/>
    <s v="VIOLÊNCIA CONTRA CIDADÃO, FAMÍLIA OU COMUNIDADE"/>
    <s v="VIZINHO(A)"/>
    <x v="0"/>
    <x v="2"/>
    <s v="SC"/>
    <x v="0"/>
    <x v="0"/>
    <x v="2"/>
    <s v="NULL"/>
    <x v="2"/>
    <x v="1"/>
    <s v="NÃO"/>
    <s v="SC"/>
    <s v="AGNÓSTICO/ATEU/SEM RELIGIÃO"/>
    <x v="0"/>
    <s v="NULL"/>
    <x v="0"/>
    <x v="3"/>
  </r>
  <r>
    <s v="D63D734EEA686AA000D163BAC21373F9C67DE2F27F86749F6F54F8C03454A844"/>
    <x v="72"/>
    <s v="OUTROS ESTABELECIMENTOS"/>
    <x v="2"/>
    <s v="HÁ MAIS DE CINCO ANOS"/>
    <s v="VIOLÊNCIA CONTRA CIDADÃO, FAMÍLIA OU COMUNIDADE"/>
    <s v="OUTROS"/>
    <x v="0"/>
    <x v="4"/>
    <s v="RJ"/>
    <x v="0"/>
    <x v="3"/>
    <x v="0"/>
    <s v="NULL"/>
    <x v="0"/>
    <x v="1"/>
    <s v="NÃO"/>
    <s v="RJ"/>
    <s v="AGNÓSTICO/ATEU/SEM RELIGIÃO"/>
    <x v="1"/>
    <s v="NULL"/>
    <x v="0"/>
    <x v="3"/>
  </r>
  <r>
    <s v="9592F6567DB932B32B3236E8E648BA717C2858AF4F36E6EB605D3F69B52FCB9E"/>
    <x v="72"/>
    <s v="OUTROS ESTABELECIMENTOS"/>
    <x v="16"/>
    <s v="NÃO SE APLICA"/>
    <s v="VIOLÊNCIA CONTRA CIDADÃO, FAMÍLIA OU COMUNIDADE"/>
    <s v="OUTROS"/>
    <x v="0"/>
    <x v="6"/>
    <s v="RS"/>
    <x v="8"/>
    <x v="0"/>
    <x v="0"/>
    <s v="NULL"/>
    <x v="1"/>
    <x v="0"/>
    <s v="NÃO INFORMADO"/>
    <s v="RS"/>
    <s v="AGNÓSTICO/ATEU/SEM RELIGIÃO"/>
    <x v="1"/>
    <s v="OUTRAS ATIVIDADES DE SERVIÇOS"/>
    <x v="0"/>
    <x v="3"/>
  </r>
  <r>
    <s v="72EA509C7DE31198BC91D08C237A76E000B05001BDC87C66DDDC0B6DFB639514"/>
    <x v="73"/>
    <s v="OUTROS ESTABELECIMENTOS"/>
    <x v="19"/>
    <s v="HÁ MAIS DE UM ANO"/>
    <s v="VIOLÊNCIA CONTRA CIDADÃO, FAMÍLIA OU COMUNIDADE"/>
    <s v="OUTROS"/>
    <x v="1"/>
    <x v="5"/>
    <s v="PB"/>
    <x v="0"/>
    <x v="0"/>
    <x v="1"/>
    <s v="NULL"/>
    <x v="2"/>
    <x v="2"/>
    <s v="NÃO"/>
    <s v="PB"/>
    <s v="AGNÓSTICO/ATEU/SEM RELIGIÃO"/>
    <x v="0"/>
    <s v="NULL"/>
    <x v="0"/>
    <x v="3"/>
  </r>
  <r>
    <s v="8E173EAD479D24F4540FFAE3EED9FA048F90D9FD9325983D7F95D1BDB79EE8A3"/>
    <x v="74"/>
    <s v="OUTROS ESTABELECIMENTOS"/>
    <x v="21"/>
    <s v="NÃO SE APLICA"/>
    <s v="VIOLÊNCIA CONTRA CIDADÃO, FAMÍLIA OU COMUNIDADE"/>
    <s v="OUTROS"/>
    <x v="1"/>
    <x v="2"/>
    <s v="PI"/>
    <x v="0"/>
    <x v="2"/>
    <x v="1"/>
    <s v="NULL"/>
    <x v="1"/>
    <x v="0"/>
    <s v="NÃO INFORMADO"/>
    <s v="PI"/>
    <s v="AGNÓSTICO/ATEU/SEM RELIGIÃO"/>
    <x v="1"/>
    <s v="AGÊNCIA REGULADORA ? FEDERAL"/>
    <x v="2"/>
    <x v="3"/>
  </r>
  <r>
    <s v="17A8B5327185DCE6DDE6B2572B447BB91C1C91BEBDA9EA74C25859632317643F"/>
    <x v="74"/>
    <s v="OUTROS ESTABELECIMENTOS"/>
    <x v="9"/>
    <s v="HÁ MAIS DE SEIS MESES"/>
    <s v="VIOLÊNCIA CONTRA CIDADÃO, FAMÍLIA OU COMUNIDADE"/>
    <s v="COLEGA DE TRABALHO (MESMO NÍVEL HIERÁRQUICO)"/>
    <x v="0"/>
    <x v="5"/>
    <s v="SC"/>
    <x v="0"/>
    <x v="0"/>
    <x v="2"/>
    <s v="NULL"/>
    <x v="0"/>
    <x v="2"/>
    <s v="NÃO"/>
    <s v="SC"/>
    <s v="AGNÓSTICO/ATEU/SEM RELIGIÃO"/>
    <x v="0"/>
    <s v="NULL"/>
    <x v="2"/>
    <x v="3"/>
  </r>
  <r>
    <s v="17A8B5327185DCE6DDE6B2572B447BB91C1C91BEBDA9EA74C25859632317643F"/>
    <x v="74"/>
    <s v="OUTROS ESTABELECIMENTOS"/>
    <x v="9"/>
    <s v="HÁ MAIS DE SEIS MESES"/>
    <s v="VIOLÊNCIA CONTRA CIDADÃO, FAMÍLIA OU COMUNIDADE"/>
    <s v="COLEGA DE TRABALHO (MESMO NÍVEL HIERÁRQUICO)"/>
    <x v="0"/>
    <x v="5"/>
    <s v="SC"/>
    <x v="0"/>
    <x v="0"/>
    <x v="2"/>
    <s v="NULL"/>
    <x v="0"/>
    <x v="2"/>
    <s v="NÃO"/>
    <s v="SC"/>
    <s v="AGNÓSTICO/ATEU/SEM RELIGIÃO"/>
    <x v="0"/>
    <s v="NULL"/>
    <x v="1"/>
    <x v="3"/>
  </r>
  <r>
    <s v="AB92103CFC56B7E1B40E08C618F7B350BA658E086233AF5103D89D6E443EBE56"/>
    <x v="75"/>
    <s v="OUTROS ESTABELECIMENTOS"/>
    <x v="7"/>
    <s v="NÃO SE APLICA"/>
    <s v="VIOLÊNCIA CONTRA CIDADÃO, FAMÍLIA OU COMUNIDADE"/>
    <s v="DESCONHECIDO(A)"/>
    <x v="0"/>
    <x v="2"/>
    <s v="ES"/>
    <x v="0"/>
    <x v="3"/>
    <x v="2"/>
    <s v="NULL"/>
    <x v="0"/>
    <x v="0"/>
    <s v="NÃO INFORMADO"/>
    <s v="ES"/>
    <s v="AGNÓSTICO/ATEU/SEM RELIGIÃO"/>
    <x v="2"/>
    <s v="NULL"/>
    <x v="0"/>
    <x v="3"/>
  </r>
  <r>
    <s v="F08BC5C046EE84504368471E5437A105C46FCC691CD24F5AE503F797F3BE8234"/>
    <x v="76"/>
    <s v="AMBIENTE VIRTUAL (NO ÂMBITO DA INTERNET)"/>
    <x v="13"/>
    <s v="HÁ UMA SEMANA"/>
    <s v="VIOLÊNCIA CONTRA CIDADÃO, FAMÍLIA OU COMUNIDADE"/>
    <s v="OUTROS"/>
    <x v="1"/>
    <x v="3"/>
    <s v="PE"/>
    <x v="0"/>
    <x v="1"/>
    <x v="1"/>
    <s v="NULL"/>
    <x v="2"/>
    <x v="0"/>
    <s v="NÃO"/>
    <s v="PE"/>
    <s v="AGNÓSTICO/ATEU/SEM RELIGIÃO"/>
    <x v="0"/>
    <s v="NULL"/>
    <x v="0"/>
    <x v="3"/>
  </r>
  <r>
    <s v="3D61EB3FD8BD8A9F933769107260E9D833291DBE65254E48119DECF542830C06"/>
    <x v="77"/>
    <s v="CASA DA VÍTIMA"/>
    <x v="1"/>
    <s v="NÃO SE APLICA"/>
    <s v="VIOLÊNCIA CONTRA CIDADÃO, FAMÍLIA OU COMUNIDADE"/>
    <s v="SOGRO(A)"/>
    <x v="0"/>
    <x v="4"/>
    <s v="SP"/>
    <x v="9"/>
    <x v="3"/>
    <x v="0"/>
    <s v="NULL"/>
    <x v="0"/>
    <x v="8"/>
    <s v="NÃO INFORMADO"/>
    <s v="SP"/>
    <s v="EVANGÉLICA"/>
    <x v="0"/>
    <s v="NULL"/>
    <x v="2"/>
    <x v="3"/>
  </r>
  <r>
    <s v="3D61EB3FD8BD8A9F933769107260E9D833291DBE65254E48119DECF542830C06"/>
    <x v="77"/>
    <s v="CASA DA VÍTIMA"/>
    <x v="1"/>
    <s v="NÃO SE APLICA"/>
    <s v="VIOLÊNCIA CONTRA CIDADÃO, FAMÍLIA OU COMUNIDADE"/>
    <s v="SOGRO(A)"/>
    <x v="0"/>
    <x v="4"/>
    <s v="SP"/>
    <x v="9"/>
    <x v="3"/>
    <x v="0"/>
    <s v="NULL"/>
    <x v="0"/>
    <x v="8"/>
    <s v="NÃO INFORMADO"/>
    <s v="SP"/>
    <s v="EVANGÉLICA"/>
    <x v="0"/>
    <s v="NULL"/>
    <x v="0"/>
    <x v="3"/>
  </r>
  <r>
    <s v="BA429F759FA49F30C5E91947B62A756E079FA24E98DF9AE40F068F6333361907"/>
    <x v="77"/>
    <s v="CASA DA VÍTIMA"/>
    <x v="15"/>
    <s v="HÁ MAIS DE UM ANO"/>
    <s v="VIOLÊNCIA CONTRA CIDADÃO, FAMÍLIA OU COMUNIDADE"/>
    <s v="VIZINHO(A)"/>
    <x v="0"/>
    <x v="2"/>
    <s v="PR"/>
    <x v="3"/>
    <x v="3"/>
    <x v="0"/>
    <s v="NULL"/>
    <x v="2"/>
    <x v="7"/>
    <s v="NÃO"/>
    <s v="PR"/>
    <s v="AGNÓSTICO/ATEU/SEM RELIGIÃO"/>
    <x v="2"/>
    <s v="NULL"/>
    <x v="0"/>
    <x v="3"/>
  </r>
  <r>
    <s v="507EA2D1EB1B776A80C0E3A2584CC584C8FAA405235EC2456BBFBA3C280ABD0C"/>
    <x v="77"/>
    <s v="CASA DA VÍTIMA"/>
    <x v="22"/>
    <s v="HÁ MAIS DE SEIS MESES"/>
    <s v="VIOLÊNCIA CONTRA CIDADÃO, FAMÍLIA OU COMUNIDADE"/>
    <s v="VIZINHO(A)"/>
    <x v="0"/>
    <x v="3"/>
    <s v="AL"/>
    <x v="0"/>
    <x v="0"/>
    <x v="0"/>
    <s v="NULL"/>
    <x v="0"/>
    <x v="0"/>
    <s v="NÃO INFORMADO"/>
    <s v="AL"/>
    <s v="AGNÓSTICO/ATEU/SEM RELIGIÃO"/>
    <x v="1"/>
    <s v="NULL"/>
    <x v="0"/>
    <x v="3"/>
  </r>
  <r>
    <s v="581865504CCF9C2D7349052A28ACF06186784DACE7C81CA60BE41BE0F9E3F16A"/>
    <x v="77"/>
    <s v="CASA ONDE RESIDE A VÍTIMA E O SUSPEITO"/>
    <x v="1"/>
    <s v="HÁ MAIS DE CINCO ANOS"/>
    <s v="VIOLÊNCIA CONTRA CIDADÃO, FAMÍLIA OU COMUNIDADE"/>
    <s v="EMPREGADOR/PATRÃO (HIERARQUICAMENTE SUPERIOR)"/>
    <x v="1"/>
    <x v="8"/>
    <s v="SP"/>
    <x v="0"/>
    <x v="0"/>
    <x v="1"/>
    <s v="NULL"/>
    <x v="0"/>
    <x v="4"/>
    <s v="NÃO"/>
    <s v="SP"/>
    <s v="AGNÓSTICO/ATEU/SEM RELIGIÃO"/>
    <x v="2"/>
    <s v="NULL"/>
    <x v="0"/>
    <x v="3"/>
  </r>
  <r>
    <s v="68D03EC4FAB5363B081F7C4E0B7CDE8D301BE022351DD56339432991DE18F9B0"/>
    <x v="77"/>
    <s v="CASA ONDE RESIDE A VÍTIMA E O SUSPEITO"/>
    <x v="1"/>
    <s v="HÁ MAIS DE CINCO ANOS"/>
    <s v="VIOLÊNCIA CONTRA CIDADÃO, FAMÍLIA OU COMUNIDADE"/>
    <s v="EMPREGADOR/PATRÃO (HIERARQUICAMENTE SUPERIOR)"/>
    <x v="1"/>
    <x v="8"/>
    <s v="SP"/>
    <x v="0"/>
    <x v="0"/>
    <x v="1"/>
    <s v="NULL"/>
    <x v="1"/>
    <x v="0"/>
    <s v="NÃO INFORMADO"/>
    <s v="SP"/>
    <s v="AGNÓSTICO/ATEU/SEM RELIGIÃO"/>
    <x v="1"/>
    <s v="ALOJAMENTO E ALIMENTAÇÃO"/>
    <x v="0"/>
    <x v="3"/>
  </r>
  <r>
    <s v="EE6DAC0E2D20175A53197420922807AE405C4D2D8DA2D39A37D19DA97BC34E18"/>
    <x v="78"/>
    <s v="OUTRAS CASAS"/>
    <x v="4"/>
    <s v="HÁ UM MÊS"/>
    <s v="VIOLÊNCIA CONTRA CIDADÃO, FAMÍLIA OU COMUNIDADE"/>
    <s v="VIZINHO(A)"/>
    <x v="1"/>
    <x v="2"/>
    <s v="DENUNCIANTE NÃO SOUBE INFORMAR"/>
    <x v="0"/>
    <x v="0"/>
    <x v="1"/>
    <s v="NULL"/>
    <x v="2"/>
    <x v="0"/>
    <s v="NÃO INFORMADO"/>
    <s v="MG"/>
    <s v="AGNÓSTICO/ATEU/SEM RELIGIÃO"/>
    <x v="1"/>
    <s v="NULL"/>
    <x v="0"/>
    <x v="3"/>
  </r>
  <r>
    <s v="B6F4C6A365B7B520DCB3F84771552778FDD97E3537CD22DC5E112F2AFB57984E"/>
    <x v="78"/>
    <s v="CASA DA VÍTIMA"/>
    <x v="4"/>
    <s v="HÁ MAIS DE SEIS MESES"/>
    <s v="VIOLÊNCIA CONTRA CIDADÃO, FAMÍLIA OU COMUNIDADE"/>
    <s v="VIZINHO(A)"/>
    <x v="1"/>
    <x v="7"/>
    <s v="MG"/>
    <x v="0"/>
    <x v="0"/>
    <x v="0"/>
    <s v="NULL"/>
    <x v="2"/>
    <x v="1"/>
    <s v="NÃO INFORMADO"/>
    <s v="MG"/>
    <s v="AGNÓSTICO/ATEU/SEM RELIGIÃO"/>
    <x v="1"/>
    <s v="NULL"/>
    <x v="0"/>
    <x v="3"/>
  </r>
  <r>
    <s v="69727B8E817E9771C8111A618B7D2EB010F12CC65AA08BE798DC756067B6167C"/>
    <x v="78"/>
    <s v="OUTROS ESTABELECIMENTOS"/>
    <x v="4"/>
    <s v="NÃO SABE INFORMAR"/>
    <s v="VIOLÊNCIA CONTRA CIDADÃO, FAMÍLIA OU COMUNIDADE"/>
    <s v="VIZINHO(A)"/>
    <x v="0"/>
    <x v="0"/>
    <s v="MG"/>
    <x v="0"/>
    <x v="6"/>
    <x v="2"/>
    <s v="NULL"/>
    <x v="2"/>
    <x v="0"/>
    <s v="NÃO INFORMADO"/>
    <s v="MG"/>
    <s v="AGNÓSTICO/ATEU/SEM RELIGIÃO"/>
    <x v="1"/>
    <s v="NULL"/>
    <x v="2"/>
    <x v="3"/>
  </r>
  <r>
    <s v="69727B8E817E9771C8111A618B7D2EB010F12CC65AA08BE798DC756067B6167C"/>
    <x v="78"/>
    <s v="OUTROS ESTABELECIMENTOS"/>
    <x v="4"/>
    <s v="NÃO SABE INFORMAR"/>
    <s v="VIOLÊNCIA CONTRA CIDADÃO, FAMÍLIA OU COMUNIDADE"/>
    <s v="VIZINHO(A)"/>
    <x v="0"/>
    <x v="0"/>
    <s v="MG"/>
    <x v="0"/>
    <x v="6"/>
    <x v="2"/>
    <s v="NULL"/>
    <x v="2"/>
    <x v="0"/>
    <s v="NÃO INFORMADO"/>
    <s v="MG"/>
    <s v="AGNÓSTICO/ATEU/SEM RELIGIÃO"/>
    <x v="1"/>
    <s v="NULL"/>
    <x v="0"/>
    <x v="3"/>
  </r>
  <r>
    <s v="69727B8E817E9771C8111A618B7D2EB010F12CC65AA08BE798DC756067B6167C"/>
    <x v="78"/>
    <s v="OUTROS ESTABELECIMENTOS"/>
    <x v="4"/>
    <s v="NÃO SABE INFORMAR"/>
    <s v="VIOLÊNCIA CONTRA CIDADÃO, FAMÍLIA OU COMUNIDADE"/>
    <s v="VIZINHO(A)"/>
    <x v="0"/>
    <x v="0"/>
    <s v="MG"/>
    <x v="0"/>
    <x v="6"/>
    <x v="2"/>
    <s v="NULL"/>
    <x v="2"/>
    <x v="0"/>
    <s v="NÃO"/>
    <s v="MG"/>
    <s v="AGNÓSTICO/ATEU/SEM RELIGIÃO"/>
    <x v="1"/>
    <s v="NULL"/>
    <x v="0"/>
    <x v="3"/>
  </r>
  <r>
    <s v="69727B8E817E9771C8111A618B7D2EB010F12CC65AA08BE798DC756067B6167C"/>
    <x v="78"/>
    <s v="OUTROS ESTABELECIMENTOS"/>
    <x v="4"/>
    <s v="NÃO SABE INFORMAR"/>
    <s v="VIOLÊNCIA CONTRA CIDADÃO, FAMÍLIA OU COMUNIDADE"/>
    <s v="VIZINHO(A)"/>
    <x v="0"/>
    <x v="0"/>
    <s v="MG"/>
    <x v="0"/>
    <x v="6"/>
    <x v="2"/>
    <s v="NULL"/>
    <x v="2"/>
    <x v="0"/>
    <s v="NÃO"/>
    <s v="MG"/>
    <s v="AGNÓSTICO/ATEU/SEM RELIGIÃO"/>
    <x v="1"/>
    <s v="NULL"/>
    <x v="2"/>
    <x v="3"/>
  </r>
  <r>
    <s v="13AAAD7EC166DEF63870D5E267073DBF0D567537FB35BC2092917D688DC9BDF4"/>
    <x v="78"/>
    <s v="OUTROS ESTABELECIMENTOS"/>
    <x v="4"/>
    <s v="HÁ MAIS DE UM ANO"/>
    <s v="VIOLÊNCIA CONTRA CIDADÃO, FAMÍLIA OU COMUNIDADE"/>
    <s v="VIZINHO(A)"/>
    <x v="0"/>
    <x v="0"/>
    <s v="MG"/>
    <x v="0"/>
    <x v="3"/>
    <x v="2"/>
    <s v="NULL"/>
    <x v="2"/>
    <x v="1"/>
    <s v="NÃO"/>
    <s v="MG"/>
    <s v="AGNÓSTICO/ATEU/SEM RELIGIÃO"/>
    <x v="0"/>
    <s v="NULL"/>
    <x v="0"/>
    <x v="3"/>
  </r>
  <r>
    <s v="B1E25F97C2C60584FFF3B7F6CF7F3F8B38310D1657E88D1D28E0102A778A310A"/>
    <x v="78"/>
    <s v="OUTROS ESTABELECIMENTOS"/>
    <x v="4"/>
    <s v="HÁ MAIS DE UM ANO"/>
    <s v="VIOLÊNCIA CONTRA CIDADÃO, FAMÍLIA OU COMUNIDADE"/>
    <s v="VIZINHO(A)"/>
    <x v="1"/>
    <x v="7"/>
    <s v="MG"/>
    <x v="0"/>
    <x v="3"/>
    <x v="1"/>
    <s v="NULL"/>
    <x v="2"/>
    <x v="1"/>
    <s v="NÃO"/>
    <s v="MG"/>
    <s v="AGNÓSTICO/ATEU/SEM RELIGIÃO"/>
    <x v="0"/>
    <s v="NULL"/>
    <x v="0"/>
    <x v="3"/>
  </r>
  <r>
    <s v="B1E25F97C2C60584FFF3B7F6CF7F3F8B38310D1657E88D1D28E0102A778A310A"/>
    <x v="78"/>
    <s v="OUTROS ESTABELECIMENTOS"/>
    <x v="4"/>
    <s v="HÁ MAIS DE UM ANO"/>
    <s v="VIOLÊNCIA CONTRA CIDADÃO, FAMÍLIA OU COMUNIDADE"/>
    <s v="VIZINHO(A)"/>
    <x v="1"/>
    <x v="7"/>
    <s v="MG"/>
    <x v="0"/>
    <x v="3"/>
    <x v="1"/>
    <s v="NULL"/>
    <x v="2"/>
    <x v="5"/>
    <s v="NÃO"/>
    <s v="MG"/>
    <s v="AGNÓSTICO/ATEU/SEM RELIGIÃO"/>
    <x v="0"/>
    <s v="NULL"/>
    <x v="0"/>
    <x v="3"/>
  </r>
  <r>
    <s v="13AAAD7EC166DEF63870D5E267073DBF0D567537FB35BC2092917D688DC9BDF4"/>
    <x v="78"/>
    <s v="OUTROS ESTABELECIMENTOS"/>
    <x v="4"/>
    <s v="HÁ MAIS DE UM ANO"/>
    <s v="VIOLÊNCIA CONTRA CIDADÃO, FAMÍLIA OU COMUNIDADE"/>
    <s v="VIZINHO(A)"/>
    <x v="0"/>
    <x v="0"/>
    <s v="MG"/>
    <x v="0"/>
    <x v="3"/>
    <x v="2"/>
    <s v="NULL"/>
    <x v="2"/>
    <x v="5"/>
    <s v="NÃO"/>
    <s v="MG"/>
    <s v="AGNÓSTICO/ATEU/SEM RELIGIÃO"/>
    <x v="0"/>
    <s v="NULL"/>
    <x v="0"/>
    <x v="3"/>
  </r>
  <r>
    <s v="F7BD9F1E8580C71C2B0AFABF9C5EA4D8D88CA3FC390F593516A7C5631149C590"/>
    <x v="78"/>
    <s v="CASA DO SUSPEITO"/>
    <x v="3"/>
    <s v="NÃO SABE INFORMAR"/>
    <s v="VIOLÊNCIA CONTRA CIDADÃO, FAMÍLIA OU COMUNIDADE"/>
    <s v="MÃE"/>
    <x v="0"/>
    <x v="3"/>
    <s v="BA"/>
    <x v="0"/>
    <x v="0"/>
    <x v="3"/>
    <s v="NULL"/>
    <x v="2"/>
    <x v="1"/>
    <s v="NÃO"/>
    <s v="BA"/>
    <s v="AGNÓSTICO/ATEU/SEM RELIGIÃO"/>
    <x v="2"/>
    <s v="NULL"/>
    <x v="1"/>
    <x v="3"/>
  </r>
  <r>
    <s v="87201C324EA924CCA90BF4F54C89AE0F12700E4089FA56DDCA05959343B67E06"/>
    <x v="78"/>
    <s v="OUTROS ESTABELECIMENTOS"/>
    <x v="4"/>
    <s v="HÁ MAIS DE SEIS MESES"/>
    <s v="VIOLÊNCIA CONTRA CIDADÃO, FAMÍLIA OU COMUNIDADE"/>
    <s v="OUTROS"/>
    <x v="0"/>
    <x v="5"/>
    <s v="MG"/>
    <x v="0"/>
    <x v="3"/>
    <x v="2"/>
    <s v="NULL"/>
    <x v="2"/>
    <x v="4"/>
    <s v="NÃO"/>
    <s v="MG"/>
    <s v="AGNÓSTICO/ATEU/SEM RELIGIÃO"/>
    <x v="0"/>
    <s v="NULL"/>
    <x v="2"/>
    <x v="3"/>
  </r>
  <r>
    <s v="87201C324EA924CCA90BF4F54C89AE0F12700E4089FA56DDCA05959343B67E06"/>
    <x v="78"/>
    <s v="OUTROS ESTABELECIMENTOS"/>
    <x v="4"/>
    <s v="HÁ MAIS DE SEIS MESES"/>
    <s v="VIOLÊNCIA CONTRA CIDADÃO, FAMÍLIA OU COMUNIDADE"/>
    <s v="OUTROS"/>
    <x v="0"/>
    <x v="5"/>
    <s v="MG"/>
    <x v="0"/>
    <x v="3"/>
    <x v="2"/>
    <s v="NULL"/>
    <x v="2"/>
    <x v="1"/>
    <s v="NÃO"/>
    <s v="MG"/>
    <s v="AGNÓSTICO/ATEU/SEM RELIGIÃO"/>
    <x v="0"/>
    <s v="NULL"/>
    <x v="2"/>
    <x v="3"/>
  </r>
  <r>
    <s v="18BECD4F93CDF9757E3A16BA0464E881A22D21C2D1B85533C812F7B65B903E00"/>
    <x v="78"/>
    <s v="OUTROS ESTABELECIMENTOS"/>
    <x v="4"/>
    <s v="HÁ MAIS DE UM ANO"/>
    <s v="VIOLÊNCIA CONTRA CIDADÃO, FAMÍLIA OU COMUNIDADE"/>
    <s v="VIZINHO(A)"/>
    <x v="1"/>
    <x v="3"/>
    <s v="MG"/>
    <x v="0"/>
    <x v="0"/>
    <x v="1"/>
    <s v="NULL"/>
    <x v="2"/>
    <x v="2"/>
    <s v="NÃO"/>
    <s v="MG"/>
    <s v="AGNÓSTICO/ATEU/SEM RELIGIÃO"/>
    <x v="0"/>
    <s v="NULL"/>
    <x v="0"/>
    <x v="3"/>
  </r>
  <r>
    <s v="7593A8498E9D43BC147FEF704892E08F3E5CE4560B44DA998EDFA6A299E35253"/>
    <x v="78"/>
    <s v="OUTROS ESTABELECIMENTOS"/>
    <x v="4"/>
    <s v="HÁ MAIS DE UM ANO"/>
    <s v="VIOLÊNCIA CONTRA CIDADÃO, FAMÍLIA OU COMUNIDADE"/>
    <s v="VIZINHO(A)"/>
    <x v="0"/>
    <x v="7"/>
    <s v="MG"/>
    <x v="0"/>
    <x v="0"/>
    <x v="2"/>
    <s v="NULL"/>
    <x v="2"/>
    <x v="0"/>
    <s v="NÃO INFORMADO"/>
    <s v="MG"/>
    <s v="AGNÓSTICO/ATEU/SEM RELIGIÃO"/>
    <x v="1"/>
    <s v="NULL"/>
    <x v="2"/>
    <x v="3"/>
  </r>
  <r>
    <s v="7593A8498E9D43BC147FEF704892E08F3E5CE4560B44DA998EDFA6A299E35253"/>
    <x v="78"/>
    <s v="OUTROS ESTABELECIMENTOS"/>
    <x v="4"/>
    <s v="HÁ MAIS DE UM ANO"/>
    <s v="VIOLÊNCIA CONTRA CIDADÃO, FAMÍLIA OU COMUNIDADE"/>
    <s v="VIZINHO(A)"/>
    <x v="0"/>
    <x v="7"/>
    <s v="MG"/>
    <x v="0"/>
    <x v="0"/>
    <x v="2"/>
    <s v="NULL"/>
    <x v="2"/>
    <x v="0"/>
    <s v="NÃO INFORMADO"/>
    <s v="MG"/>
    <s v="AGNÓSTICO/ATEU/SEM RELIGIÃO"/>
    <x v="1"/>
    <s v="NULL"/>
    <x v="0"/>
    <x v="3"/>
  </r>
  <r>
    <s v="88D7FD77FE8B31797A9A175C91CF6D00C9043682EE498882C71F6CC15B4B9E52"/>
    <x v="78"/>
    <s v="OUTROS ESTABELECIMENTOS"/>
    <x v="4"/>
    <s v="HÁ MAIS DE SEIS MESES"/>
    <s v="VIOLÊNCIA CONTRA CIDADÃO, FAMÍLIA OU COMUNIDADE"/>
    <s v="VIZINHO(A)"/>
    <x v="1"/>
    <x v="5"/>
    <s v="DENUNCIANTE NÃO SOUBE INFORMAR"/>
    <x v="0"/>
    <x v="0"/>
    <x v="1"/>
    <s v="NULL"/>
    <x v="1"/>
    <x v="0"/>
    <s v="NÃO INFORMADO"/>
    <s v="MG"/>
    <s v="AGNÓSTICO/ATEU/SEM RELIGIÃO"/>
    <x v="1"/>
    <s v="NULL"/>
    <x v="0"/>
    <x v="3"/>
  </r>
  <r>
    <s v="9E0BEE922F093EBB82C02580448F86938F0FB83A5B5AF1F89DC389D14BA8A122"/>
    <x v="78"/>
    <s v="CASA DA VÍTIMA"/>
    <x v="7"/>
    <s v="HÁ UM MÊS"/>
    <s v="VIOLÊNCIA CONTRA CIDADÃO, FAMÍLIA OU COMUNIDADE"/>
    <s v="OUTROS"/>
    <x v="0"/>
    <x v="7"/>
    <s v="ES"/>
    <x v="0"/>
    <x v="0"/>
    <x v="3"/>
    <s v="NULL"/>
    <x v="0"/>
    <x v="2"/>
    <s v="NÃO"/>
    <s v="ES"/>
    <s v="AGNÓSTICO/ATEU/SEM RELIGIÃO"/>
    <x v="0"/>
    <s v="NULL"/>
    <x v="2"/>
    <x v="3"/>
  </r>
  <r>
    <s v="A8F14391735488C39BADF89D31360F27FF0162692CEDAE9A131553DCCB402817"/>
    <x v="78"/>
    <s v="OUTROS ESTABELECIMENTOS"/>
    <x v="4"/>
    <s v="HÁ MAIS DE SEIS MESES"/>
    <s v="VIOLÊNCIA CONTRA CIDADÃO, FAMÍLIA OU COMUNIDADE"/>
    <s v="VIZINHO(A)"/>
    <x v="0"/>
    <x v="3"/>
    <s v="MG"/>
    <x v="0"/>
    <x v="3"/>
    <x v="3"/>
    <s v="NULL"/>
    <x v="2"/>
    <x v="0"/>
    <s v="NÃO"/>
    <s v="MG"/>
    <s v="AGNÓSTICO/ATEU/SEM RELIGIÃO"/>
    <x v="1"/>
    <s v="NULL"/>
    <x v="2"/>
    <x v="3"/>
  </r>
  <r>
    <s v="A8F14391735488C39BADF89D31360F27FF0162692CEDAE9A131553DCCB402817"/>
    <x v="78"/>
    <s v="OUTROS ESTABELECIMENTOS"/>
    <x v="4"/>
    <s v="HÁ MAIS DE SEIS MESES"/>
    <s v="VIOLÊNCIA CONTRA CIDADÃO, FAMÍLIA OU COMUNIDADE"/>
    <s v="VIZINHO(A)"/>
    <x v="0"/>
    <x v="3"/>
    <s v="MG"/>
    <x v="0"/>
    <x v="3"/>
    <x v="3"/>
    <s v="NULL"/>
    <x v="2"/>
    <x v="0"/>
    <s v="NÃO"/>
    <s v="MG"/>
    <s v="AGNÓSTICO/ATEU/SEM RELIGIÃO"/>
    <x v="1"/>
    <s v="NULL"/>
    <x v="0"/>
    <x v="3"/>
  </r>
  <r>
    <s v="33FE6787E45169CF8DE9B80545E5D562FF8C34EADC54FBB4FC003E084A37599C"/>
    <x v="79"/>
    <s v="OUTROS ESTABELECIMENTOS"/>
    <x v="13"/>
    <s v="HÁ UMA SEMANA"/>
    <s v="VIOLÊNCIA CONTRA CIDADÃO, FAMÍLIA OU COMUNIDADE"/>
    <s v="DIRETOR(A) DE UNIDADE PRISIONAL"/>
    <x v="1"/>
    <x v="1"/>
    <s v="DENUNCIANTE NÃO SOUBE INFORMAR"/>
    <x v="0"/>
    <x v="0"/>
    <x v="1"/>
    <s v="NULL"/>
    <x v="1"/>
    <x v="0"/>
    <s v="NÃO INFORMADO"/>
    <s v="PE"/>
    <s v="AGNÓSTICO/ATEU/SEM RELIGIÃO"/>
    <x v="1"/>
    <s v="SEGURANÇA PÚBLICA, FORÇAS ARMADAS, DEFESA CIVIL, BOMBEIROS E ASSEMELHADOS ? ESTADUAL/DISTRITO FEDERAL"/>
    <x v="0"/>
    <x v="3"/>
  </r>
  <r>
    <s v="CBEC99B18FCFD09BD8C9E5454BB3A945F8F3F16175E30530F433C0A726534038"/>
    <x v="79"/>
    <s v="CASA DO SUSPEITO"/>
    <x v="3"/>
    <s v="HÁ MAIS DE CINCO ANOS"/>
    <s v="VIOLÊNCIA CONTRA CIDADÃO, FAMÍLIA OU COMUNIDADE"/>
    <s v="MÃE"/>
    <x v="0"/>
    <x v="3"/>
    <s v="BA"/>
    <x v="2"/>
    <x v="0"/>
    <x v="3"/>
    <s v="NULL"/>
    <x v="2"/>
    <x v="8"/>
    <s v="NÃO"/>
    <s v="BA"/>
    <s v="AGNÓSTICO/ATEU/SEM RELIGIÃO"/>
    <x v="2"/>
    <s v="NULL"/>
    <x v="2"/>
    <x v="3"/>
  </r>
  <r>
    <s v="7C94408D01C40D7E25900DC29AAD7DF5215CBF73E7F96AD309B31199F7C62421"/>
    <x v="79"/>
    <s v="OUTROS ESTABELECIMENTOS"/>
    <x v="4"/>
    <s v="HÁ MAIS DE SEIS MESES"/>
    <s v="VIOLÊNCIA CONTRA CIDADÃO, FAMÍLIA OU COMUNIDADE"/>
    <s v="DESCONHECIDO(A)"/>
    <x v="1"/>
    <x v="4"/>
    <s v="MG"/>
    <x v="0"/>
    <x v="0"/>
    <x v="1"/>
    <s v="NULL"/>
    <x v="2"/>
    <x v="0"/>
    <s v="NÃO INFORMADO"/>
    <s v="MG"/>
    <s v="AGNÓSTICO/ATEU/SEM RELIGIÃO"/>
    <x v="1"/>
    <s v="NULL"/>
    <x v="1"/>
    <x v="3"/>
  </r>
  <r>
    <s v="7C94408D01C40D7E25900DC29AAD7DF5215CBF73E7F96AD309B31199F7C62421"/>
    <x v="79"/>
    <s v="OUTROS ESTABELECIMENTOS"/>
    <x v="4"/>
    <s v="HÁ MAIS DE SEIS MESES"/>
    <s v="VIOLÊNCIA CONTRA CIDADÃO, FAMÍLIA OU COMUNIDADE"/>
    <s v="DESCONHECIDO(A)"/>
    <x v="1"/>
    <x v="4"/>
    <s v="MG"/>
    <x v="0"/>
    <x v="0"/>
    <x v="1"/>
    <s v="NULL"/>
    <x v="2"/>
    <x v="0"/>
    <s v="NÃO INFORMADO"/>
    <s v="MG"/>
    <s v="AGNÓSTICO/ATEU/SEM RELIGIÃO"/>
    <x v="1"/>
    <s v="NULL"/>
    <x v="0"/>
    <x v="3"/>
  </r>
  <r>
    <s v="7C94408D01C40D7E25900DC29AAD7DF5215CBF73E7F96AD309B31199F7C62421"/>
    <x v="79"/>
    <s v="OUTROS ESTABELECIMENTOS"/>
    <x v="4"/>
    <s v="HÁ MAIS DE SEIS MESES"/>
    <s v="VIOLÊNCIA CONTRA CIDADÃO, FAMÍLIA OU COMUNIDADE"/>
    <s v="DESCONHECIDO(A)"/>
    <x v="1"/>
    <x v="4"/>
    <s v="MG"/>
    <x v="0"/>
    <x v="0"/>
    <x v="1"/>
    <s v="NULL"/>
    <x v="2"/>
    <x v="0"/>
    <s v="NÃO INFORMADO"/>
    <s v="MG"/>
    <s v="AGNÓSTICO/ATEU/SEM RELIGIÃO"/>
    <x v="1"/>
    <s v="NULL"/>
    <x v="2"/>
    <x v="3"/>
  </r>
  <r>
    <s v="160358985866680D8BD21F81F5EB2C24E16808F9C3BD61F9501D27292274F824"/>
    <x v="79"/>
    <s v="OUTROS ESTABELECIMENTOS"/>
    <x v="19"/>
    <s v="NÃO SE APLICA"/>
    <s v="VIOLÊNCIA CONTRA CIDADÃO, FAMÍLIA OU COMUNIDADE"/>
    <s v="OUTROS"/>
    <x v="0"/>
    <x v="3"/>
    <s v="PB"/>
    <x v="0"/>
    <x v="0"/>
    <x v="1"/>
    <s v="NULL"/>
    <x v="1"/>
    <x v="0"/>
    <s v="NÃO INFORMADO"/>
    <s v="PB"/>
    <s v="AGNÓSTICO/ATEU/SEM RELIGIÃO"/>
    <x v="1"/>
    <s v="DEFENSORIA PÚBLICA - ESTADUAL"/>
    <x v="1"/>
    <x v="3"/>
  </r>
  <r>
    <s v="96F563AA039DEECCED5BE7A02E6D70105F0938F571B6459D2EF6384C03A85663"/>
    <x v="79"/>
    <s v="AMBIENTE VIRTUAL (NO ÂMBITO DA INTERNET)"/>
    <x v="1"/>
    <s v="HÁ UMA SEMANA"/>
    <s v="VIOLÊNCIA CONTRA CIDADÃO, FAMÍLIA OU COMUNIDADE"/>
    <s v="DESCONHECIDO(A)"/>
    <x v="0"/>
    <x v="5"/>
    <s v="SP"/>
    <x v="8"/>
    <x v="3"/>
    <x v="2"/>
    <s v="NULL"/>
    <x v="2"/>
    <x v="2"/>
    <s v="NÃO"/>
    <s v="SP"/>
    <s v="AGNÓSTICO/ATEU/SEM RELIGIÃO"/>
    <x v="0"/>
    <s v="NULL"/>
    <x v="2"/>
    <x v="3"/>
  </r>
  <r>
    <s v="6572AC4D6DC1440E54D9D5FC75839BD328F4032BDEFEAAAF506BB13230976353"/>
    <x v="79"/>
    <s v="CASA ONDE RESIDE A VÍTIMA E O SUSPEITO"/>
    <x v="1"/>
    <s v="HÁ MAIS DE SEIS MESES"/>
    <s v="VIOLÊNCIA CONTRA CIDADÃO, FAMÍLIA OU COMUNIDADE"/>
    <s v="SOBRINHO(A)"/>
    <x v="1"/>
    <x v="0"/>
    <s v="SP"/>
    <x v="0"/>
    <x v="0"/>
    <x v="1"/>
    <s v="NULL"/>
    <x v="2"/>
    <x v="3"/>
    <s v="NÃO"/>
    <s v="SP"/>
    <s v="AGNÓSTICO/ATEU/SEM RELIGIÃO"/>
    <x v="2"/>
    <s v="NULL"/>
    <x v="0"/>
    <x v="3"/>
  </r>
  <r>
    <s v="EE1015C3983933A4BE2307C540B83291DF24C040508F9165AFFD7670492F34F1"/>
    <x v="80"/>
    <s v="CASA DA VÍTIMA"/>
    <x v="4"/>
    <s v="HÁ MAIS DE UM ANO"/>
    <s v="VIOLÊNCIA CONTRA CIDADÃO, FAMÍLIA OU COMUNIDADE"/>
    <s v="OUTROS"/>
    <x v="0"/>
    <x v="0"/>
    <s v="MG"/>
    <x v="0"/>
    <x v="3"/>
    <x v="0"/>
    <s v="NULL"/>
    <x v="1"/>
    <x v="0"/>
    <s v="NÃO INFORMADO"/>
    <s v="MG"/>
    <s v="AGNÓSTICO/ATEU/SEM RELIGIÃO"/>
    <x v="1"/>
    <s v="PODER EXECUTIVO EM GERAL - MUNICIPAL"/>
    <x v="1"/>
    <x v="3"/>
  </r>
  <r>
    <s v="EE1015C3983933A4BE2307C540B83291DF24C040508F9165AFFD7670492F34F1"/>
    <x v="80"/>
    <s v="CASA DA VÍTIMA"/>
    <x v="4"/>
    <s v="HÁ MAIS DE UM ANO"/>
    <s v="VIOLÊNCIA CONTRA CIDADÃO, FAMÍLIA OU COMUNIDADE"/>
    <s v="OUTROS"/>
    <x v="0"/>
    <x v="0"/>
    <s v="MG"/>
    <x v="0"/>
    <x v="3"/>
    <x v="0"/>
    <s v="NULL"/>
    <x v="1"/>
    <x v="0"/>
    <s v="NÃO INFORMADO"/>
    <s v="MG"/>
    <s v="AGNÓSTICO/ATEU/SEM RELIGIÃO"/>
    <x v="1"/>
    <s v="PODER EXECUTIVO EM GERAL - MUNICIPAL"/>
    <x v="0"/>
    <x v="3"/>
  </r>
  <r>
    <s v="C7A0CE74176C8A39E4713E0CEE2B9E6F43B336F67F5709D8AB2D9DAAD9C8B22E"/>
    <x v="81"/>
    <s v="CASA DA VÍTIMA"/>
    <x v="12"/>
    <s v="HÁ MAIS DE UM ANO"/>
    <s v="VIOLÊNCIA CONTRA CIDADÃO, FAMÍLIA OU COMUNIDADE"/>
    <s v="NÃO SABE INFORMAR"/>
    <x v="0"/>
    <x v="4"/>
    <s v="DENUNCIANTE NÃO SOUBE INFORMAR"/>
    <x v="0"/>
    <x v="0"/>
    <x v="1"/>
    <s v="NULL"/>
    <x v="0"/>
    <x v="0"/>
    <s v="NÃO INFORMADO"/>
    <s v="DENUNCIANTE NÃO SOUBE INFORMAR"/>
    <s v="AGNÓSTICO/ATEU/SEM RELIGIÃO"/>
    <x v="1"/>
    <s v="NULL"/>
    <x v="2"/>
    <x v="3"/>
  </r>
  <r>
    <s v="5526AE673A0F1726527AE91AEF45024EDFABDFE695B58E05D2F1FE4652A37430"/>
    <x v="81"/>
    <s v="CASA DA VÍTIMA"/>
    <x v="12"/>
    <s v="HÁ MAIS DE UM ANO"/>
    <s v="VIOLÊNCIA CONTRA CIDADÃO, FAMÍLIA OU COMUNIDADE"/>
    <s v="NÃO SABE INFORMAR"/>
    <x v="0"/>
    <x v="4"/>
    <s v="DENUNCIANTE NÃO SOUBE INFORMAR"/>
    <x v="0"/>
    <x v="0"/>
    <x v="1"/>
    <s v="NULL"/>
    <x v="0"/>
    <x v="0"/>
    <s v="NÃO"/>
    <s v="DENUNCIANTE NÃO SOUBE INFORMAR"/>
    <s v="AGNÓSTICO/ATEU/SEM RELIGIÃO"/>
    <x v="1"/>
    <s v="NULL"/>
    <x v="2"/>
    <x v="3"/>
  </r>
  <r>
    <s v="A6E238F46C50A90EFBF72BD119701E9EDE2C98556407FD37EDBE23E3B364F481"/>
    <x v="81"/>
    <s v="CASA DA VÍTIMA"/>
    <x v="12"/>
    <s v="HÁ MAIS DE UM ANO"/>
    <s v="VIOLÊNCIA CONTRA CIDADÃO, FAMÍLIA OU COMUNIDADE"/>
    <s v="NÃO SABE INFORMAR"/>
    <x v="0"/>
    <x v="4"/>
    <s v="DENUNCIANTE NÃO SOUBE INFORMAR"/>
    <x v="0"/>
    <x v="0"/>
    <x v="1"/>
    <s v="NULL"/>
    <x v="0"/>
    <x v="0"/>
    <s v="NÃO INFORMADO"/>
    <s v="SP"/>
    <s v="AGNÓSTICO/ATEU/SEM RELIGIÃO"/>
    <x v="1"/>
    <s v="NULL"/>
    <x v="2"/>
    <x v="3"/>
  </r>
  <r>
    <s v="C9C91C9CB62584BD7A64262A866433271150D44CEB4EC4678342EF982B022087"/>
    <x v="81"/>
    <s v="CASA DA VÍTIMA"/>
    <x v="12"/>
    <s v="HÁ MAIS DE UM ANO"/>
    <s v="VIOLÊNCIA CONTRA CIDADÃO, FAMÍLIA OU COMUNIDADE"/>
    <s v="NÃO SABE INFORMAR"/>
    <x v="0"/>
    <x v="4"/>
    <s v="DENUNCIANTE NÃO SOUBE INFORMAR"/>
    <x v="0"/>
    <x v="0"/>
    <x v="1"/>
    <s v="NULL"/>
    <x v="1"/>
    <x v="0"/>
    <s v="NÃO INFORMADO"/>
    <s v="DENUNCIANTE NÃO SOUBE INFORMAR"/>
    <s v="AGNÓSTICO/ATEU/SEM RELIGIÃO"/>
    <x v="1"/>
    <s v="SEGURANÇA PÚBLICA, FORÇAS ARMADAS, DEFESA CIVIL, BOMBEIROS E ASSEMELHADOS ? MUNICIPAL"/>
    <x v="2"/>
    <x v="3"/>
  </r>
  <r>
    <s v="C9BFD8D8611E58465E5B4825DD39DB15E902750559E5D9B309FAD7BEF2024B13"/>
    <x v="81"/>
    <s v="CASA DA VÍTIMA"/>
    <x v="12"/>
    <s v="HÁ MAIS DE UM ANO"/>
    <s v="VIOLÊNCIA CONTRA CIDADÃO, FAMÍLIA OU COMUNIDADE"/>
    <s v="NÃO SABE INFORMAR"/>
    <x v="0"/>
    <x v="4"/>
    <s v="DENUNCIANTE NÃO SOUBE INFORMAR"/>
    <x v="0"/>
    <x v="0"/>
    <x v="1"/>
    <s v="NULL"/>
    <x v="1"/>
    <x v="0"/>
    <s v="NÃO INFORMADO"/>
    <s v="DENUNCIANTE NÃO SOUBE INFORMAR"/>
    <s v="AGNÓSTICO/ATEU/SEM RELIGIÃO"/>
    <x v="1"/>
    <s v="SEGURANÇA PÚBLICA, FORÇAS ARMADAS, DEFESA CIVIL, BOMBEIROS E ASSEMELHADOS ? MUNICIPAL"/>
    <x v="2"/>
    <x v="3"/>
  </r>
  <r>
    <s v="00827450D4393B26D98B6377A05F1B88BEACBBC3D38D3043F57DF01B69F9E632"/>
    <x v="81"/>
    <s v="LOCAL DE TRABALHO DA VÍTIMA"/>
    <x v="1"/>
    <s v="HÁ MAIS DE UM ANO"/>
    <s v="VIOLÊNCIA CONTRA CIDADÃO, FAMÍLIA OU COMUNIDADE"/>
    <s v="OUTROS"/>
    <x v="1"/>
    <x v="1"/>
    <s v="DENUNCIANTE NÃO SOUBE INFORMAR"/>
    <x v="0"/>
    <x v="0"/>
    <x v="1"/>
    <s v="NULL"/>
    <x v="1"/>
    <x v="0"/>
    <s v="NÃO INFORMADO"/>
    <s v="SP"/>
    <s v="AGNÓSTICO/ATEU/SEM RELIGIÃO"/>
    <x v="1"/>
    <s v="COMÉRCIO, REPARAÇÃO DE VEÍCULOS AUTOMOTORES E MOTOCICLETAS"/>
    <x v="0"/>
    <x v="3"/>
  </r>
  <r>
    <s v="8BF942E5B37F54ABAD392CB7416A8236F720BDE0141786FB3812AAE77F11788F"/>
    <x v="81"/>
    <s v="LOCAL DE TRABALHO DA VÍTIMA"/>
    <x v="1"/>
    <s v="HÁ MAIS DE UM ANO"/>
    <s v="VIOLÊNCIA CONTRA CIDADÃO, FAMÍLIA OU COMUNIDADE"/>
    <s v="OUTROS"/>
    <x v="1"/>
    <x v="1"/>
    <s v="DENUNCIANTE NÃO SOUBE INFORMAR"/>
    <x v="0"/>
    <x v="0"/>
    <x v="1"/>
    <s v="NULL"/>
    <x v="1"/>
    <x v="0"/>
    <s v="NÃO INFORMADO"/>
    <s v="SP"/>
    <s v="AGNÓSTICO/ATEU/SEM RELIGIÃO"/>
    <x v="1"/>
    <s v="NULL"/>
    <x v="0"/>
    <x v="3"/>
  </r>
  <r>
    <s v="4B42562EEF1D2CCD9EB1262156A8132A9686258D296D780B7136A83D1B63CCB1"/>
    <x v="81"/>
    <s v="AMBIENTE VIRTUAL (NO ÂMBITO DA INTERNET)"/>
    <x v="15"/>
    <s v="NÃO SE APLICA"/>
    <s v="VIOLÊNCIA CONTRA CIDADÃO, FAMÍLIA OU COMUNIDADE"/>
    <s v="NAMORADO(A)"/>
    <x v="0"/>
    <x v="1"/>
    <s v="PR"/>
    <x v="0"/>
    <x v="0"/>
    <x v="0"/>
    <s v="NULL"/>
    <x v="2"/>
    <x v="10"/>
    <s v="NÃO"/>
    <s v="PR"/>
    <s v="AGNÓSTICO/ATEU/SEM RELIGIÃO"/>
    <x v="2"/>
    <s v="NULL"/>
    <x v="0"/>
    <x v="3"/>
  </r>
  <r>
    <s v="4B42562EEF1D2CCD9EB1262156A8132A9686258D296D780B7136A83D1B63CCB1"/>
    <x v="81"/>
    <s v="AMBIENTE VIRTUAL (NO ÂMBITO DA INTERNET)"/>
    <x v="15"/>
    <s v="NÃO SE APLICA"/>
    <s v="VIOLÊNCIA CONTRA CIDADÃO, FAMÍLIA OU COMUNIDADE"/>
    <s v="NAMORADO(A)"/>
    <x v="0"/>
    <x v="1"/>
    <s v="PR"/>
    <x v="0"/>
    <x v="0"/>
    <x v="0"/>
    <s v="NULL"/>
    <x v="2"/>
    <x v="10"/>
    <s v="NÃO"/>
    <s v="PR"/>
    <s v="AGNÓSTICO/ATEU/SEM RELIGIÃO"/>
    <x v="2"/>
    <s v="NULL"/>
    <x v="1"/>
    <x v="3"/>
  </r>
  <r>
    <s v="CB5B6050EA1203802295CCEE7CA86E8E86234FB30349F6182720934C8BC9F574"/>
    <x v="82"/>
    <s v="CASA DA VÍTIMA"/>
    <x v="3"/>
    <s v="HÁ UMA SEMANA"/>
    <s v="VIOLÊNCIA CONTRA CIDADÃO, FAMÍLIA OU COMUNIDADE"/>
    <s v="MÃE"/>
    <x v="0"/>
    <x v="3"/>
    <s v="BA"/>
    <x v="0"/>
    <x v="0"/>
    <x v="3"/>
    <s v="NULL"/>
    <x v="2"/>
    <x v="8"/>
    <s v="NÃO"/>
    <s v="BA"/>
    <s v="AGNÓSTICO/ATEU/SEM RELIGIÃO"/>
    <x v="2"/>
    <s v="NULL"/>
    <x v="0"/>
    <x v="3"/>
  </r>
  <r>
    <s v="DE38202274F70872097BFA038E7129D095D7955A0353CA2FA9B9CDEA40F69CCC"/>
    <x v="83"/>
    <s v="AMBIENTE VIRTUAL (NO ÂMBITO DA INTERNET)"/>
    <x v="4"/>
    <s v="NÃO SE APLICA"/>
    <s v="VIOLÊNCIA CONTRA CIDADÃO, FAMÍLIA OU COMUNIDADE"/>
    <s v="DESCONHECIDO(A)"/>
    <x v="1"/>
    <x v="1"/>
    <s v="DENUNCIANTE NÃO SOUBE INFORMAR"/>
    <x v="0"/>
    <x v="1"/>
    <x v="1"/>
    <s v="NULL"/>
    <x v="2"/>
    <x v="0"/>
    <s v="NÃO"/>
    <s v="MG"/>
    <s v="AGNÓSTICO/ATEU/SEM RELIGIÃO"/>
    <x v="1"/>
    <s v="NULL"/>
    <x v="0"/>
    <x v="3"/>
  </r>
  <r>
    <s v="24759985F0216CEB7BA1FB36A7A58863ADADC3B2DD80DFC3C7835B85D225823A"/>
    <x v="84"/>
    <s v="AMBIENTE VIRTUAL (NO ÂMBITO DA INTERNET)"/>
    <x v="12"/>
    <s v="NÃO SE APLICA"/>
    <s v="VIOLÊNCIA CONTRA CIDADÃO, FAMÍLIA OU COMUNIDADE"/>
    <s v="LÍDER RELIGIOSO(A)"/>
    <x v="0"/>
    <x v="6"/>
    <s v="MG"/>
    <x v="0"/>
    <x v="0"/>
    <x v="0"/>
    <s v="NULL"/>
    <x v="0"/>
    <x v="1"/>
    <s v="NÃO"/>
    <s v="DENUNCIANTE NÃO SOUBE INFORMAR"/>
    <s v="AGNÓSTICO/ATEU/SEM RELIGIÃO"/>
    <x v="3"/>
    <s v="NULL"/>
    <x v="0"/>
    <x v="3"/>
  </r>
  <r>
    <s v="A926DA4D5467FEDDBB135C44BF66CE45DB7D6872189EA7D4EAEFD2E72468B53E"/>
    <x v="84"/>
    <s v="CASA DA VÍTIMA"/>
    <x v="15"/>
    <s v="HÁ MAIS DE UM ANO"/>
    <s v="VIOLÊNCIA CONTRA CIDADÃO, FAMÍLIA OU COMUNIDADE"/>
    <s v="OUTROS"/>
    <x v="0"/>
    <x v="2"/>
    <s v="PR"/>
    <x v="0"/>
    <x v="6"/>
    <x v="3"/>
    <s v="NULL"/>
    <x v="1"/>
    <x v="0"/>
    <s v="NÃO INFORMADO"/>
    <s v="PR"/>
    <s v="AGNÓSTICO/ATEU/SEM RELIGIÃO"/>
    <x v="1"/>
    <s v="NULL"/>
    <x v="2"/>
    <x v="3"/>
  </r>
  <r>
    <s v="A926DA4D5467FEDDBB135C44BF66CE45DB7D6872189EA7D4EAEFD2E72468B53E"/>
    <x v="84"/>
    <s v="CASA DA VÍTIMA"/>
    <x v="15"/>
    <s v="HÁ MAIS DE UM ANO"/>
    <s v="VIOLÊNCIA CONTRA CIDADÃO, FAMÍLIA OU COMUNIDADE"/>
    <s v="OUTROS"/>
    <x v="0"/>
    <x v="2"/>
    <s v="PR"/>
    <x v="0"/>
    <x v="6"/>
    <x v="3"/>
    <s v="NULL"/>
    <x v="1"/>
    <x v="0"/>
    <s v="NÃO INFORMADO"/>
    <s v="PR"/>
    <s v="AGNÓSTICO/ATEU/SEM RELIGIÃO"/>
    <x v="1"/>
    <s v="NULL"/>
    <x v="0"/>
    <x v="3"/>
  </r>
  <r>
    <s v="0055546D9936CF7B176D35AFCA966CF8F2A3ED1A0CACC429B92312DF60CAE152"/>
    <x v="84"/>
    <s v="ESTABELECIMENTO DE SAÚDE"/>
    <x v="19"/>
    <s v="HÁ MAIS DE UM ANO"/>
    <s v="VIOLÊNCIA CONTRA CIDADÃO, FAMÍLIA OU COMUNIDADE"/>
    <s v="OUTROS"/>
    <x v="1"/>
    <x v="1"/>
    <s v="PB"/>
    <x v="0"/>
    <x v="0"/>
    <x v="1"/>
    <s v="NULL"/>
    <x v="2"/>
    <x v="2"/>
    <s v="NÃO"/>
    <s v="PB"/>
    <s v="AGNÓSTICO/ATEU/SEM RELIGIÃO"/>
    <x v="2"/>
    <s v="NULL"/>
    <x v="0"/>
    <x v="3"/>
  </r>
  <r>
    <s v="6E34A3ED23DFC7BBDAD98D38D458C1848944207AE6076758F445B38911BBA991"/>
    <x v="84"/>
    <s v="AMBIENTE VIRTUAL (NO ÂMBITO DA INTERNET)"/>
    <x v="13"/>
    <s v="NÃO SABE INFORMAR"/>
    <s v="VIOLÊNCIA CONTRA CIDADÃO, FAMÍLIA OU COMUNIDADE"/>
    <s v="OUTROS"/>
    <x v="1"/>
    <x v="7"/>
    <s v="PE"/>
    <x v="0"/>
    <x v="0"/>
    <x v="1"/>
    <s v="NULL"/>
    <x v="1"/>
    <x v="0"/>
    <s v="NÃO INFORMADO"/>
    <s v="PE"/>
    <s v="AGNÓSTICO/ATEU/SEM RELIGIÃO"/>
    <x v="1"/>
    <s v="NULL"/>
    <x v="0"/>
    <x v="3"/>
  </r>
  <r>
    <s v="323C81FDEEA9AA060BF6990FAFA0240E62B3DEA375944F4846ACCB04C35C93E4"/>
    <x v="85"/>
    <s v="AMBIENTE VIRTUAL (NO ÂMBITO DA INTERNET)"/>
    <x v="12"/>
    <s v="NÃO SE APLICA"/>
    <s v="VIOLÊNCIA CONTRA CIDADÃO, FAMÍLIA OU COMUNIDADE"/>
    <s v="DESCONHECIDO(A)"/>
    <x v="1"/>
    <x v="7"/>
    <s v="DENUNCIANTE NÃO SOUBE INFORMAR"/>
    <x v="0"/>
    <x v="0"/>
    <x v="1"/>
    <s v="NULL"/>
    <x v="1"/>
    <x v="0"/>
    <s v="NÃO INFORMADO"/>
    <s v="DENUNCIANTE NÃO SOUBE INFORMAR"/>
    <s v="AGNÓSTICO/ATEU/SEM RELIGIÃO"/>
    <x v="1"/>
    <s v="NULL"/>
    <x v="0"/>
    <x v="3"/>
  </r>
  <r>
    <s v="C4BB060095122877BA48ADFB7D9150163BA115650F9D2C3D9F4B94F9DB671846"/>
    <x v="85"/>
    <s v="AMBIENTE VIRTUAL (NO ÂMBITO DA INTERNET)"/>
    <x v="12"/>
    <s v="NÃO SE APLICA"/>
    <s v="VIOLÊNCIA CONTRA CIDADÃO, FAMÍLIA OU COMUNIDADE"/>
    <s v="DESCONHECIDO(A)"/>
    <x v="1"/>
    <x v="7"/>
    <s v="DENUNCIANTE NÃO SOUBE INFORMAR"/>
    <x v="0"/>
    <x v="0"/>
    <x v="1"/>
    <s v="NULL"/>
    <x v="1"/>
    <x v="0"/>
    <s v="NÃO INFORMADO"/>
    <s v="DF"/>
    <s v="AGNÓSTICO/ATEU/SEM RELIGIÃO"/>
    <x v="1"/>
    <s v="SEGURANÇA PÚBLICA, FORÇAS ARMADAS, DEFESA CIVIL, BOMBEIROS E ASSEMELHADOS ? ESTADUAL/DISTRITO FEDERAL"/>
    <x v="0"/>
    <x v="3"/>
  </r>
  <r>
    <s v="003BD25B6466E4003F298D1B5053732B5DDBDBCA00D423F72D9F52B7185C57C2"/>
    <x v="85"/>
    <s v="CASA DO SUSPEITO"/>
    <x v="16"/>
    <s v="NÃO SE APLICA"/>
    <s v="VIOLÊNCIA CONTRA CIDADÃO, FAMÍLIA OU COMUNIDADE"/>
    <s v="EX-ESPOSA(O)"/>
    <x v="0"/>
    <x v="3"/>
    <s v="RS"/>
    <x v="8"/>
    <x v="0"/>
    <x v="2"/>
    <s v="NULL"/>
    <x v="2"/>
    <x v="2"/>
    <s v="NÃO"/>
    <s v="RS"/>
    <s v="AGNÓSTICO/ATEU/SEM RELIGIÃO"/>
    <x v="0"/>
    <s v="NULL"/>
    <x v="0"/>
    <x v="3"/>
  </r>
  <r>
    <s v="0BB447E972D4931C1C7C079CFF4D476987B041C15E2ED6F44277746636DA895F"/>
    <x v="85"/>
    <s v="CASA DO SUSPEITO"/>
    <x v="3"/>
    <s v="NÃO SE APLICA"/>
    <s v="VIOLÊNCIA CONTRA CIDADÃO, FAMÍLIA OU COMUNIDADE"/>
    <s v="OUTROS"/>
    <x v="0"/>
    <x v="7"/>
    <s v="BA"/>
    <x v="6"/>
    <x v="3"/>
    <x v="0"/>
    <s v="NULL"/>
    <x v="2"/>
    <x v="1"/>
    <s v="NÃO"/>
    <s v="BA"/>
    <s v="AGNÓSTICO/ATEU/SEM RELIGIÃO"/>
    <x v="0"/>
    <s v="NULL"/>
    <x v="0"/>
    <x v="3"/>
  </r>
  <r>
    <s v="0BB447E972D4931C1C7C079CFF4D476987B041C15E2ED6F44277746636DA895F"/>
    <x v="85"/>
    <s v="CASA DO SUSPEITO"/>
    <x v="3"/>
    <s v="NÃO SE APLICA"/>
    <s v="VIOLÊNCIA CONTRA CIDADÃO, FAMÍLIA OU COMUNIDADE"/>
    <s v="OUTROS"/>
    <x v="0"/>
    <x v="7"/>
    <s v="BA"/>
    <x v="6"/>
    <x v="3"/>
    <x v="0"/>
    <s v="NULL"/>
    <x v="2"/>
    <x v="1"/>
    <s v="NÃO"/>
    <s v="BA"/>
    <s v="AGNÓSTICO/ATEU/SEM RELIGIÃO"/>
    <x v="0"/>
    <s v="NULL"/>
    <x v="2"/>
    <x v="3"/>
  </r>
  <r>
    <s v="2B7FEE31DEE17D792376B3F22713B4E2ED0EAAB9CD2A321C3CF6EFDA814FF623"/>
    <x v="85"/>
    <s v="CASA DA VÍTIMA"/>
    <x v="12"/>
    <s v="HÁ MAIS DE SEIS MESES"/>
    <s v="VIOLÊNCIA CONTRA CIDADÃO, FAMÍLIA OU COMUNIDADE"/>
    <s v="VIZINHO(A)"/>
    <x v="0"/>
    <x v="0"/>
    <s v="DENUNCIANTE NÃO SOUBE INFORMAR"/>
    <x v="1"/>
    <x v="2"/>
    <x v="1"/>
    <s v="NULL"/>
    <x v="2"/>
    <x v="1"/>
    <s v="NÃO INFORMADO"/>
    <s v="PR"/>
    <s v="EVANGÉLICA"/>
    <x v="2"/>
    <s v="NULL"/>
    <x v="0"/>
    <x v="3"/>
  </r>
  <r>
    <s v="27C2C696285D2FCF8BE7717DE213E704AF45AF8F51E2882FDB7F3CBF9162FA79"/>
    <x v="86"/>
    <s v="ESTABELECIMENTO DE SAÚDE"/>
    <x v="2"/>
    <s v="HÁ MAIS DE DEZ ANOS"/>
    <s v="VIOLÊNCIA CONTRA CIDADÃO, FAMÍLIA OU COMUNIDADE"/>
    <s v="PRESTADOR(A) DE SERVIÇO"/>
    <x v="0"/>
    <x v="0"/>
    <s v="RJ"/>
    <x v="0"/>
    <x v="0"/>
    <x v="2"/>
    <s v="NULL"/>
    <x v="1"/>
    <x v="0"/>
    <s v="NÃO INFORMADO"/>
    <s v="RJ"/>
    <s v="AGNÓSTICO/ATEU/SEM RELIGIÃO"/>
    <x v="1"/>
    <s v="SAÚDE HUMANA E SERVIÇOS SOCIAIS"/>
    <x v="0"/>
    <x v="3"/>
  </r>
  <r>
    <s v="043F4DBC2B4E636DE107D216DD33D342D3A42EE50F5F2015C72352C6906E4C2A"/>
    <x v="86"/>
    <s v="OUTROS ESTABELECIMENTOS"/>
    <x v="19"/>
    <s v="HÁ MAIS DE UM ANO"/>
    <s v="VIOLÊNCIA CONTRA CIDADÃO, FAMÍLIA OU COMUNIDADE"/>
    <s v="OUTROS"/>
    <x v="1"/>
    <x v="3"/>
    <s v="PB"/>
    <x v="0"/>
    <x v="0"/>
    <x v="1"/>
    <s v="NULL"/>
    <x v="0"/>
    <x v="5"/>
    <s v="NÃO"/>
    <s v="PB"/>
    <s v="AGNÓSTICO/ATEU/SEM RELIGIÃO"/>
    <x v="2"/>
    <s v="NULL"/>
    <x v="1"/>
    <x v="3"/>
  </r>
  <r>
    <s v="6695568C6ED528E29582A833F9E8EFB5375EB5DEED7FE83F9C101AA2B4BB77FC"/>
    <x v="86"/>
    <s v="OUTROS ESTABELECIMENTOS"/>
    <x v="19"/>
    <s v="HÁ MAIS DE UM ANO"/>
    <s v="VIOLÊNCIA CONTRA CIDADÃO, FAMÍLIA OU COMUNIDADE"/>
    <s v="OUTROS"/>
    <x v="1"/>
    <x v="3"/>
    <s v="PB"/>
    <x v="0"/>
    <x v="0"/>
    <x v="1"/>
    <s v="NULL"/>
    <x v="1"/>
    <x v="0"/>
    <s v="NÃO INFORMADO"/>
    <s v="PB"/>
    <s v="AGNÓSTICO/ATEU/SEM RELIGIÃO"/>
    <x v="1"/>
    <s v="AGÊNCIA REGULADORA ? MUNICIPAL"/>
    <x v="1"/>
    <x v="3"/>
  </r>
  <r>
    <s v="A12A0D311CA02CF1EECB7089D4105699725BBFC77CD0BE73835361A547A632D5"/>
    <x v="86"/>
    <s v="OUTROS ESTABELECIMENTOS"/>
    <x v="19"/>
    <s v="HÁ MAIS DE UM ANO"/>
    <s v="VIOLÊNCIA CONTRA CIDADÃO, FAMÍLIA OU COMUNIDADE"/>
    <s v="OUTROS"/>
    <x v="1"/>
    <x v="3"/>
    <s v="PB"/>
    <x v="0"/>
    <x v="0"/>
    <x v="1"/>
    <s v="NULL"/>
    <x v="2"/>
    <x v="2"/>
    <s v="NÃO"/>
    <s v="PB"/>
    <s v="AGNÓSTICO/ATEU/SEM RELIGIÃO"/>
    <x v="0"/>
    <s v="NULL"/>
    <x v="1"/>
    <x v="3"/>
  </r>
  <r>
    <s v="B9BA6D56E0E07F64A0D67CEF84FFB00E2A3F77565DE04481D4F767E9C98D6923"/>
    <x v="86"/>
    <s v="LOCAL DE TRABALHO DA VÍTIMA"/>
    <x v="2"/>
    <s v="HÁ UM MÊS"/>
    <s v="VIOLÊNCIA CONTRA CIDADÃO, FAMÍLIA OU COMUNIDADE"/>
    <s v="FUNCIONÁRIO, VOLUNTÁRIO OU PRESTADOR DE SERVIÇO PARA INSTITUIÇÃO"/>
    <x v="1"/>
    <x v="7"/>
    <s v="RJ"/>
    <x v="0"/>
    <x v="0"/>
    <x v="1"/>
    <s v="NULL"/>
    <x v="1"/>
    <x v="0"/>
    <s v="NÃO INFORMADO"/>
    <s v="RJ"/>
    <s v="AGNÓSTICO/ATEU/SEM RELIGIÃO"/>
    <x v="1"/>
    <s v="AGÊNCIA REGULADORA ? MUNICIPAL"/>
    <x v="2"/>
    <x v="3"/>
  </r>
  <r>
    <s v="B9BA6D56E0E07F64A0D67CEF84FFB00E2A3F77565DE04481D4F767E9C98D6923"/>
    <x v="86"/>
    <s v="LOCAL DE TRABALHO DA VÍTIMA"/>
    <x v="2"/>
    <s v="HÁ UM MÊS"/>
    <s v="VIOLÊNCIA CONTRA CIDADÃO, FAMÍLIA OU COMUNIDADE"/>
    <s v="FUNCIONÁRIO, VOLUNTÁRIO OU PRESTADOR DE SERVIÇO PARA INSTITUIÇÃO"/>
    <x v="1"/>
    <x v="7"/>
    <s v="RJ"/>
    <x v="0"/>
    <x v="0"/>
    <x v="1"/>
    <s v="NULL"/>
    <x v="1"/>
    <x v="0"/>
    <s v="NÃO INFORMADO"/>
    <s v="RJ"/>
    <s v="AGNÓSTICO/ATEU/SEM RELIGIÃO"/>
    <x v="1"/>
    <s v="AGÊNCIA REGULADORA ? MUNICIPAL"/>
    <x v="0"/>
    <x v="3"/>
  </r>
  <r>
    <s v="B9BA6D56E0E07F64A0D67CEF84FFB00E2A3F77565DE04481D4F767E9C98D6923"/>
    <x v="86"/>
    <s v="LOCAL DE TRABALHO DA VÍTIMA"/>
    <x v="2"/>
    <s v="HÁ UM MÊS"/>
    <s v="VIOLÊNCIA CONTRA CIDADÃO, FAMÍLIA OU COMUNIDADE"/>
    <s v="FUNCIONÁRIO, VOLUNTÁRIO OU PRESTADOR DE SERVIÇO PARA INSTITUIÇÃO"/>
    <x v="1"/>
    <x v="7"/>
    <s v="RJ"/>
    <x v="0"/>
    <x v="0"/>
    <x v="1"/>
    <s v="NULL"/>
    <x v="1"/>
    <x v="0"/>
    <s v="NÃO INFORMADO"/>
    <s v="RJ"/>
    <s v="AGNÓSTICO/ATEU/SEM RELIGIÃO"/>
    <x v="1"/>
    <s v="AGÊNCIA REGULADORA ? MUNICIPAL"/>
    <x v="1"/>
    <x v="3"/>
  </r>
  <r>
    <s v="1D8A907C00FC2D946B981D0B2F1D46811E70AE3BD649FB3E2035A83906D92127"/>
    <x v="86"/>
    <s v="CASA ONDE RESIDE A VÍTIMA E O SUSPEITO"/>
    <x v="1"/>
    <s v="NÃO SABE INFORMAR"/>
    <s v="VIOLÊNCIA CONTRA CIDADÃO, FAMÍLIA OU COMUNIDADE"/>
    <s v="PAI"/>
    <x v="0"/>
    <x v="3"/>
    <s v="SP"/>
    <x v="0"/>
    <x v="0"/>
    <x v="0"/>
    <s v="NULL"/>
    <x v="0"/>
    <x v="1"/>
    <s v="NÃO"/>
    <s v="SP"/>
    <s v="AGNÓSTICO/ATEU/SEM RELIGIÃO"/>
    <x v="2"/>
    <s v="NULL"/>
    <x v="0"/>
    <x v="3"/>
  </r>
  <r>
    <s v="1D8A907C00FC2D946B981D0B2F1D46811E70AE3BD649FB3E2035A83906D92127"/>
    <x v="86"/>
    <s v="CASA ONDE RESIDE A VÍTIMA E O SUSPEITO"/>
    <x v="1"/>
    <s v="NÃO SABE INFORMAR"/>
    <s v="VIOLÊNCIA CONTRA CIDADÃO, FAMÍLIA OU COMUNIDADE"/>
    <s v="PAI"/>
    <x v="0"/>
    <x v="3"/>
    <s v="SP"/>
    <x v="0"/>
    <x v="0"/>
    <x v="0"/>
    <s v="NULL"/>
    <x v="0"/>
    <x v="1"/>
    <s v="NÃO"/>
    <s v="SP"/>
    <s v="AGNÓSTICO/ATEU/SEM RELIGIÃO"/>
    <x v="2"/>
    <s v="NULL"/>
    <x v="2"/>
    <x v="3"/>
  </r>
  <r>
    <s v="F837EEA7292611E79CE58C370CC1227FCB7293849209DBA3982471AADD2A6F42"/>
    <x v="87"/>
    <s v="OUTROS ESTABELECIMENTOS"/>
    <x v="15"/>
    <s v="HÁ MAIS DE SEIS MESES"/>
    <s v="VIOLÊNCIA CONTRA CIDADÃO, FAMÍLIA OU COMUNIDADE"/>
    <s v="VIZINHO(A)"/>
    <x v="1"/>
    <x v="7"/>
    <s v="PR"/>
    <x v="0"/>
    <x v="3"/>
    <x v="1"/>
    <s v="NULL"/>
    <x v="0"/>
    <x v="0"/>
    <s v="NÃO"/>
    <s v="PR"/>
    <s v="AGNÓSTICO/ATEU/SEM RELIGIÃO"/>
    <x v="0"/>
    <s v="NULL"/>
    <x v="0"/>
    <x v="3"/>
  </r>
  <r>
    <s v="F837EEA7292611E79CE58C370CC1227FCB7293849209DBA3982471AADD2A6F42"/>
    <x v="87"/>
    <s v="OUTROS ESTABELECIMENTOS"/>
    <x v="15"/>
    <s v="HÁ MAIS DE SEIS MESES"/>
    <s v="VIOLÊNCIA CONTRA CIDADÃO, FAMÍLIA OU COMUNIDADE"/>
    <s v="VIZINHO(A)"/>
    <x v="1"/>
    <x v="7"/>
    <s v="PR"/>
    <x v="0"/>
    <x v="3"/>
    <x v="1"/>
    <s v="NULL"/>
    <x v="0"/>
    <x v="0"/>
    <s v="NÃO"/>
    <s v="PR"/>
    <s v="AGNÓSTICO/ATEU/SEM RELIGIÃO"/>
    <x v="0"/>
    <s v="NULL"/>
    <x v="2"/>
    <x v="3"/>
  </r>
  <r>
    <s v="F837EEA7292611E79CE58C370CC1227FCB7293849209DBA3982471AADD2A6F42"/>
    <x v="87"/>
    <s v="OUTROS ESTABELECIMENTOS"/>
    <x v="15"/>
    <s v="HÁ MAIS DE SEIS MESES"/>
    <s v="VIOLÊNCIA CONTRA CIDADÃO, FAMÍLIA OU COMUNIDADE"/>
    <s v="VIZINHO(A)"/>
    <x v="1"/>
    <x v="7"/>
    <s v="PR"/>
    <x v="0"/>
    <x v="3"/>
    <x v="1"/>
    <s v="NULL"/>
    <x v="0"/>
    <x v="0"/>
    <s v="NÃO"/>
    <s v="PR"/>
    <s v="AGNÓSTICO/ATEU/SEM RELIGIÃO"/>
    <x v="0"/>
    <s v="NULL"/>
    <x v="1"/>
    <x v="3"/>
  </r>
  <r>
    <s v="467898A1ECA0470B3CB1BED15255A6D9B6EC202C80EFB6B027BA1A8ECE3B1D52"/>
    <x v="87"/>
    <s v="CASA DA VÍTIMA"/>
    <x v="15"/>
    <s v="HÁ UM MÊS"/>
    <s v="VIOLÊNCIA CONTRA CIDADÃO, FAMÍLIA OU COMUNIDADE"/>
    <s v="VIZINHO(A)"/>
    <x v="1"/>
    <x v="4"/>
    <s v="PR"/>
    <x v="0"/>
    <x v="1"/>
    <x v="1"/>
    <s v="NULL"/>
    <x v="0"/>
    <x v="7"/>
    <s v="NÃO"/>
    <s v="PR"/>
    <s v="AGNÓSTICO/ATEU/SEM RELIGIÃO"/>
    <x v="2"/>
    <s v="NULL"/>
    <x v="1"/>
    <x v="3"/>
  </r>
  <r>
    <s v="467898A1ECA0470B3CB1BED15255A6D9B6EC202C80EFB6B027BA1A8ECE3B1D52"/>
    <x v="87"/>
    <s v="CASA DA VÍTIMA"/>
    <x v="15"/>
    <s v="HÁ UM MÊS"/>
    <s v="VIOLÊNCIA CONTRA CIDADÃO, FAMÍLIA OU COMUNIDADE"/>
    <s v="VIZINHO(A)"/>
    <x v="1"/>
    <x v="4"/>
    <s v="PR"/>
    <x v="0"/>
    <x v="1"/>
    <x v="1"/>
    <s v="NULL"/>
    <x v="0"/>
    <x v="7"/>
    <s v="NÃO"/>
    <s v="PR"/>
    <s v="AGNÓSTICO/ATEU/SEM RELIGIÃO"/>
    <x v="2"/>
    <s v="NULL"/>
    <x v="0"/>
    <x v="3"/>
  </r>
  <r>
    <s v="467898A1ECA0470B3CB1BED15255A6D9B6EC202C80EFB6B027BA1A8ECE3B1D52"/>
    <x v="87"/>
    <s v="CASA DA VÍTIMA"/>
    <x v="15"/>
    <s v="HÁ UM MÊS"/>
    <s v="VIOLÊNCIA CONTRA CIDADÃO, FAMÍLIA OU COMUNIDADE"/>
    <s v="VIZINHO(A)"/>
    <x v="1"/>
    <x v="4"/>
    <s v="PR"/>
    <x v="0"/>
    <x v="1"/>
    <x v="1"/>
    <s v="NULL"/>
    <x v="0"/>
    <x v="7"/>
    <s v="NÃO"/>
    <s v="PR"/>
    <s v="AGNÓSTICO/ATEU/SEM RELIGIÃO"/>
    <x v="2"/>
    <s v="NULL"/>
    <x v="2"/>
    <x v="3"/>
  </r>
  <r>
    <s v="3BA64E5D898B2833610A543215729F8FA00A7E0D474C703F9DECB06E8431800E"/>
    <x v="87"/>
    <s v="OUTROS ESTABELECIMENTOS"/>
    <x v="15"/>
    <s v="HÁ MAIS DE SEIS MESES"/>
    <s v="VIOLÊNCIA CONTRA CIDADÃO, FAMÍLIA OU COMUNIDADE"/>
    <s v="VIZINHO(A)"/>
    <x v="1"/>
    <x v="3"/>
    <s v="DENUNCIANTE NÃO SOUBE INFORMAR"/>
    <x v="0"/>
    <x v="3"/>
    <x v="1"/>
    <s v="NULL"/>
    <x v="0"/>
    <x v="4"/>
    <s v="NÃO"/>
    <s v="PR"/>
    <s v="AGNÓSTICO/ATEU/SEM RELIGIÃO"/>
    <x v="1"/>
    <s v="NULL"/>
    <x v="0"/>
    <x v="3"/>
  </r>
  <r>
    <s v="3BA64E5D898B2833610A543215729F8FA00A7E0D474C703F9DECB06E8431800E"/>
    <x v="87"/>
    <s v="OUTROS ESTABELECIMENTOS"/>
    <x v="15"/>
    <s v="HÁ MAIS DE SEIS MESES"/>
    <s v="VIOLÊNCIA CONTRA CIDADÃO, FAMÍLIA OU COMUNIDADE"/>
    <s v="VIZINHO(A)"/>
    <x v="1"/>
    <x v="3"/>
    <s v="DENUNCIANTE NÃO SOUBE INFORMAR"/>
    <x v="0"/>
    <x v="3"/>
    <x v="1"/>
    <s v="NULL"/>
    <x v="0"/>
    <x v="4"/>
    <s v="NÃO"/>
    <s v="PR"/>
    <s v="AGNÓSTICO/ATEU/SEM RELIGIÃO"/>
    <x v="1"/>
    <s v="NULL"/>
    <x v="2"/>
    <x v="3"/>
  </r>
  <r>
    <s v="91FA2DA5A11F32A23DAE19C4F6E7A9AE7820175FD9C6A312D4D7BD7A3548B833"/>
    <x v="87"/>
    <s v="OUTROS ESTABELECIMENTOS"/>
    <x v="15"/>
    <s v="HÁ MAIS DE SEIS MESES"/>
    <s v="VIOLÊNCIA CONTRA CIDADÃO, FAMÍLIA OU COMUNIDADE"/>
    <s v="VIZINHO(A)"/>
    <x v="1"/>
    <x v="3"/>
    <s v="DENUNCIANTE NÃO SOUBE INFORMAR"/>
    <x v="0"/>
    <x v="3"/>
    <x v="1"/>
    <s v="NULL"/>
    <x v="2"/>
    <x v="0"/>
    <s v="NÃO"/>
    <s v="PR"/>
    <s v="AGNÓSTICO/ATEU/SEM RELIGIÃO"/>
    <x v="1"/>
    <s v="NULL"/>
    <x v="2"/>
    <x v="3"/>
  </r>
  <r>
    <s v="91FA2DA5A11F32A23DAE19C4F6E7A9AE7820175FD9C6A312D4D7BD7A3548B833"/>
    <x v="87"/>
    <s v="OUTROS ESTABELECIMENTOS"/>
    <x v="15"/>
    <s v="HÁ MAIS DE SEIS MESES"/>
    <s v="VIOLÊNCIA CONTRA CIDADÃO, FAMÍLIA OU COMUNIDADE"/>
    <s v="VIZINHO(A)"/>
    <x v="1"/>
    <x v="3"/>
    <s v="DENUNCIANTE NÃO SOUBE INFORMAR"/>
    <x v="0"/>
    <x v="3"/>
    <x v="1"/>
    <s v="NULL"/>
    <x v="2"/>
    <x v="0"/>
    <s v="NÃO"/>
    <s v="PR"/>
    <s v="AGNÓSTICO/ATEU/SEM RELIGIÃO"/>
    <x v="1"/>
    <s v="NULL"/>
    <x v="0"/>
    <x v="3"/>
  </r>
  <r>
    <s v="DF71AF5E55C478B5C302855DE88FB82095B0342B2B286CD26C79D0416B710150"/>
    <x v="87"/>
    <s v="OUTROS ESTABELECIMENTOS"/>
    <x v="1"/>
    <s v="HÁ UM MÊS"/>
    <s v="VIOLÊNCIA CONTRA CIDADÃO, FAMÍLIA OU COMUNIDADE"/>
    <s v="NÃO SE APLICA"/>
    <x v="1"/>
    <x v="3"/>
    <s v="SP"/>
    <x v="0"/>
    <x v="0"/>
    <x v="1"/>
    <s v="NULL"/>
    <x v="0"/>
    <x v="4"/>
    <s v="NÃO"/>
    <s v="SP"/>
    <s v="OUTRAS RELIGIOSIDADES CRISTÃS"/>
    <x v="0"/>
    <s v="NULL"/>
    <x v="1"/>
    <x v="3"/>
  </r>
  <r>
    <s v="DF71AF5E55C478B5C302855DE88FB82095B0342B2B286CD26C79D0416B710150"/>
    <x v="87"/>
    <s v="OUTROS ESTABELECIMENTOS"/>
    <x v="1"/>
    <s v="HÁ UM MÊS"/>
    <s v="VIOLÊNCIA CONTRA CIDADÃO, FAMÍLIA OU COMUNIDADE"/>
    <s v="NÃO SE APLICA"/>
    <x v="1"/>
    <x v="3"/>
    <s v="SP"/>
    <x v="0"/>
    <x v="0"/>
    <x v="1"/>
    <s v="NULL"/>
    <x v="0"/>
    <x v="4"/>
    <s v="NÃO"/>
    <s v="SP"/>
    <s v="OUTRAS RELIGIOSIDADES CRISTÃS"/>
    <x v="0"/>
    <s v="NULL"/>
    <x v="0"/>
    <x v="3"/>
  </r>
  <r>
    <s v="53F520190B249D65FF72F08B5D48506B9EFE8AB89BEF21AF9AAD88FEA32AD26F"/>
    <x v="88"/>
    <s v="OUTROS ESTABELECIMENTOS"/>
    <x v="4"/>
    <s v="NÃO SE APLICA"/>
    <s v="VIOLÊNCIA CONTRA CIDADÃO, FAMÍLIA OU COMUNIDADE"/>
    <s v="LÍDER RELIGIOSO(A)"/>
    <x v="1"/>
    <x v="8"/>
    <s v="MG"/>
    <x v="0"/>
    <x v="0"/>
    <x v="1"/>
    <s v="NULL"/>
    <x v="0"/>
    <x v="1"/>
    <s v="NÃO"/>
    <s v="MG"/>
    <s v="AGNÓSTICO/ATEU/SEM RELIGIÃO"/>
    <x v="1"/>
    <s v="NULL"/>
    <x v="0"/>
    <x v="3"/>
  </r>
  <r>
    <s v="C68577178D0BD6A7C0E5E52724319AE88F9B8AD27C2220893875DB19CA2499BD"/>
    <x v="89"/>
    <s v="CASA DA VÍTIMA"/>
    <x v="15"/>
    <s v="HÁ MAIS DE UM ANO"/>
    <s v="VIOLÊNCIA CONTRA CIDADÃO, FAMÍLIA OU COMUNIDADE"/>
    <s v="EMPREGADOR/PATRÃO (HIERARQUICAMENTE SUPERIOR)"/>
    <x v="0"/>
    <x v="7"/>
    <s v="PR"/>
    <x v="9"/>
    <x v="0"/>
    <x v="0"/>
    <s v="NULL"/>
    <x v="1"/>
    <x v="0"/>
    <s v="NÃO INFORMADO"/>
    <s v="PR"/>
    <s v="AGNÓSTICO/ATEU/SEM RELIGIÃO"/>
    <x v="1"/>
    <s v="INDÚSTRIAS DE TRANSFORMAÇÃO"/>
    <x v="0"/>
    <x v="3"/>
  </r>
  <r>
    <s v="98A89A63E0AEEFCDBCF017848CC8FB1D5DB79CE2E1EB1F583FA82EEB362B8764"/>
    <x v="89"/>
    <s v="AMBIENTE VIRTUAL (NO ÂMBITO DA INTERNET)"/>
    <x v="12"/>
    <s v="NÃO SABE INFORMAR"/>
    <s v="VIOLÊNCIA CONTRA CIDADÃO, FAMÍLIA OU COMUNIDADE"/>
    <s v="VIZINHO(A)"/>
    <x v="0"/>
    <x v="4"/>
    <s v="SC"/>
    <x v="0"/>
    <x v="0"/>
    <x v="3"/>
    <s v="NULL"/>
    <x v="2"/>
    <x v="0"/>
    <s v="NÃO INFORMADO"/>
    <s v="SC"/>
    <s v="AGNÓSTICO/ATEU/SEM RELIGIÃO"/>
    <x v="1"/>
    <s v="NULL"/>
    <x v="0"/>
    <x v="3"/>
  </r>
  <r>
    <s v="9CBC8A1E6D1D3401F70F326BB1A5A1AD61E6D46414D18886C221E9E47536F37D"/>
    <x v="90"/>
    <s v="CASA DA VÍTIMA"/>
    <x v="4"/>
    <s v="NÃO SE APLICA"/>
    <s v="VIOLÊNCIA CONTRA CIDADÃO, FAMÍLIA OU COMUNIDADE"/>
    <s v="DESCONHECIDO(A)"/>
    <x v="0"/>
    <x v="2"/>
    <s v="MG"/>
    <x v="9"/>
    <x v="0"/>
    <x v="4"/>
    <s v="NULL"/>
    <x v="2"/>
    <x v="4"/>
    <s v="NÃO"/>
    <s v="MG"/>
    <s v="AGNÓSTICO/ATEU/SEM RELIGIÃO"/>
    <x v="3"/>
    <s v="NULL"/>
    <x v="0"/>
    <x v="3"/>
  </r>
  <r>
    <s v="9CBC8A1E6D1D3401F70F326BB1A5A1AD61E6D46414D18886C221E9E47536F37D"/>
    <x v="90"/>
    <s v="CASA DA VÍTIMA"/>
    <x v="4"/>
    <s v="NÃO SE APLICA"/>
    <s v="VIOLÊNCIA CONTRA CIDADÃO, FAMÍLIA OU COMUNIDADE"/>
    <s v="DESCONHECIDO(A)"/>
    <x v="0"/>
    <x v="2"/>
    <s v="MG"/>
    <x v="9"/>
    <x v="0"/>
    <x v="4"/>
    <s v="NULL"/>
    <x v="2"/>
    <x v="4"/>
    <s v="NÃO"/>
    <s v="MG"/>
    <s v="AGNÓSTICO/ATEU/SEM RELIGIÃO"/>
    <x v="3"/>
    <s v="NULL"/>
    <x v="1"/>
    <x v="3"/>
  </r>
  <r>
    <s v="9CBC8A1E6D1D3401F70F326BB1A5A1AD61E6D46414D18886C221E9E47536F37D"/>
    <x v="90"/>
    <s v="CASA DA VÍTIMA"/>
    <x v="4"/>
    <s v="NÃO SE APLICA"/>
    <s v="VIOLÊNCIA CONTRA CIDADÃO, FAMÍLIA OU COMUNIDADE"/>
    <s v="DESCONHECIDO(A)"/>
    <x v="0"/>
    <x v="2"/>
    <s v="MG"/>
    <x v="9"/>
    <x v="0"/>
    <x v="4"/>
    <s v="NULL"/>
    <x v="2"/>
    <x v="4"/>
    <s v="NÃO"/>
    <s v="MG"/>
    <s v="AGNÓSTICO/ATEU/SEM RELIGIÃO"/>
    <x v="3"/>
    <s v="NULL"/>
    <x v="2"/>
    <x v="3"/>
  </r>
  <r>
    <s v="96837458FDF66090FC1779D30B92EC9B16D261F1C663D579CBE13E2B35BAD883"/>
    <x v="90"/>
    <s v="OUTROS ESTABELECIMENTOS"/>
    <x v="15"/>
    <s v="HÁ UM MÊS"/>
    <s v="VIOLÊNCIA CONTRA CIDADÃO, FAMÍLIA OU COMUNIDADE"/>
    <s v="OUTROS"/>
    <x v="0"/>
    <x v="3"/>
    <s v="PR"/>
    <x v="0"/>
    <x v="3"/>
    <x v="1"/>
    <s v="NULL"/>
    <x v="0"/>
    <x v="4"/>
    <s v="NÃO"/>
    <s v="PR"/>
    <s v="AGNÓSTICO/ATEU/SEM RELIGIÃO"/>
    <x v="0"/>
    <s v="NULL"/>
    <x v="2"/>
    <x v="3"/>
  </r>
  <r>
    <s v="B56B325422DA56B723AACDD53983D12DA53486C00B4BB612F38D51A284AF4F4E"/>
    <x v="90"/>
    <s v="OUTROS ESTABELECIMENTOS"/>
    <x v="15"/>
    <s v="HÁ UM MÊS"/>
    <s v="VIOLÊNCIA CONTRA CIDADÃO, FAMÍLIA OU COMUNIDADE"/>
    <s v="OUTROS"/>
    <x v="0"/>
    <x v="3"/>
    <s v="PR"/>
    <x v="0"/>
    <x v="3"/>
    <x v="1"/>
    <s v="NULL"/>
    <x v="0"/>
    <x v="2"/>
    <s v="NÃO"/>
    <s v="PR"/>
    <s v="AGNÓSTICO/ATEU/SEM RELIGIÃO"/>
    <x v="0"/>
    <s v="NULL"/>
    <x v="2"/>
    <x v="3"/>
  </r>
  <r>
    <s v="D9FC55679F0D4A3A7586FDA555E529745F0C70A929725B8199A665B1E53D1D93"/>
    <x v="90"/>
    <s v="ESTABELECIMENTO DE SAÚDE"/>
    <x v="4"/>
    <s v="HÁ MAIS DE UM ANO"/>
    <s v="VIOLÊNCIA CONTRA CIDADÃO, FAMÍLIA OU COMUNIDADE"/>
    <s v="DIRETOR/GESTOR DE INSTITUIÇÃO"/>
    <x v="1"/>
    <x v="7"/>
    <s v="MG"/>
    <x v="0"/>
    <x v="0"/>
    <x v="1"/>
    <s v="NULL"/>
    <x v="1"/>
    <x v="0"/>
    <s v="NÃO INFORMADO"/>
    <s v="MG"/>
    <s v="AGNÓSTICO/ATEU/SEM RELIGIÃO"/>
    <x v="1"/>
    <s v="ALOJAMENTO E ALIMENTAÇÃO"/>
    <x v="2"/>
    <x v="3"/>
  </r>
  <r>
    <s v="939696CD4880C2E159A1DE0673A399E86266B9AEC1BAAA3F079F7B11D1DED4DC"/>
    <x v="90"/>
    <s v="CASA DA VÍTIMA"/>
    <x v="22"/>
    <s v="HÁ UMA SEMANA"/>
    <s v="VIOLÊNCIA CONTRA CIDADÃO, FAMÍLIA OU COMUNIDADE"/>
    <s v="OUTROS FAMILIARES"/>
    <x v="0"/>
    <x v="4"/>
    <s v="AL"/>
    <x v="0"/>
    <x v="0"/>
    <x v="0"/>
    <s v="NULL"/>
    <x v="2"/>
    <x v="0"/>
    <s v="NÃO INFORMADO"/>
    <s v="AL"/>
    <s v="AGNÓSTICO/ATEU/SEM RELIGIÃO"/>
    <x v="2"/>
    <s v="NULL"/>
    <x v="2"/>
    <x v="3"/>
  </r>
  <r>
    <s v="939696CD4880C2E159A1DE0673A399E86266B9AEC1BAAA3F079F7B11D1DED4DC"/>
    <x v="90"/>
    <s v="CASA DA VÍTIMA"/>
    <x v="22"/>
    <s v="HÁ UMA SEMANA"/>
    <s v="VIOLÊNCIA CONTRA CIDADÃO, FAMÍLIA OU COMUNIDADE"/>
    <s v="OUTROS FAMILIARES"/>
    <x v="0"/>
    <x v="4"/>
    <s v="AL"/>
    <x v="0"/>
    <x v="0"/>
    <x v="0"/>
    <s v="NULL"/>
    <x v="2"/>
    <x v="0"/>
    <s v="NÃO INFORMADO"/>
    <s v="AL"/>
    <s v="AGNÓSTICO/ATEU/SEM RELIGIÃO"/>
    <x v="2"/>
    <s v="NULL"/>
    <x v="0"/>
    <x v="3"/>
  </r>
  <r>
    <s v="1C3CA18EE91A0AEB59B4E17ED1CA6A9F8695187D9EE2B88E1337FDE332926B12"/>
    <x v="90"/>
    <s v="CASA DA VÍTIMA"/>
    <x v="22"/>
    <s v="HÁ UMA SEMANA"/>
    <s v="VIOLÊNCIA CONTRA CIDADÃO, FAMÍLIA OU COMUNIDADE"/>
    <s v="OUTROS FAMILIARES"/>
    <x v="0"/>
    <x v="4"/>
    <s v="AL"/>
    <x v="0"/>
    <x v="0"/>
    <x v="0"/>
    <s v="NULL"/>
    <x v="1"/>
    <x v="0"/>
    <s v="NÃO INFORMADO"/>
    <s v="AL"/>
    <s v="AGNÓSTICO/ATEU/SEM RELIGIÃO"/>
    <x v="2"/>
    <s v="NULL"/>
    <x v="0"/>
    <x v="3"/>
  </r>
  <r>
    <s v="1C3CA18EE91A0AEB59B4E17ED1CA6A9F8695187D9EE2B88E1337FDE332926B12"/>
    <x v="90"/>
    <s v="CASA DA VÍTIMA"/>
    <x v="22"/>
    <s v="HÁ UMA SEMANA"/>
    <s v="VIOLÊNCIA CONTRA CIDADÃO, FAMÍLIA OU COMUNIDADE"/>
    <s v="OUTROS FAMILIARES"/>
    <x v="0"/>
    <x v="4"/>
    <s v="AL"/>
    <x v="0"/>
    <x v="0"/>
    <x v="0"/>
    <s v="NULL"/>
    <x v="1"/>
    <x v="0"/>
    <s v="NÃO INFORMADO"/>
    <s v="AL"/>
    <s v="AGNÓSTICO/ATEU/SEM RELIGIÃO"/>
    <x v="2"/>
    <s v="NULL"/>
    <x v="2"/>
    <x v="3"/>
  </r>
  <r>
    <s v="7F1A0B12BBB49B43150B7E2A4A21E6DA9798B8C22E9D0DE0372180B2309143DB"/>
    <x v="90"/>
    <s v="OUTROS ESTABELECIMENTOS"/>
    <x v="7"/>
    <s v="NÃO SE APLICA"/>
    <s v="VIOLÊNCIA CONTRA CIDADÃO, FAMÍLIA OU COMUNIDADE"/>
    <s v="DESCONHECIDO(A)"/>
    <x v="0"/>
    <x v="2"/>
    <s v="ES"/>
    <x v="0"/>
    <x v="0"/>
    <x v="0"/>
    <s v="NULL"/>
    <x v="0"/>
    <x v="2"/>
    <s v="NÃO INFORMADO"/>
    <s v="ES"/>
    <s v="AGNÓSTICO/ATEU/SEM RELIGIÃO"/>
    <x v="0"/>
    <s v="NULL"/>
    <x v="2"/>
    <x v="3"/>
  </r>
  <r>
    <s v="7F1A0B12BBB49B43150B7E2A4A21E6DA9798B8C22E9D0DE0372180B2309143DB"/>
    <x v="90"/>
    <s v="OUTROS ESTABELECIMENTOS"/>
    <x v="7"/>
    <s v="NÃO SE APLICA"/>
    <s v="VIOLÊNCIA CONTRA CIDADÃO, FAMÍLIA OU COMUNIDADE"/>
    <s v="DESCONHECIDO(A)"/>
    <x v="0"/>
    <x v="2"/>
    <s v="ES"/>
    <x v="0"/>
    <x v="0"/>
    <x v="0"/>
    <s v="NULL"/>
    <x v="0"/>
    <x v="2"/>
    <s v="NÃO INFORMADO"/>
    <s v="ES"/>
    <s v="AGNÓSTICO/ATEU/SEM RELIGIÃO"/>
    <x v="0"/>
    <s v="NULL"/>
    <x v="0"/>
    <x v="3"/>
  </r>
  <r>
    <s v="2356D7D7C4E5B0A4D9AA59A1E1E80AC6A968EA4D84AA87420E3B2187619BC3BD"/>
    <x v="91"/>
    <s v="CASA DA VÍTIMA"/>
    <x v="4"/>
    <s v="HÁ MAIS DE SEIS MESES"/>
    <s v="VIOLÊNCIA CONTRA CIDADÃO, FAMÍLIA OU COMUNIDADE"/>
    <s v="VIZINHO(A)"/>
    <x v="0"/>
    <x v="7"/>
    <s v="MG"/>
    <x v="8"/>
    <x v="3"/>
    <x v="2"/>
    <s v="NULL"/>
    <x v="2"/>
    <x v="7"/>
    <s v="NÃO"/>
    <s v="MG"/>
    <s v="AGNÓSTICO/ATEU/SEM RELIGIÃO"/>
    <x v="0"/>
    <s v="NULL"/>
    <x v="2"/>
    <x v="4"/>
  </r>
  <r>
    <s v="767AFDF4308A61781624A08F5AA8042A705544688F4B49FD7A3E95C782CBC818"/>
    <x v="91"/>
    <s v="CASA DA VÍTIMA"/>
    <x v="4"/>
    <s v="HÁ MAIS DE SEIS MESES"/>
    <s v="VIOLÊNCIA CONTRA CIDADÃO, FAMÍLIA OU COMUNIDADE"/>
    <s v="VIZINHO(A)"/>
    <x v="0"/>
    <x v="7"/>
    <s v="MG"/>
    <x v="8"/>
    <x v="3"/>
    <x v="2"/>
    <s v="NULL"/>
    <x v="2"/>
    <x v="7"/>
    <s v="NÃO"/>
    <s v="MG"/>
    <s v="AGNÓSTICO/ATEU/SEM RELIGIÃO"/>
    <x v="3"/>
    <s v="NULL"/>
    <x v="2"/>
    <x v="4"/>
  </r>
  <r>
    <s v="D4A7039ECFA240126DC10ED1477D457FF78C502D5EAC55A4C8D9C8ACFF57725C"/>
    <x v="91"/>
    <s v="CASA DA VÍTIMA"/>
    <x v="1"/>
    <s v="HÁ UM MÊS"/>
    <s v="VIOLÊNCIA CONTRA CIDADÃO, FAMÍLIA OU COMUNIDADE"/>
    <s v="OUTROS"/>
    <x v="0"/>
    <x v="7"/>
    <s v="SP"/>
    <x v="9"/>
    <x v="0"/>
    <x v="0"/>
    <s v="NULL"/>
    <x v="0"/>
    <x v="1"/>
    <s v="NÃO"/>
    <s v="SP"/>
    <s v="AGNÓSTICO/ATEU/SEM RELIGIÃO"/>
    <x v="3"/>
    <s v="NULL"/>
    <x v="0"/>
    <x v="4"/>
  </r>
  <r>
    <s v="55A43D78A187111D580E0848C724D7E8F42F11DBB4AA860DEF1F07712B9C3F77"/>
    <x v="91"/>
    <s v="OUTROS ESTABELECIMENTOS"/>
    <x v="1"/>
    <s v="HÁ MAIS DE DEZ ANOS"/>
    <s v="VIOLÊNCIA CONTRA CIDADÃO, FAMÍLIA OU COMUNIDADE"/>
    <s v="OUTROS"/>
    <x v="0"/>
    <x v="7"/>
    <s v="SP"/>
    <x v="0"/>
    <x v="0"/>
    <x v="3"/>
    <s v="NULL"/>
    <x v="1"/>
    <x v="0"/>
    <s v="NÃO INFORMADO"/>
    <s v="SP"/>
    <s v="AGNÓSTICO/ATEU/SEM RELIGIÃO"/>
    <x v="1"/>
    <s v="OUTRAS ATIVIDADES DE SERVIÇOS"/>
    <x v="1"/>
    <x v="4"/>
  </r>
  <r>
    <s v="6BCABD05214253BE2CB84E49D8340FC6D1EF531AD6FD42E0CE4C1E9C6660F261"/>
    <x v="92"/>
    <s v="OUTROS ESTABELECIMENTOS"/>
    <x v="7"/>
    <s v="NÃO SE APLICA"/>
    <s v="VIOLÊNCIA CONTRA CIDADÃO, FAMÍLIA OU COMUNIDADE"/>
    <s v="DESCONHECIDO(A)"/>
    <x v="0"/>
    <x v="9"/>
    <s v="ES"/>
    <x v="8"/>
    <x v="2"/>
    <x v="3"/>
    <s v="NULL"/>
    <x v="1"/>
    <x v="0"/>
    <s v="NÃO INFORMADO"/>
    <s v="ES"/>
    <s v="AGNÓSTICO/ATEU/SEM RELIGIÃO"/>
    <x v="1"/>
    <s v="PODER EXECUTIVO EM GERAL ? ESTADUAL/DISTRITO FEDERAL"/>
    <x v="0"/>
    <x v="4"/>
  </r>
  <r>
    <s v="FFEADFDACB724C6AAE12803A096D8B6FCCCF0A3233991E0D3AB8C68C151664E4"/>
    <x v="92"/>
    <s v="OUTROS ESTABELECIMENTOS"/>
    <x v="7"/>
    <s v="NÃO SE APLICA"/>
    <s v="VIOLÊNCIA CONTRA CIDADÃO, FAMÍLIA OU COMUNIDADE"/>
    <s v="DESCONHECIDO(A)"/>
    <x v="0"/>
    <x v="9"/>
    <s v="ES"/>
    <x v="8"/>
    <x v="2"/>
    <x v="3"/>
    <s v="NULL"/>
    <x v="1"/>
    <x v="0"/>
    <s v="NÃO INFORMADO"/>
    <s v="ES"/>
    <s v="AGNÓSTICO/ATEU/SEM RELIGIÃO"/>
    <x v="1"/>
    <s v="PODER EXECUTIVO EM GERAL ? ESTADUAL/DISTRITO FEDERAL"/>
    <x v="0"/>
    <x v="4"/>
  </r>
  <r>
    <s v="83EE753FCECB6FD57274AEAD7238EF5E2398E99247423A467FCAAE134DCDCEB9"/>
    <x v="92"/>
    <s v="OUTROS ESTABELECIMENTOS"/>
    <x v="7"/>
    <s v="NÃO SE APLICA"/>
    <s v="VIOLÊNCIA CONTRA CIDADÃO, FAMÍLIA OU COMUNIDADE"/>
    <s v="DESCONHECIDO(A)"/>
    <x v="0"/>
    <x v="9"/>
    <s v="ES"/>
    <x v="8"/>
    <x v="2"/>
    <x v="3"/>
    <s v="NULL"/>
    <x v="1"/>
    <x v="0"/>
    <s v="NÃO INFORMADO"/>
    <s v="ES"/>
    <s v="AGNÓSTICO/ATEU/SEM RELIGIÃO"/>
    <x v="1"/>
    <s v="PODER EXECUTIVO EM GERAL ? ESTADUAL/DISTRITO FEDERAL"/>
    <x v="0"/>
    <x v="4"/>
  </r>
  <r>
    <s v="7F9D722325C236E3D044B0BEAEDB4E2EBBFF83E3A7754DFE323F1DE60D6FBE4D"/>
    <x v="92"/>
    <s v="CASA DA VÍTIMA"/>
    <x v="16"/>
    <s v="NÃO SE APLICA"/>
    <s v="VIOLÊNCIA CONTRA CIDADÃO, FAMÍLIA OU COMUNIDADE"/>
    <s v="OUTROS FAMILIARES"/>
    <x v="0"/>
    <x v="2"/>
    <s v="RS"/>
    <x v="0"/>
    <x v="0"/>
    <x v="2"/>
    <s v="NULL"/>
    <x v="0"/>
    <x v="4"/>
    <s v="NÃO"/>
    <s v="RS"/>
    <s v="AGNÓSTICO/ATEU/SEM RELIGIÃO"/>
    <x v="1"/>
    <s v="NULL"/>
    <x v="0"/>
    <x v="4"/>
  </r>
  <r>
    <s v="51ACF4F45961838052B5329414031A6BEC15BC376763E866986496E384526862"/>
    <x v="93"/>
    <s v="CASA DA VÍTIMA"/>
    <x v="19"/>
    <s v="HÁ MAIS DE CINCO ANOS"/>
    <s v="VIOLÊNCIA CONTRA CIDADÃO, FAMÍLIA OU COMUNIDADE"/>
    <s v="VIZINHO(A)"/>
    <x v="1"/>
    <x v="2"/>
    <s v="PB"/>
    <x v="0"/>
    <x v="0"/>
    <x v="1"/>
    <s v="NULL"/>
    <x v="0"/>
    <x v="1"/>
    <s v="NÃO"/>
    <s v="PB"/>
    <s v="AGNÓSTICO/ATEU/SEM RELIGIÃO"/>
    <x v="0"/>
    <s v="NULL"/>
    <x v="2"/>
    <x v="4"/>
  </r>
  <r>
    <s v="54C23786F34FFF0825229F6BC98BD87FF810ADFDC8557973DCBBAFCE47649E2A"/>
    <x v="93"/>
    <s v="CASA DA VÍTIMA"/>
    <x v="19"/>
    <s v="HÁ MAIS DE CINCO ANOS"/>
    <s v="VIOLÊNCIA CONTRA CIDADÃO, FAMÍLIA OU COMUNIDADE"/>
    <s v="VIZINHO(A)"/>
    <x v="1"/>
    <x v="2"/>
    <s v="PB"/>
    <x v="0"/>
    <x v="0"/>
    <x v="1"/>
    <s v="NULL"/>
    <x v="2"/>
    <x v="1"/>
    <s v="NÃO"/>
    <s v="PB"/>
    <s v="AGNÓSTICO/ATEU/SEM RELIGIÃO"/>
    <x v="0"/>
    <s v="NULL"/>
    <x v="2"/>
    <x v="4"/>
  </r>
  <r>
    <s v="BD7C15E9563D11BEDE5C98047EB640F79A017F78193BF92E135456FCD87278CC"/>
    <x v="93"/>
    <s v="CASA DA VÍTIMA"/>
    <x v="19"/>
    <s v="HÁ MAIS DE CINCO ANOS"/>
    <s v="VIOLÊNCIA CONTRA CIDADÃO, FAMÍLIA OU COMUNIDADE"/>
    <s v="VIZINHO(A)"/>
    <x v="1"/>
    <x v="2"/>
    <s v="PB"/>
    <x v="0"/>
    <x v="0"/>
    <x v="1"/>
    <s v="NULL"/>
    <x v="0"/>
    <x v="2"/>
    <s v="NÃO"/>
    <s v="PB"/>
    <s v="AGNÓSTICO/ATEU/SEM RELIGIÃO"/>
    <x v="2"/>
    <s v="NULL"/>
    <x v="2"/>
    <x v="4"/>
  </r>
  <r>
    <s v="A55D13A2CA060E00E210B2927C4533C75AFFA8940CDC7A58FFAC4633E7C20E82"/>
    <x v="93"/>
    <s v="CASA DA VÍTIMA"/>
    <x v="19"/>
    <s v="HÁ MAIS DE CINCO ANOS"/>
    <s v="VIOLÊNCIA CONTRA CIDADÃO, FAMÍLIA OU COMUNIDADE"/>
    <s v="VIZINHO(A)"/>
    <x v="1"/>
    <x v="2"/>
    <s v="PB"/>
    <x v="0"/>
    <x v="0"/>
    <x v="1"/>
    <s v="NULL"/>
    <x v="0"/>
    <x v="2"/>
    <s v="NÃO"/>
    <s v="PB"/>
    <s v="AGNÓSTICO/ATEU/SEM RELIGIÃO"/>
    <x v="2"/>
    <s v="NULL"/>
    <x v="2"/>
    <x v="4"/>
  </r>
  <r>
    <s v="F0EC6AA4CD28EA961235305355148F83BB515F788293238BD48A683ED0E1DE1E"/>
    <x v="93"/>
    <s v="CASA DA VÍTIMA"/>
    <x v="19"/>
    <s v="HÁ MAIS DE CINCO ANOS"/>
    <s v="VIOLÊNCIA CONTRA CIDADÃO, FAMÍLIA OU COMUNIDADE"/>
    <s v="VIZINHO(A)"/>
    <x v="1"/>
    <x v="2"/>
    <s v="PB"/>
    <x v="0"/>
    <x v="0"/>
    <x v="1"/>
    <s v="NULL"/>
    <x v="2"/>
    <x v="1"/>
    <s v="NÃO"/>
    <s v="PB"/>
    <s v="AGNÓSTICO/ATEU/SEM RELIGIÃO"/>
    <x v="0"/>
    <s v="NULL"/>
    <x v="2"/>
    <x v="4"/>
  </r>
  <r>
    <s v="0D91C2251258909FB71F95E2F81E8930ADD8AC58B0BE68EDCCCABE4719790B86"/>
    <x v="94"/>
    <s v="CASA DA VÍTIMA"/>
    <x v="2"/>
    <s v="NÃO SE APLICA"/>
    <s v="VIOLÊNCIA CONTRA CIDADÃO, FAMÍLIA OU COMUNIDADE"/>
    <s v="DESCONHECIDO(A)"/>
    <x v="0"/>
    <x v="6"/>
    <s v="RJ"/>
    <x v="3"/>
    <x v="0"/>
    <x v="0"/>
    <s v="NULL"/>
    <x v="0"/>
    <x v="3"/>
    <s v="NÃO INFORMADO"/>
    <s v="RJ"/>
    <s v="AGNÓSTICO/ATEU/SEM RELIGIÃO"/>
    <x v="2"/>
    <s v="NULL"/>
    <x v="0"/>
    <x v="4"/>
  </r>
  <r>
    <s v="07A2073A675B67CDF4DF00F6D561190C0B50FF5184DF90465140EE3CA8EC4199"/>
    <x v="94"/>
    <s v="OUTROS ESTABELECIMENTOS"/>
    <x v="1"/>
    <s v="HÁ MAIS DE UM ANO"/>
    <s v="VIOLÊNCIA CONTRA CIDADÃO, FAMÍLIA OU COMUNIDADE"/>
    <s v="NÃO SABE INFORMAR"/>
    <x v="0"/>
    <x v="3"/>
    <s v="SP"/>
    <x v="3"/>
    <x v="0"/>
    <x v="2"/>
    <s v="NULL"/>
    <x v="1"/>
    <x v="6"/>
    <s v="NÃO INFORMADO"/>
    <s v="SP"/>
    <s v="AGNÓSTICO/ATEU/SEM RELIGIÃO"/>
    <x v="1"/>
    <s v="NULL"/>
    <x v="0"/>
    <x v="4"/>
  </r>
  <r>
    <s v="4F9C851C5B17A51D40E67452C2FDE8761C4545B165AE544E26012E7B844C7859"/>
    <x v="95"/>
    <s v="OUTROS ESTABELECIMENTOS"/>
    <x v="1"/>
    <s v="NÃO SE APLICA"/>
    <s v="VIOLÊNCIA CONTRA CIDADÃO, FAMÍLIA OU COMUNIDADE"/>
    <s v="DIRETOR/GESTOR DE INSTITUIÇÃO"/>
    <x v="0"/>
    <x v="7"/>
    <s v="SP"/>
    <x v="0"/>
    <x v="0"/>
    <x v="0"/>
    <s v="NULL"/>
    <x v="1"/>
    <x v="0"/>
    <s v="NÃO INFORMADO"/>
    <s v="SP"/>
    <s v="AGNÓSTICO/ATEU/SEM RELIGIÃO"/>
    <x v="1"/>
    <s v="EDUCAÇÃO"/>
    <x v="2"/>
    <x v="4"/>
  </r>
  <r>
    <s v="013FE04F88848A0C565C4692CAFD0F39DFD242ABEFB9C9AF911BE4414F79F191"/>
    <x v="96"/>
    <s v="OUTROS ESTABELECIMENTOS"/>
    <x v="17"/>
    <s v="HÁ MAIS DE SEIS MESES"/>
    <s v="VIOLÊNCIA CONTRA CIDADÃO, FAMÍLIA OU COMUNIDADE"/>
    <s v="FUNCIONÁRIO, VOLUNTÁRIO OU PRESTADOR DE SERVIÇO PARA INSTITUIÇÃO"/>
    <x v="0"/>
    <x v="4"/>
    <s v="PA"/>
    <x v="0"/>
    <x v="0"/>
    <x v="3"/>
    <s v="NULL"/>
    <x v="1"/>
    <x v="0"/>
    <s v="NÃO INFORMADO"/>
    <s v="DENUNCIANTE NÃO SOUBE INFORMAR"/>
    <s v="AGNÓSTICO/ATEU/SEM RELIGIÃO"/>
    <x v="1"/>
    <s v="SEGURANÇA PÚBLICA, FORÇAS ARMADAS, DEFESA CIVIL, BOMBEIROS E ASSEMELHADOS ? MUNICIPAL"/>
    <x v="0"/>
    <x v="4"/>
  </r>
  <r>
    <s v="ACDC9EA81FB0A071391ABF4F22F23A04425A211C4B180E3EB7FBE6005E2C8C2D"/>
    <x v="96"/>
    <s v="ESTABELECIMENTO DE SAÚDE"/>
    <x v="1"/>
    <s v="HÁ UM MÊS"/>
    <s v="VIOLÊNCIA CONTRA CIDADÃO, FAMÍLIA OU COMUNIDADE"/>
    <s v="FUNCIONÁRIO, VOLUNTÁRIO OU PRESTADOR DE SERVIÇO PARA INSTITUIÇÃO"/>
    <x v="0"/>
    <x v="1"/>
    <s v="SP"/>
    <x v="1"/>
    <x v="0"/>
    <x v="1"/>
    <s v="NULL"/>
    <x v="1"/>
    <x v="0"/>
    <s v="NÃO INFORMADO"/>
    <s v="SP"/>
    <s v="AGNÓSTICO/ATEU/SEM RELIGIÃO"/>
    <x v="1"/>
    <s v="ALOJAMENTO E ALIMENTAÇÃO"/>
    <x v="1"/>
    <x v="4"/>
  </r>
  <r>
    <s v="90AAEEBA47F11A47E5AC27015FA68D401E25832FF91307520559010C0E4FB9B8"/>
    <x v="96"/>
    <s v="ESTABELECIMENTO DE SAÚDE"/>
    <x v="1"/>
    <s v="HÁ UM MÊS"/>
    <s v="VIOLÊNCIA CONTRA CIDADÃO, FAMÍLIA OU COMUNIDADE"/>
    <s v="FUNCIONÁRIO, VOLUNTÁRIO OU PRESTADOR DE SERVIÇO PARA INSTITUIÇÃO"/>
    <x v="0"/>
    <x v="1"/>
    <s v="SP"/>
    <x v="1"/>
    <x v="0"/>
    <x v="1"/>
    <s v="NULL"/>
    <x v="1"/>
    <x v="0"/>
    <s v="NÃO INFORMADO"/>
    <s v="SP"/>
    <s v="AGNÓSTICO/ATEU/SEM RELIGIÃO"/>
    <x v="1"/>
    <s v="ALOJAMENTO E ALIMENTAÇÃO"/>
    <x v="0"/>
    <x v="4"/>
  </r>
  <r>
    <s v="90AAEEBA47F11A47E5AC27015FA68D401E25832FF91307520559010C0E4FB9B8"/>
    <x v="96"/>
    <s v="ESTABELECIMENTO DE SAÚDE"/>
    <x v="1"/>
    <s v="HÁ UM MÊS"/>
    <s v="VIOLÊNCIA CONTRA CIDADÃO, FAMÍLIA OU COMUNIDADE"/>
    <s v="FUNCIONÁRIO, VOLUNTÁRIO OU PRESTADOR DE SERVIÇO PARA INSTITUIÇÃO"/>
    <x v="0"/>
    <x v="1"/>
    <s v="SP"/>
    <x v="1"/>
    <x v="0"/>
    <x v="1"/>
    <s v="NULL"/>
    <x v="1"/>
    <x v="0"/>
    <s v="NÃO INFORMADO"/>
    <s v="SP"/>
    <s v="AGNÓSTICO/ATEU/SEM RELIGIÃO"/>
    <x v="1"/>
    <s v="ALOJAMENTO E ALIMENTAÇÃO"/>
    <x v="1"/>
    <x v="4"/>
  </r>
  <r>
    <s v="ACDC9EA81FB0A071391ABF4F22F23A04425A211C4B180E3EB7FBE6005E2C8C2D"/>
    <x v="96"/>
    <s v="ESTABELECIMENTO DE SAÚDE"/>
    <x v="1"/>
    <s v="HÁ UM MÊS"/>
    <s v="VIOLÊNCIA CONTRA CIDADÃO, FAMÍLIA OU COMUNIDADE"/>
    <s v="FUNCIONÁRIO, VOLUNTÁRIO OU PRESTADOR DE SERVIÇO PARA INSTITUIÇÃO"/>
    <x v="0"/>
    <x v="1"/>
    <s v="SP"/>
    <x v="1"/>
    <x v="0"/>
    <x v="1"/>
    <s v="NULL"/>
    <x v="1"/>
    <x v="0"/>
    <s v="NÃO INFORMADO"/>
    <s v="SP"/>
    <s v="AGNÓSTICO/ATEU/SEM RELIGIÃO"/>
    <x v="1"/>
    <s v="ALOJAMENTO E ALIMENTAÇÃO"/>
    <x v="0"/>
    <x v="4"/>
  </r>
  <r>
    <s v="8A5A9E888EDAA44731CFF247424DB3F7A947619425F1630B59142C2AFB7D0716"/>
    <x v="96"/>
    <s v="LOCAL DE TRABALHO DA VÍTIMA"/>
    <x v="2"/>
    <s v="HÁ MAIS DE SEIS MESES"/>
    <s v="VIOLÊNCIA CONTRA CIDADÃO, FAMÍLIA OU COMUNIDADE"/>
    <s v="EMPREGADO (HIERARQUICAMENTE INFERIOR)"/>
    <x v="0"/>
    <x v="3"/>
    <s v="RJ"/>
    <x v="0"/>
    <x v="3"/>
    <x v="2"/>
    <s v="NULL"/>
    <x v="0"/>
    <x v="9"/>
    <s v="NÃO"/>
    <s v="RJ"/>
    <s v="EVANGÉLICA"/>
    <x v="2"/>
    <s v="NULL"/>
    <x v="2"/>
    <x v="4"/>
  </r>
  <r>
    <s v="8A5A9E888EDAA44731CFF247424DB3F7A947619425F1630B59142C2AFB7D0716"/>
    <x v="96"/>
    <s v="LOCAL DE TRABALHO DA VÍTIMA"/>
    <x v="2"/>
    <s v="HÁ MAIS DE SEIS MESES"/>
    <s v="VIOLÊNCIA CONTRA CIDADÃO, FAMÍLIA OU COMUNIDADE"/>
    <s v="EMPREGADO (HIERARQUICAMENTE INFERIOR)"/>
    <x v="0"/>
    <x v="3"/>
    <s v="RJ"/>
    <x v="0"/>
    <x v="3"/>
    <x v="2"/>
    <s v="NULL"/>
    <x v="0"/>
    <x v="9"/>
    <s v="NÃO"/>
    <s v="RJ"/>
    <s v="EVANGÉLICA"/>
    <x v="2"/>
    <s v="NULL"/>
    <x v="0"/>
    <x v="4"/>
  </r>
  <r>
    <s v="523B5F1C41B984EEDB900A2622027D9F9000867F6790346078AB0DA7DF094D94"/>
    <x v="97"/>
    <s v="LOCAL DE TRABALHO DA VÍTIMA"/>
    <x v="7"/>
    <s v="NÃO SABE INFORMAR"/>
    <s v="VIOLÊNCIA CONTRA CIDADÃO, FAMÍLIA OU COMUNIDADE"/>
    <s v="OUTROS"/>
    <x v="0"/>
    <x v="0"/>
    <s v="ES"/>
    <x v="5"/>
    <x v="0"/>
    <x v="0"/>
    <s v="NULL"/>
    <x v="1"/>
    <x v="0"/>
    <s v="NÃO INFORMADO"/>
    <s v="ES"/>
    <s v="AGNÓSTICO/ATEU/SEM RELIGIÃO"/>
    <x v="1"/>
    <s v="PODER LEGISLATIVO ? MUNICIPAL"/>
    <x v="0"/>
    <x v="4"/>
  </r>
  <r>
    <s v="640CC51607D6250B4F16F8D8C9F9292C8BE6CED6388318A2A287E03A043774D2"/>
    <x v="98"/>
    <s v="AMBIENTE VIRTUAL (NO ÂMBITO DA INTERNET)"/>
    <x v="1"/>
    <s v="NÃO SE APLICA"/>
    <s v="VIOLÊNCIA CONTRA CIDADÃO, FAMÍLIA OU COMUNIDADE"/>
    <s v="OUTROS"/>
    <x v="0"/>
    <x v="3"/>
    <s v="SP"/>
    <x v="0"/>
    <x v="0"/>
    <x v="2"/>
    <s v="NULL"/>
    <x v="2"/>
    <x v="5"/>
    <s v="NÃO"/>
    <s v="DENUNCIANTE NÃO SOUBE INFORMAR"/>
    <s v="AGNÓSTICO/ATEU/SEM RELIGIÃO"/>
    <x v="0"/>
    <s v="NULL"/>
    <x v="0"/>
    <x v="4"/>
  </r>
  <r>
    <s v="2BEFFEFEB2C12A7BF7094493F7DD5D949BCCAA35412855E682ECF4BC42FCD424"/>
    <x v="98"/>
    <s v="OUTROS ESTABELECIMENTOS"/>
    <x v="1"/>
    <s v="NÃO SE APLICA"/>
    <s v="VIOLÊNCIA CONTRA CIDADÃO, FAMÍLIA OU COMUNIDADE"/>
    <s v="OUTROS"/>
    <x v="0"/>
    <x v="7"/>
    <s v="RJ"/>
    <x v="0"/>
    <x v="3"/>
    <x v="3"/>
    <s v="NULL"/>
    <x v="0"/>
    <x v="0"/>
    <s v="NÃO INFORMADO"/>
    <s v="SP"/>
    <s v="AGNÓSTICO/ATEU/SEM RELIGIÃO"/>
    <x v="1"/>
    <s v="NULL"/>
    <x v="1"/>
    <x v="4"/>
  </r>
  <r>
    <s v="434BBAE2533E4DAFC2BC2AF0EBFD56F6EEB375B39A841EAD905C1CBF4C169722"/>
    <x v="98"/>
    <s v="CASA DO SUSPEITO"/>
    <x v="2"/>
    <s v="HÁ MAIS DE UM ANO"/>
    <s v="VIOLÊNCIA CONTRA CIDADÃO, FAMÍLIA OU COMUNIDADE"/>
    <s v="IRMÃO(Ã)"/>
    <x v="0"/>
    <x v="7"/>
    <s v="RJ"/>
    <x v="1"/>
    <x v="3"/>
    <x v="0"/>
    <s v="NULL"/>
    <x v="0"/>
    <x v="9"/>
    <s v="NÃO INFORMADO"/>
    <s v="RJ"/>
    <s v="CATÓLICA"/>
    <x v="3"/>
    <s v="NULL"/>
    <x v="0"/>
    <x v="4"/>
  </r>
  <r>
    <s v="596358DB680F9A46ACC31CC5B25483E6E839300A036F30FE0FD3192CFF3E22BE"/>
    <x v="99"/>
    <s v="OUTROS ESTABELECIMENTOS"/>
    <x v="20"/>
    <s v="NÃO SE APLICA"/>
    <s v="VIOLÊNCIA CONTRA CIDADÃO, FAMÍLIA OU COMUNIDADE"/>
    <s v="OUTROS"/>
    <x v="0"/>
    <x v="8"/>
    <s v="DENUNCIANTE NÃO SOUBE INFORMAR"/>
    <x v="0"/>
    <x v="0"/>
    <x v="1"/>
    <s v="NULL"/>
    <x v="0"/>
    <x v="3"/>
    <s v="NÃO INFORMADO"/>
    <s v="DENUNCIANTE NÃO SOUBE INFORMAR"/>
    <s v="AGNÓSTICO/ATEU/SEM RELIGIÃO"/>
    <x v="1"/>
    <s v="NULL"/>
    <x v="0"/>
    <x v="4"/>
  </r>
  <r>
    <s v="52BEA17C03571C04815D8DB725FE5FC6E9839B7D97D599D3ABD565A888C9BF89"/>
    <x v="99"/>
    <s v="OUTROS ESTABELECIMENTOS"/>
    <x v="20"/>
    <s v="NÃO SE APLICA"/>
    <s v="VIOLÊNCIA CONTRA CIDADÃO, FAMÍLIA OU COMUNIDADE"/>
    <s v="OUTROS"/>
    <x v="0"/>
    <x v="8"/>
    <s v="DENUNCIANTE NÃO SOUBE INFORMAR"/>
    <x v="0"/>
    <x v="0"/>
    <x v="1"/>
    <s v="NULL"/>
    <x v="0"/>
    <x v="9"/>
    <s v="NÃO"/>
    <s v="DENUNCIANTE NÃO SOUBE INFORMAR"/>
    <s v="AGNÓSTICO/ATEU/SEM RELIGIÃO"/>
    <x v="1"/>
    <s v="NULL"/>
    <x v="0"/>
    <x v="4"/>
  </r>
  <r>
    <s v="F6DDF17F03CE63DC5ADE687D18893F6F79FCDA5C7CF315994DE9B3B793278468"/>
    <x v="99"/>
    <s v="OUTROS ESTABELECIMENTOS"/>
    <x v="20"/>
    <s v="NÃO SE APLICA"/>
    <s v="VIOLÊNCIA CONTRA CIDADÃO, FAMÍLIA OU COMUNIDADE"/>
    <s v="OUTROS"/>
    <x v="0"/>
    <x v="8"/>
    <s v="DENUNCIANTE NÃO SOUBE INFORMAR"/>
    <x v="0"/>
    <x v="0"/>
    <x v="1"/>
    <s v="NULL"/>
    <x v="0"/>
    <x v="3"/>
    <s v="NÃO"/>
    <s v="DENUNCIANTE NÃO SOUBE INFORMAR"/>
    <s v="AGNÓSTICO/ATEU/SEM RELIGIÃO"/>
    <x v="1"/>
    <s v="NULL"/>
    <x v="0"/>
    <x v="4"/>
  </r>
  <r>
    <s v="10AF79ED200CA22265F14A5D2C23DE3E5745C924B0B90F2D4D148A880A8E002D"/>
    <x v="99"/>
    <s v="CASA DA VÍTIMA"/>
    <x v="19"/>
    <s v="NÃO SE APLICA"/>
    <s v="VIOLÊNCIA CONTRA CIDADÃO, FAMÍLIA OU COMUNIDADE"/>
    <s v="VIZINHO(A)"/>
    <x v="1"/>
    <x v="0"/>
    <s v="PB"/>
    <x v="0"/>
    <x v="9"/>
    <x v="1"/>
    <s v="NULL"/>
    <x v="2"/>
    <x v="1"/>
    <s v="NÃO INFORMADO"/>
    <s v="PB"/>
    <s v="AGNÓSTICO/ATEU/SEM RELIGIÃO"/>
    <x v="0"/>
    <s v="NULL"/>
    <x v="0"/>
    <x v="4"/>
  </r>
  <r>
    <s v="BF9DA0B37CD40E2F90E720AC8912FC94F141CA39B5E9669B1844892A8948C353"/>
    <x v="99"/>
    <s v="CASA DA VÍTIMA"/>
    <x v="1"/>
    <s v="HÁ MAIS DE SEIS MESES"/>
    <s v="VIOLÊNCIA CONTRA CIDADÃO, FAMÍLIA OU COMUNIDADE"/>
    <s v="VIZINHO(A)"/>
    <x v="0"/>
    <x v="0"/>
    <s v="SP"/>
    <x v="0"/>
    <x v="0"/>
    <x v="0"/>
    <s v="NULL"/>
    <x v="0"/>
    <x v="0"/>
    <s v="NÃO INFORMADO"/>
    <s v="SP"/>
    <s v="AGNÓSTICO/ATEU/SEM RELIGIÃO"/>
    <x v="1"/>
    <s v="NULL"/>
    <x v="0"/>
    <x v="4"/>
  </r>
  <r>
    <s v="D6FA3E28FB59A4284DDCE37742E9DAA69C2A5F8C7F7B018786EB3C570D8B7CEB"/>
    <x v="100"/>
    <s v="CASA DO SUSPEITO"/>
    <x v="6"/>
    <s v="NÃO SE APLICA"/>
    <s v="VIOLÊNCIA CONTRA CIDADÃO, FAMÍLIA OU COMUNIDADE"/>
    <s v="FUNCIONÁRIO, VOLUNTÁRIO OU PRESTADOR DE SERVIÇO PARA INSTITUIÇÃO"/>
    <x v="0"/>
    <x v="3"/>
    <s v="GO"/>
    <x v="0"/>
    <x v="0"/>
    <x v="0"/>
    <s v="NULL"/>
    <x v="1"/>
    <x v="0"/>
    <s v="NÃO INFORMADO"/>
    <s v="GO"/>
    <s v="AGNÓSTICO/ATEU/SEM RELIGIÃO"/>
    <x v="1"/>
    <s v="OUTRAS ATIVIDADES DE SERVIÇOS"/>
    <x v="1"/>
    <x v="4"/>
  </r>
  <r>
    <s v="D6FA3E28FB59A4284DDCE37742E9DAA69C2A5F8C7F7B018786EB3C570D8B7CEB"/>
    <x v="100"/>
    <s v="CASA DO SUSPEITO"/>
    <x v="6"/>
    <s v="NÃO SE APLICA"/>
    <s v="VIOLÊNCIA CONTRA CIDADÃO, FAMÍLIA OU COMUNIDADE"/>
    <s v="FUNCIONÁRIO, VOLUNTÁRIO OU PRESTADOR DE SERVIÇO PARA INSTITUIÇÃO"/>
    <x v="0"/>
    <x v="3"/>
    <s v="GO"/>
    <x v="0"/>
    <x v="0"/>
    <x v="0"/>
    <s v="NULL"/>
    <x v="1"/>
    <x v="0"/>
    <s v="NÃO INFORMADO"/>
    <s v="GO"/>
    <s v="AGNÓSTICO/ATEU/SEM RELIGIÃO"/>
    <x v="1"/>
    <s v="OUTRAS ATIVIDADES DE SERVIÇOS"/>
    <x v="0"/>
    <x v="4"/>
  </r>
  <r>
    <s v="8BEB28D805930E89A70E143D3B47DCAAC717A59D2B89DDC7C1801CFB5771D579"/>
    <x v="100"/>
    <s v="CASA DA VÍTIMA"/>
    <x v="6"/>
    <s v="HÁ MAIS DE UM ANO"/>
    <s v="VIOLÊNCIA CONTRA CIDADÃO, FAMÍLIA OU COMUNIDADE"/>
    <s v="LÍDER RELIGIOSO(A)"/>
    <x v="0"/>
    <x v="2"/>
    <s v="GO"/>
    <x v="0"/>
    <x v="3"/>
    <x v="0"/>
    <s v="NULL"/>
    <x v="0"/>
    <x v="9"/>
    <s v="NÃO"/>
    <s v="GO"/>
    <s v="AGNÓSTICO/ATEU/SEM RELIGIÃO"/>
    <x v="2"/>
    <s v="NULL"/>
    <x v="0"/>
    <x v="4"/>
  </r>
  <r>
    <s v="7544209F71D8E00FAC6A5CBA488F5E33E6865DA646228BD1B80BE4952D5FF535"/>
    <x v="100"/>
    <s v="CASA DA VÍTIMA"/>
    <x v="6"/>
    <s v="HÁ MAIS DE UM ANO"/>
    <s v="VIOLÊNCIA CONTRA CIDADÃO, FAMÍLIA OU COMUNIDADE"/>
    <s v="LÍDER RELIGIOSO(A)"/>
    <x v="0"/>
    <x v="2"/>
    <s v="GO"/>
    <x v="0"/>
    <x v="3"/>
    <x v="0"/>
    <s v="NULL"/>
    <x v="2"/>
    <x v="2"/>
    <s v="NÃO"/>
    <s v="GO"/>
    <s v="UMBANDA E CANDOMBLÉ"/>
    <x v="0"/>
    <s v="NULL"/>
    <x v="0"/>
    <x v="4"/>
  </r>
  <r>
    <s v="4E24FFDA7BE4D8BCFF7AFA456B234667C7565CD82E14E4F8779F037FD038576E"/>
    <x v="100"/>
    <s v="CASA DA VÍTIMA"/>
    <x v="1"/>
    <s v="NÃO SE APLICA"/>
    <s v="VIOLÊNCIA CONTRA CIDADÃO, FAMÍLIA OU COMUNIDADE"/>
    <s v="VIZINHO(A)"/>
    <x v="0"/>
    <x v="3"/>
    <s v="SP"/>
    <x v="0"/>
    <x v="3"/>
    <x v="3"/>
    <s v="NULL"/>
    <x v="1"/>
    <x v="0"/>
    <s v="NÃO INFORMADO"/>
    <s v="SP"/>
    <s v="AGNÓSTICO/ATEU/SEM RELIGIÃO"/>
    <x v="1"/>
    <s v="NULL"/>
    <x v="0"/>
    <x v="4"/>
  </r>
  <r>
    <s v="0698CDA3F71AA5FC491E503857FA81B8AF5B3AF3F7D1AEB7B7717256E4B775BF"/>
    <x v="101"/>
    <s v="OUTROS ESTABELECIMENTOS"/>
    <x v="19"/>
    <s v="HÁ MAIS DE DEZ ANOS"/>
    <s v="VIOLÊNCIA CONTRA CIDADÃO, FAMÍLIA OU COMUNIDADE"/>
    <s v="PRESTADOR(A) DE SERVIÇO"/>
    <x v="1"/>
    <x v="2"/>
    <s v="PB"/>
    <x v="0"/>
    <x v="0"/>
    <x v="1"/>
    <s v="NULL"/>
    <x v="1"/>
    <x v="0"/>
    <s v="NÃO INFORMADO"/>
    <s v="PB"/>
    <s v="AGNÓSTICO/ATEU/SEM RELIGIÃO"/>
    <x v="1"/>
    <s v="PODER EXECUTIVO EM GERAL - MUNICIPAL"/>
    <x v="1"/>
    <x v="4"/>
  </r>
  <r>
    <s v="E9CA00BC1A4BD559C9E1A5CC1B8BCB8E6FABA14EF2B8557DF96000201149DD9F"/>
    <x v="101"/>
    <s v="OUTROS ESTABELECIMENTOS"/>
    <x v="19"/>
    <s v="HÁ MAIS DE DEZ ANOS"/>
    <s v="VIOLÊNCIA CONTRA CIDADÃO, FAMÍLIA OU COMUNIDADE"/>
    <s v="PRESTADOR(A) DE SERVIÇO"/>
    <x v="1"/>
    <x v="2"/>
    <s v="PB"/>
    <x v="0"/>
    <x v="0"/>
    <x v="1"/>
    <s v="NULL"/>
    <x v="1"/>
    <x v="0"/>
    <s v="NÃO INFORMADO"/>
    <s v="PB"/>
    <s v="AGNÓSTICO/ATEU/SEM RELIGIÃO"/>
    <x v="1"/>
    <s v="PODER EXECUTIVO EM GERAL - MUNICIPAL"/>
    <x v="1"/>
    <x v="4"/>
  </r>
  <r>
    <s v="81119FC267B2CEB2D32F18E35842A47CFA505ED30A0A10CD860EE76AC7B7919B"/>
    <x v="101"/>
    <s v="OUTROS ESTABELECIMENTOS"/>
    <x v="19"/>
    <s v="HÁ MAIS DE DEZ ANOS"/>
    <s v="VIOLÊNCIA CONTRA CIDADÃO, FAMÍLIA OU COMUNIDADE"/>
    <s v="PRESTADOR(A) DE SERVIÇO"/>
    <x v="1"/>
    <x v="2"/>
    <s v="PB"/>
    <x v="0"/>
    <x v="0"/>
    <x v="1"/>
    <s v="NULL"/>
    <x v="1"/>
    <x v="0"/>
    <s v="NÃO INFORMADO"/>
    <s v="PB"/>
    <s v="AGNÓSTICO/ATEU/SEM RELIGIÃO"/>
    <x v="1"/>
    <s v="PODER EXECUTIVO EM GERAL - MUNICIPAL"/>
    <x v="1"/>
    <x v="4"/>
  </r>
  <r>
    <s v="82349FBFE765B517AC202944EE7A375B41AA44C643F6B8E851CCA6DAE9FCAB48"/>
    <x v="102"/>
    <s v="CASA DA VÍTIMA"/>
    <x v="21"/>
    <s v="NÃO SE APLICA"/>
    <s v="VIOLÊNCIA CONTRA CIDADÃO, FAMÍLIA OU COMUNIDADE"/>
    <s v="OUTROS"/>
    <x v="0"/>
    <x v="2"/>
    <s v="PI"/>
    <x v="3"/>
    <x v="2"/>
    <x v="0"/>
    <s v="NULL"/>
    <x v="1"/>
    <x v="0"/>
    <s v="NÃO INFORMADO"/>
    <s v="PI"/>
    <s v="AGNÓSTICO/ATEU/SEM RELIGIÃO"/>
    <x v="1"/>
    <s v="SAÚDE HUMANA E SERVIÇOS SOCIAIS"/>
    <x v="2"/>
    <x v="4"/>
  </r>
  <r>
    <s v="73A59600209372C999421811D3EA1D4CA2FC0D544A151D28D54C82D7020802D9"/>
    <x v="102"/>
    <s v="CASA DA VÍTIMA"/>
    <x v="21"/>
    <s v="NÃO SE APLICA"/>
    <s v="VIOLÊNCIA CONTRA CIDADÃO, FAMÍLIA OU COMUNIDADE"/>
    <s v="OUTROS"/>
    <x v="0"/>
    <x v="2"/>
    <s v="PI"/>
    <x v="3"/>
    <x v="2"/>
    <x v="0"/>
    <s v="NULL"/>
    <x v="0"/>
    <x v="1"/>
    <s v="NÃO"/>
    <s v="PI"/>
    <s v="CATÓLICA"/>
    <x v="0"/>
    <s v="NULL"/>
    <x v="2"/>
    <x v="4"/>
  </r>
  <r>
    <s v="EBA480564C365C0C24E3AE6568A374BBE055B7BD4E45208597D3B96CC076D949"/>
    <x v="102"/>
    <s v="LOCAL DE TRABALHO DA VÍTIMA"/>
    <x v="2"/>
    <s v="HÁ MAIS DE UM ANO"/>
    <s v="VIOLÊNCIA CONTRA CIDADÃO, FAMÍLIA OU COMUNIDADE"/>
    <s v="EMPREGADOR/PATRÃO (HIERARQUICAMENTE SUPERIOR)"/>
    <x v="0"/>
    <x v="7"/>
    <s v="RJ"/>
    <x v="3"/>
    <x v="0"/>
    <x v="0"/>
    <s v="NULL"/>
    <x v="1"/>
    <x v="0"/>
    <s v="NÃO INFORMADO"/>
    <s v="RJ"/>
    <s v="AGNÓSTICO/ATEU/SEM RELIGIÃO"/>
    <x v="1"/>
    <s v="TRANSPORTE, ARMAZENAGEM E CORREIO"/>
    <x v="0"/>
    <x v="4"/>
  </r>
  <r>
    <s v="F1039C9D9DADE92D30E3970AC77544DF9FC0358FBF7803C02ADA42DD936894DD"/>
    <x v="102"/>
    <s v="LOCAL DE TRABALHO DA VÍTIMA"/>
    <x v="2"/>
    <s v="HÁ MAIS DE UM ANO"/>
    <s v="VIOLÊNCIA CONTRA CIDADÃO, FAMÍLIA OU COMUNIDADE"/>
    <s v="EMPREGADOR/PATRÃO (HIERARQUICAMENTE SUPERIOR)"/>
    <x v="0"/>
    <x v="7"/>
    <s v="RJ"/>
    <x v="3"/>
    <x v="0"/>
    <x v="0"/>
    <s v="NULL"/>
    <x v="1"/>
    <x v="0"/>
    <s v="NÃO INFORMADO"/>
    <s v="RJ"/>
    <s v="AGNÓSTICO/ATEU/SEM RELIGIÃO"/>
    <x v="1"/>
    <s v="ALOJAMENTO E ALIMENTAÇÃO"/>
    <x v="0"/>
    <x v="4"/>
  </r>
  <r>
    <s v="0D12D3DBF2170C2B909CC788DCBB7692384BA24AE65F03615C687DB624BB704A"/>
    <x v="103"/>
    <s v="CASA DO SUSPEITO"/>
    <x v="16"/>
    <s v="NÃO SE APLICA"/>
    <s v="VIOLÊNCIA CONTRA CIDADÃO, FAMÍLIA OU COMUNIDADE"/>
    <s v="OUTROS"/>
    <x v="1"/>
    <x v="7"/>
    <s v="DENUNCIANTE NÃO SOUBE INFORMAR"/>
    <x v="0"/>
    <x v="0"/>
    <x v="1"/>
    <s v="NULL"/>
    <x v="2"/>
    <x v="0"/>
    <s v="NÃO INFORMADO"/>
    <s v="RS"/>
    <s v="AGNÓSTICO/ATEU/SEM RELIGIÃO"/>
    <x v="1"/>
    <s v="NULL"/>
    <x v="1"/>
    <x v="4"/>
  </r>
  <r>
    <s v="0D12D3DBF2170C2B909CC788DCBB7692384BA24AE65F03615C687DB624BB704A"/>
    <x v="103"/>
    <s v="CASA DO SUSPEITO"/>
    <x v="16"/>
    <s v="NÃO SE APLICA"/>
    <s v="VIOLÊNCIA CONTRA CIDADÃO, FAMÍLIA OU COMUNIDADE"/>
    <s v="OUTROS"/>
    <x v="1"/>
    <x v="7"/>
    <s v="DENUNCIANTE NÃO SOUBE INFORMAR"/>
    <x v="0"/>
    <x v="0"/>
    <x v="1"/>
    <s v="NULL"/>
    <x v="2"/>
    <x v="0"/>
    <s v="NÃO INFORMADO"/>
    <s v="RS"/>
    <s v="AGNÓSTICO/ATEU/SEM RELIGIÃO"/>
    <x v="1"/>
    <s v="NULL"/>
    <x v="0"/>
    <x v="4"/>
  </r>
  <r>
    <s v="0D12D3DBF2170C2B909CC788DCBB7692384BA24AE65F03615C687DB624BB704A"/>
    <x v="103"/>
    <s v="CASA DO SUSPEITO"/>
    <x v="16"/>
    <s v="NÃO SE APLICA"/>
    <s v="VIOLÊNCIA CONTRA CIDADÃO, FAMÍLIA OU COMUNIDADE"/>
    <s v="OUTROS"/>
    <x v="1"/>
    <x v="7"/>
    <s v="DENUNCIANTE NÃO SOUBE INFORMAR"/>
    <x v="0"/>
    <x v="0"/>
    <x v="1"/>
    <s v="NULL"/>
    <x v="2"/>
    <x v="0"/>
    <s v="NÃO INFORMADO"/>
    <s v="RS"/>
    <s v="AGNÓSTICO/ATEU/SEM RELIGIÃO"/>
    <x v="1"/>
    <s v="NULL"/>
    <x v="2"/>
    <x v="4"/>
  </r>
  <r>
    <s v="2AEBD3D6C57FCD7A891FD1FF045E29AE5510A7B6DAFC1890A65DCB9E4DD1280A"/>
    <x v="104"/>
    <s v="CASA DA VÍTIMA"/>
    <x v="18"/>
    <s v="NÃO SE APLICA"/>
    <s v="VIOLÊNCIA CONTRA CIDADÃO, FAMÍLIA OU COMUNIDADE"/>
    <s v="VIZINHO(A)"/>
    <x v="0"/>
    <x v="6"/>
    <s v="MA"/>
    <x v="0"/>
    <x v="0"/>
    <x v="0"/>
    <s v="NULL"/>
    <x v="0"/>
    <x v="4"/>
    <s v="NÃO"/>
    <s v="MA"/>
    <s v="AGNÓSTICO/ATEU/SEM RELIGIÃO"/>
    <x v="0"/>
    <s v="NULL"/>
    <x v="2"/>
    <x v="4"/>
  </r>
  <r>
    <s v="2AEBD3D6C57FCD7A891FD1FF045E29AE5510A7B6DAFC1890A65DCB9E4DD1280A"/>
    <x v="104"/>
    <s v="CASA DA VÍTIMA"/>
    <x v="18"/>
    <s v="NÃO SE APLICA"/>
    <s v="VIOLÊNCIA CONTRA CIDADÃO, FAMÍLIA OU COMUNIDADE"/>
    <s v="VIZINHO(A)"/>
    <x v="0"/>
    <x v="6"/>
    <s v="MA"/>
    <x v="0"/>
    <x v="0"/>
    <x v="0"/>
    <s v="NULL"/>
    <x v="0"/>
    <x v="4"/>
    <s v="NÃO"/>
    <s v="MA"/>
    <s v="AGNÓSTICO/ATEU/SEM RELIGIÃO"/>
    <x v="0"/>
    <s v="NULL"/>
    <x v="0"/>
    <x v="4"/>
  </r>
  <r>
    <s v="FA84A1BB8726E82CFF36AA497837F706D19C1640B91731F583272331B0BEC90F"/>
    <x v="104"/>
    <s v="CASA DO SUSPEITO"/>
    <x v="19"/>
    <s v="HÁ UM MÊS"/>
    <s v="VIOLÊNCIA CONTRA CIDADÃO, FAMÍLIA OU COMUNIDADE"/>
    <s v="VIZINHO(A)"/>
    <x v="1"/>
    <x v="7"/>
    <s v="PB"/>
    <x v="0"/>
    <x v="0"/>
    <x v="1"/>
    <s v="NULL"/>
    <x v="2"/>
    <x v="2"/>
    <s v="NÃO"/>
    <s v="PB"/>
    <s v="AGNÓSTICO/ATEU/SEM RELIGIÃO"/>
    <x v="2"/>
    <s v="NULL"/>
    <x v="2"/>
    <x v="4"/>
  </r>
  <r>
    <s v="FA84A1BB8726E82CFF36AA497837F706D19C1640B91731F583272331B0BEC90F"/>
    <x v="104"/>
    <s v="CASA DO SUSPEITO"/>
    <x v="19"/>
    <s v="HÁ UM MÊS"/>
    <s v="VIOLÊNCIA CONTRA CIDADÃO, FAMÍLIA OU COMUNIDADE"/>
    <s v="VIZINHO(A)"/>
    <x v="1"/>
    <x v="7"/>
    <s v="PB"/>
    <x v="0"/>
    <x v="0"/>
    <x v="1"/>
    <s v="NULL"/>
    <x v="2"/>
    <x v="2"/>
    <s v="NÃO"/>
    <s v="PB"/>
    <s v="AGNÓSTICO/ATEU/SEM RELIGIÃO"/>
    <x v="2"/>
    <s v="NULL"/>
    <x v="0"/>
    <x v="4"/>
  </r>
  <r>
    <s v="24F8EDD7BE6FCD17DFAF714FFED179E839656EAF20C00E79AE226F4615260034"/>
    <x v="105"/>
    <s v="AMBIENTE VIRTUAL (NO ÂMBITO DA INTERNET)"/>
    <x v="12"/>
    <s v="NÃO SABE INFORMAR"/>
    <s v="VIOLÊNCIA CONTRA CIDADÃO, FAMÍLIA OU COMUNIDADE"/>
    <s v="DESCONHECIDO(A)"/>
    <x v="0"/>
    <x v="6"/>
    <s v="SP"/>
    <x v="0"/>
    <x v="0"/>
    <x v="0"/>
    <s v="NULL"/>
    <x v="0"/>
    <x v="0"/>
    <s v="NÃO INFORMADO"/>
    <s v="DENUNCIANTE NÃO SOUBE INFORMAR"/>
    <s v="AGNÓSTICO/ATEU/SEM RELIGIÃO"/>
    <x v="2"/>
    <s v="NULL"/>
    <x v="1"/>
    <x v="4"/>
  </r>
  <r>
    <s v="24F8EDD7BE6FCD17DFAF714FFED179E839656EAF20C00E79AE226F4615260034"/>
    <x v="105"/>
    <s v="AMBIENTE VIRTUAL (NO ÂMBITO DA INTERNET)"/>
    <x v="12"/>
    <s v="NÃO SABE INFORMAR"/>
    <s v="VIOLÊNCIA CONTRA CIDADÃO, FAMÍLIA OU COMUNIDADE"/>
    <s v="DESCONHECIDO(A)"/>
    <x v="0"/>
    <x v="6"/>
    <s v="SP"/>
    <x v="0"/>
    <x v="0"/>
    <x v="0"/>
    <s v="NULL"/>
    <x v="0"/>
    <x v="0"/>
    <s v="NÃO INFORMADO"/>
    <s v="DENUNCIANTE NÃO SOUBE INFORMAR"/>
    <s v="AGNÓSTICO/ATEU/SEM RELIGIÃO"/>
    <x v="2"/>
    <s v="NULL"/>
    <x v="0"/>
    <x v="4"/>
  </r>
  <r>
    <s v="BBFC454236F8F324105B6699D12A68A5B52C46BBF62506EE4EC11938B9E99425"/>
    <x v="105"/>
    <s v="AMBIENTE VIRTUAL (NO ÂMBITO DA INTERNET)"/>
    <x v="12"/>
    <s v="NÃO SABE INFORMAR"/>
    <s v="VIOLÊNCIA CONTRA CIDADÃO, FAMÍLIA OU COMUNIDADE"/>
    <s v="NÃO SABE INFORMAR"/>
    <x v="1"/>
    <x v="4"/>
    <s v="DENUNCIANTE NÃO SOUBE INFORMAR"/>
    <x v="0"/>
    <x v="0"/>
    <x v="5"/>
    <s v="NULL"/>
    <x v="1"/>
    <x v="0"/>
    <s v="NÃO INFORMADO"/>
    <s v="DENUNCIANTE NÃO SOUBE INFORMAR"/>
    <s v="AGNÓSTICO/ATEU/SEM RELIGIÃO"/>
    <x v="1"/>
    <s v="NULL"/>
    <x v="0"/>
    <x v="4"/>
  </r>
  <r>
    <s v="472F76EE0E7FEE0D8D55729ECFA9032B25566FCC04A50E8916DDBB2AB1344477"/>
    <x v="105"/>
    <s v="OUTROS ESTABELECIMENTOS"/>
    <x v="1"/>
    <s v="NÃO SABE INFORMAR"/>
    <s v="VIOLÊNCIA CONTRA CIDADÃO, FAMÍLIA OU COMUNIDADE"/>
    <s v="LÍDER RELIGIOSO(A)"/>
    <x v="0"/>
    <x v="9"/>
    <s v="SP"/>
    <x v="0"/>
    <x v="0"/>
    <x v="2"/>
    <s v="NULL"/>
    <x v="0"/>
    <x v="4"/>
    <s v="NÃO"/>
    <s v="SP"/>
    <s v="AGNÓSTICO/ATEU/SEM RELIGIÃO"/>
    <x v="0"/>
    <s v="NULL"/>
    <x v="0"/>
    <x v="4"/>
  </r>
  <r>
    <s v="00121E073D9608928B1B5DC0BD5E1644D9DA9B9368749746E0F16BA3A788D7BE"/>
    <x v="106"/>
    <s v="CASA DO SUSPEITO"/>
    <x v="1"/>
    <s v="NÃO SABE INFORMAR"/>
    <s v="VIOLÊNCIA CONTRA CIDADÃO, FAMÍLIA OU COMUNIDADE"/>
    <s v="IRMÃO(Ã)"/>
    <x v="0"/>
    <x v="6"/>
    <s v="SP"/>
    <x v="1"/>
    <x v="3"/>
    <x v="2"/>
    <s v="NULL"/>
    <x v="2"/>
    <x v="8"/>
    <s v="NÃO INFORMADO"/>
    <s v="SP"/>
    <s v="EVANGÉLICA"/>
    <x v="1"/>
    <s v="NULL"/>
    <x v="0"/>
    <x v="4"/>
  </r>
  <r>
    <s v="00121E073D9608928B1B5DC0BD5E1644D9DA9B9368749746E0F16BA3A788D7BE"/>
    <x v="106"/>
    <s v="CASA DO SUSPEITO"/>
    <x v="1"/>
    <s v="NÃO SABE INFORMAR"/>
    <s v="VIOLÊNCIA CONTRA CIDADÃO, FAMÍLIA OU COMUNIDADE"/>
    <s v="IRMÃO(Ã)"/>
    <x v="0"/>
    <x v="6"/>
    <s v="SP"/>
    <x v="1"/>
    <x v="3"/>
    <x v="2"/>
    <s v="NULL"/>
    <x v="2"/>
    <x v="8"/>
    <s v="NÃO INFORMADO"/>
    <s v="SP"/>
    <s v="EVANGÉLICA"/>
    <x v="1"/>
    <s v="NULL"/>
    <x v="2"/>
    <x v="4"/>
  </r>
  <r>
    <s v="00121E073D9608928B1B5DC0BD5E1644D9DA9B9368749746E0F16BA3A788D7BE"/>
    <x v="106"/>
    <s v="CASA DO SUSPEITO"/>
    <x v="1"/>
    <s v="NÃO SABE INFORMAR"/>
    <s v="VIOLÊNCIA CONTRA CIDADÃO, FAMÍLIA OU COMUNIDADE"/>
    <s v="IRMÃO(Ã)"/>
    <x v="0"/>
    <x v="6"/>
    <s v="SP"/>
    <x v="1"/>
    <x v="3"/>
    <x v="2"/>
    <s v="NULL"/>
    <x v="2"/>
    <x v="8"/>
    <s v="NÃO INFORMADO"/>
    <s v="SP"/>
    <s v="EVANGÉLICA"/>
    <x v="1"/>
    <s v="NULL"/>
    <x v="1"/>
    <x v="4"/>
  </r>
  <r>
    <s v="4BE6A5827D3C5E9AD707611B25541712D122220047D68E1C01DC536CEE408B2C"/>
    <x v="106"/>
    <s v="CASA DA VÍTIMA"/>
    <x v="18"/>
    <s v="NÃO SABE INFORMAR"/>
    <s v="VIOLÊNCIA CONTRA CIDADÃO, FAMÍLIA OU COMUNIDADE"/>
    <s v="NÃO SABE INFORMAR"/>
    <x v="1"/>
    <x v="1"/>
    <s v="MA"/>
    <x v="0"/>
    <x v="0"/>
    <x v="1"/>
    <s v="NULL"/>
    <x v="0"/>
    <x v="4"/>
    <s v="NÃO INFORMADO"/>
    <s v="MA"/>
    <s v="AGNÓSTICO/ATEU/SEM RELIGIÃO"/>
    <x v="3"/>
    <s v="NULL"/>
    <x v="0"/>
    <x v="4"/>
  </r>
  <r>
    <s v="BFA548299F7236EB4F1CD931AAF56445C0AD58E03EA1E991C02366A6E11CC7C8"/>
    <x v="107"/>
    <s v="CASA DA VÍTIMA"/>
    <x v="3"/>
    <s v="HÁ MAIS DE UM ANO"/>
    <s v="VIOLÊNCIA CONTRA CIDADÃO, FAMÍLIA OU COMUNIDADE"/>
    <s v="OUTROS"/>
    <x v="0"/>
    <x v="3"/>
    <s v="BA"/>
    <x v="0"/>
    <x v="0"/>
    <x v="0"/>
    <s v="NULL"/>
    <x v="0"/>
    <x v="2"/>
    <s v="NÃO"/>
    <s v="BA"/>
    <s v="AGNÓSTICO/ATEU/SEM RELIGIÃO"/>
    <x v="0"/>
    <s v="NULL"/>
    <x v="2"/>
    <x v="4"/>
  </r>
  <r>
    <s v="DAC192776D612C165A72A3A930FFC1BC57AEBED6666BE045CC15ED53E3BA07AF"/>
    <x v="107"/>
    <s v="CASA DA VÍTIMA"/>
    <x v="3"/>
    <s v="HÁ MAIS DE UM ANO"/>
    <s v="VIOLÊNCIA CONTRA CIDADÃO, FAMÍLIA OU COMUNIDADE"/>
    <s v="OUTROS"/>
    <x v="0"/>
    <x v="3"/>
    <s v="BA"/>
    <x v="0"/>
    <x v="0"/>
    <x v="0"/>
    <s v="NULL"/>
    <x v="1"/>
    <x v="0"/>
    <s v="NÃO INFORMADO"/>
    <s v="BA"/>
    <s v="AGNÓSTICO/ATEU/SEM RELIGIÃO"/>
    <x v="1"/>
    <s v="DEFENSORIA PÚBLICA - ESTADUAL"/>
    <x v="2"/>
    <x v="4"/>
  </r>
  <r>
    <s v="104D9CCCD56E52B954E9394D75730CE74AE02FF183608FE71D0450324B151751"/>
    <x v="107"/>
    <s v="AMBIENTE VIRTUAL (NO ÂMBITO DA INTERNET)"/>
    <x v="20"/>
    <s v="HÁ MAIS DE SEIS MESES"/>
    <s v="VIOLÊNCIA CONTRA CIDADÃO, FAMÍLIA OU COMUNIDADE"/>
    <s v="OUTROS"/>
    <x v="0"/>
    <x v="7"/>
    <s v="AM"/>
    <x v="0"/>
    <x v="0"/>
    <x v="1"/>
    <s v="NULL"/>
    <x v="0"/>
    <x v="3"/>
    <s v="NÃO INFORMADO"/>
    <s v="AM"/>
    <s v="AGNÓSTICO/ATEU/SEM RELIGIÃO"/>
    <x v="3"/>
    <s v="NULL"/>
    <x v="0"/>
    <x v="4"/>
  </r>
  <r>
    <s v="36574DCE9C54E7B188A09401B18F5D9A4DBD32F512F7DEFB6EE4C5F4F406A152"/>
    <x v="107"/>
    <s v="AMBIENTE VIRTUAL (NO ÂMBITO DA INTERNET)"/>
    <x v="20"/>
    <s v="HÁ MAIS DE SEIS MESES"/>
    <s v="VIOLÊNCIA CONTRA CIDADÃO, FAMÍLIA OU COMUNIDADE"/>
    <s v="OUTROS"/>
    <x v="0"/>
    <x v="7"/>
    <s v="AM"/>
    <x v="0"/>
    <x v="0"/>
    <x v="1"/>
    <s v="NULL"/>
    <x v="0"/>
    <x v="9"/>
    <s v="NÃO"/>
    <s v="AM"/>
    <s v="AGNÓSTICO/ATEU/SEM RELIGIÃO"/>
    <x v="0"/>
    <s v="NULL"/>
    <x v="0"/>
    <x v="4"/>
  </r>
  <r>
    <s v="4CD8122FD775DC1B7DF686002210EDCAF185DEE5628881111080DA0FA5D6714D"/>
    <x v="107"/>
    <s v="AMBIENTE VIRTUAL (NO ÂMBITO DA INTERNET)"/>
    <x v="20"/>
    <s v="HÁ MAIS DE SEIS MESES"/>
    <s v="VIOLÊNCIA CONTRA CIDADÃO, FAMÍLIA OU COMUNIDADE"/>
    <s v="OUTROS"/>
    <x v="0"/>
    <x v="7"/>
    <s v="AM"/>
    <x v="0"/>
    <x v="0"/>
    <x v="1"/>
    <s v="NULL"/>
    <x v="0"/>
    <x v="3"/>
    <s v="NÃO INFORMADO"/>
    <s v="AM"/>
    <s v="AGNÓSTICO/ATEU/SEM RELIGIÃO"/>
    <x v="3"/>
    <s v="NULL"/>
    <x v="0"/>
    <x v="4"/>
  </r>
  <r>
    <s v="88F471DA9898157415B063F3EE688E671409DF0D27914D1435A92A66FDF29C93"/>
    <x v="107"/>
    <s v="AMBIENTE VIRTUAL (NO ÂMBITO DA INTERNET)"/>
    <x v="1"/>
    <s v="HÁ UM MÊS"/>
    <s v="VIOLÊNCIA CONTRA CIDADÃO, FAMÍLIA OU COMUNIDADE"/>
    <s v="OUTROS"/>
    <x v="1"/>
    <x v="1"/>
    <s v="DENUNCIANTE NÃO SOUBE INFORMAR"/>
    <x v="0"/>
    <x v="0"/>
    <x v="1"/>
    <s v="NULL"/>
    <x v="0"/>
    <x v="0"/>
    <s v="NÃO"/>
    <s v="SP"/>
    <s v="AGNÓSTICO/ATEU/SEM RELIGIÃO"/>
    <x v="0"/>
    <s v="NULL"/>
    <x v="0"/>
    <x v="4"/>
  </r>
  <r>
    <s v="70BCC686CDCFE0A05728B18AF94DBFADD4F9AEE6D26A961258084FC9607CE90B"/>
    <x v="108"/>
    <s v="AMBIENTE VIRTUAL (NO ÂMBITO DA INTERNET)"/>
    <x v="12"/>
    <s v="HÁ MAIS DE UM ANO"/>
    <s v="VIOLÊNCIA CONTRA CIDADÃO, FAMÍLIA OU COMUNIDADE"/>
    <s v="DESCONHECIDO(A)"/>
    <x v="1"/>
    <x v="1"/>
    <s v="DENUNCIANTE NÃO SOUBE INFORMAR"/>
    <x v="0"/>
    <x v="0"/>
    <x v="1"/>
    <s v="NULL"/>
    <x v="0"/>
    <x v="7"/>
    <s v="NÃO INFORMADO"/>
    <s v="SP"/>
    <s v="EVANGÉLICA"/>
    <x v="2"/>
    <s v="NULL"/>
    <x v="0"/>
    <x v="4"/>
  </r>
  <r>
    <s v="70BCC686CDCFE0A05728B18AF94DBFADD4F9AEE6D26A961258084FC9607CE90B"/>
    <x v="108"/>
    <s v="AMBIENTE VIRTUAL (NO ÂMBITO DA INTERNET)"/>
    <x v="12"/>
    <s v="HÁ MAIS DE UM ANO"/>
    <s v="VIOLÊNCIA CONTRA CIDADÃO, FAMÍLIA OU COMUNIDADE"/>
    <s v="DESCONHECIDO(A)"/>
    <x v="1"/>
    <x v="1"/>
    <s v="DENUNCIANTE NÃO SOUBE INFORMAR"/>
    <x v="0"/>
    <x v="0"/>
    <x v="1"/>
    <s v="NULL"/>
    <x v="0"/>
    <x v="7"/>
    <s v="NÃO INFORMADO"/>
    <s v="SP"/>
    <s v="EVANGÉLICA"/>
    <x v="2"/>
    <s v="NULL"/>
    <x v="2"/>
    <x v="4"/>
  </r>
  <r>
    <s v="70BCC686CDCFE0A05728B18AF94DBFADD4F9AEE6D26A961258084FC9607CE90B"/>
    <x v="108"/>
    <s v="AMBIENTE VIRTUAL (NO ÂMBITO DA INTERNET)"/>
    <x v="12"/>
    <s v="HÁ MAIS DE UM ANO"/>
    <s v="VIOLÊNCIA CONTRA CIDADÃO, FAMÍLIA OU COMUNIDADE"/>
    <s v="DESCONHECIDO(A)"/>
    <x v="1"/>
    <x v="1"/>
    <s v="DENUNCIANTE NÃO SOUBE INFORMAR"/>
    <x v="0"/>
    <x v="0"/>
    <x v="1"/>
    <s v="NULL"/>
    <x v="0"/>
    <x v="7"/>
    <s v="NÃO INFORMADO"/>
    <s v="SP"/>
    <s v="EVANGÉLICA"/>
    <x v="2"/>
    <s v="NULL"/>
    <x v="1"/>
    <x v="4"/>
  </r>
  <r>
    <s v="6F56296D187AD7D6EAB4F13C9A3C244ECDC1E436BCB8EFDEE86993411DB18F3C"/>
    <x v="108"/>
    <s v="CASA DO SUSPEITO"/>
    <x v="2"/>
    <s v="NÃO SABE INFORMAR"/>
    <s v="VIOLÊNCIA CONTRA CIDADÃO, FAMÍLIA OU COMUNIDADE"/>
    <s v="SOGRO(A)"/>
    <x v="0"/>
    <x v="1"/>
    <s v="RJ"/>
    <x v="3"/>
    <x v="0"/>
    <x v="2"/>
    <s v="NULL"/>
    <x v="0"/>
    <x v="7"/>
    <s v="NÃO"/>
    <s v="RJ"/>
    <s v="EVANGÉLICA"/>
    <x v="0"/>
    <s v="NULL"/>
    <x v="0"/>
    <x v="4"/>
  </r>
  <r>
    <s v="0710B70CF5DB4854742FA12B2EF1602F23666646A776208B56EC5911E8B0C1E4"/>
    <x v="108"/>
    <s v="CASA DA VÍTIMA"/>
    <x v="1"/>
    <s v="HÁ MAIS DE UM ANO"/>
    <s v="VIOLÊNCIA CONTRA CIDADÃO, FAMÍLIA OU COMUNIDADE"/>
    <s v="FUNCIONÁRIO, VOLUNTÁRIO OU PRESTADOR DE SERVIÇO PARA INSTITUIÇÃO"/>
    <x v="0"/>
    <x v="3"/>
    <s v="SP"/>
    <x v="0"/>
    <x v="0"/>
    <x v="4"/>
    <s v="NULL"/>
    <x v="1"/>
    <x v="0"/>
    <s v="NÃO INFORMADO"/>
    <s v="SP"/>
    <s v="AGNÓSTICO/ATEU/SEM RELIGIÃO"/>
    <x v="1"/>
    <s v="SEGURANÇA PÚBLICA, FORÇAS ARMADAS, DEFESA CIVIL, BOMBEIROS E ASSEMELHADOS ? MUNICIPAL"/>
    <x v="0"/>
    <x v="4"/>
  </r>
  <r>
    <s v="1BB1679174B92F3883ADD3C115CF24773A65CC51D56E11BCD8859A565761DBFF"/>
    <x v="108"/>
    <s v="CASA DA VÍTIMA"/>
    <x v="1"/>
    <s v="HÁ MAIS DE UM ANO"/>
    <s v="VIOLÊNCIA CONTRA CIDADÃO, FAMÍLIA OU COMUNIDADE"/>
    <s v="FUNCIONÁRIO, VOLUNTÁRIO OU PRESTADOR DE SERVIÇO PARA INSTITUIÇÃO"/>
    <x v="0"/>
    <x v="3"/>
    <s v="SP"/>
    <x v="0"/>
    <x v="0"/>
    <x v="4"/>
    <s v="NULL"/>
    <x v="1"/>
    <x v="0"/>
    <s v="NÃO INFORMADO"/>
    <s v="SP"/>
    <s v="AGNÓSTICO/ATEU/SEM RELIGIÃO"/>
    <x v="1"/>
    <s v="SEGURANÇA PÚBLICA, FORÇAS ARMADAS, DEFESA CIVIL, BOMBEIROS E ASSEMELHADOS ? ESTADUAL/DISTRITO FEDERAL"/>
    <x v="0"/>
    <x v="4"/>
  </r>
  <r>
    <s v="58A2C33A786AF571801C9F69DD3F0C49ED243555BC615E161B02E3A24F086960"/>
    <x v="108"/>
    <s v="CASA DA VÍTIMA"/>
    <x v="1"/>
    <s v="HÁ MAIS DE UM ANO"/>
    <s v="VIOLÊNCIA CONTRA CIDADÃO, FAMÍLIA OU COMUNIDADE"/>
    <s v="FUNCIONÁRIO, VOLUNTÁRIO OU PRESTADOR DE SERVIÇO PARA INSTITUIÇÃO"/>
    <x v="0"/>
    <x v="3"/>
    <s v="SP"/>
    <x v="0"/>
    <x v="0"/>
    <x v="4"/>
    <s v="NULL"/>
    <x v="1"/>
    <x v="0"/>
    <s v="NÃO INFORMADO"/>
    <s v="SP"/>
    <s v="AGNÓSTICO/ATEU/SEM RELIGIÃO"/>
    <x v="1"/>
    <s v="SEGURANÇA PÚBLICA, FORÇAS ARMADAS, DEFESA CIVIL, BOMBEIROS E ASSEMELHADOS ? MUNICIPAL"/>
    <x v="0"/>
    <x v="4"/>
  </r>
  <r>
    <s v="C4B0BA3336EF8C5E3FDC56ED88BF09C509A36EF8AA27C7DA345823BC86016025"/>
    <x v="108"/>
    <s v="CASA DA VÍTIMA"/>
    <x v="1"/>
    <s v="HÁ MAIS DE UM ANO"/>
    <s v="VIOLÊNCIA CONTRA CIDADÃO, FAMÍLIA OU COMUNIDADE"/>
    <s v="FUNCIONÁRIO, VOLUNTÁRIO OU PRESTADOR DE SERVIÇO PARA INSTITUIÇÃO"/>
    <x v="0"/>
    <x v="3"/>
    <s v="SP"/>
    <x v="0"/>
    <x v="0"/>
    <x v="4"/>
    <s v="NULL"/>
    <x v="1"/>
    <x v="0"/>
    <s v="NÃO INFORMADO"/>
    <s v="SP"/>
    <s v="AGNÓSTICO/ATEU/SEM RELIGIÃO"/>
    <x v="1"/>
    <s v="SEGURANÇA PÚBLICA, FORÇAS ARMADAS, DEFESA CIVIL, BOMBEIROS E ASSEMELHADOS ? MUNICIPAL"/>
    <x v="0"/>
    <x v="4"/>
  </r>
  <r>
    <s v="775559A503E45F3576F8CC9F7523A66DE5A952CF4671C983A6069B203413C932"/>
    <x v="108"/>
    <s v="CASA DA VÍTIMA"/>
    <x v="1"/>
    <s v="HÁ MAIS DE UM ANO"/>
    <s v="VIOLÊNCIA CONTRA CIDADÃO, FAMÍLIA OU COMUNIDADE"/>
    <s v="FUNCIONÁRIO, VOLUNTÁRIO OU PRESTADOR DE SERVIÇO PARA INSTITUIÇÃO"/>
    <x v="0"/>
    <x v="3"/>
    <s v="SP"/>
    <x v="0"/>
    <x v="0"/>
    <x v="4"/>
    <s v="NULL"/>
    <x v="1"/>
    <x v="0"/>
    <s v="NÃO INFORMADO"/>
    <s v="SP"/>
    <s v="AGNÓSTICO/ATEU/SEM RELIGIÃO"/>
    <x v="1"/>
    <s v="SEGURANÇA PÚBLICA, FORÇAS ARMADAS, DEFESA CIVIL, BOMBEIROS E ASSEMELHADOS ? MUNICIPAL"/>
    <x v="0"/>
    <x v="4"/>
  </r>
  <r>
    <s v="23CD43A48AF5040160A3A9D8938DDE40CCA50AD8D179A1A10279CFBA16882962"/>
    <x v="108"/>
    <s v="CASA DA VÍTIMA"/>
    <x v="1"/>
    <s v="HÁ MAIS DE UM ANO"/>
    <s v="VIOLÊNCIA CONTRA CIDADÃO, FAMÍLIA OU COMUNIDADE"/>
    <s v="FUNCIONÁRIO, VOLUNTÁRIO OU PRESTADOR DE SERVIÇO PARA INSTITUIÇÃO"/>
    <x v="0"/>
    <x v="3"/>
    <s v="SP"/>
    <x v="0"/>
    <x v="0"/>
    <x v="4"/>
    <s v="NULL"/>
    <x v="2"/>
    <x v="0"/>
    <s v="NÃO INFORMADO"/>
    <s v="SP"/>
    <s v="AGNÓSTICO/ATEU/SEM RELIGIÃO"/>
    <x v="1"/>
    <s v="NULL"/>
    <x v="0"/>
    <x v="4"/>
  </r>
  <r>
    <s v="2883847B29A9037A46F066D08495056304DD7F3D66997DBFCEC7873D58193642"/>
    <x v="109"/>
    <s v="OUTROS ESTABELECIMENTOS"/>
    <x v="2"/>
    <s v="NÃO SE APLICA"/>
    <s v="VIOLÊNCIA CONTRA CIDADÃO, FAMÍLIA OU COMUNIDADE"/>
    <s v="CUNHADO(A)"/>
    <x v="0"/>
    <x v="5"/>
    <s v="RJ"/>
    <x v="7"/>
    <x v="0"/>
    <x v="2"/>
    <s v="NULL"/>
    <x v="0"/>
    <x v="4"/>
    <s v="NÃO"/>
    <s v="RJ"/>
    <s v="AGNÓSTICO/ATEU/SEM RELIGIÃO"/>
    <x v="2"/>
    <s v="NULL"/>
    <x v="0"/>
    <x v="4"/>
  </r>
  <r>
    <s v="2934B9DFE2C207FA2BCE7B95D2642F10CE5443B29B4D49B99E78EBD3A5703E94"/>
    <x v="110"/>
    <s v="CASA ONDE RESIDE A VÍTIMA E O SUSPEITO"/>
    <x v="2"/>
    <s v="HÁ MAIS DE CINCO ANOS"/>
    <s v="VIOLÊNCIA CONTRA CIDADÃO, FAMÍLIA OU COMUNIDADE"/>
    <s v="VIZINHO(A)"/>
    <x v="0"/>
    <x v="7"/>
    <s v="RJ"/>
    <x v="0"/>
    <x v="0"/>
    <x v="0"/>
    <s v="NULL"/>
    <x v="2"/>
    <x v="7"/>
    <s v="NÃO INFORMADO"/>
    <s v="RJ"/>
    <s v="AGNÓSTICO/ATEU/SEM RELIGIÃO"/>
    <x v="2"/>
    <s v="NULL"/>
    <x v="0"/>
    <x v="4"/>
  </r>
  <r>
    <s v="2934B9DFE2C207FA2BCE7B95D2642F10CE5443B29B4D49B99E78EBD3A5703E94"/>
    <x v="110"/>
    <s v="CASA ONDE RESIDE A VÍTIMA E O SUSPEITO"/>
    <x v="2"/>
    <s v="HÁ MAIS DE CINCO ANOS"/>
    <s v="VIOLÊNCIA CONTRA CIDADÃO, FAMÍLIA OU COMUNIDADE"/>
    <s v="VIZINHO(A)"/>
    <x v="0"/>
    <x v="7"/>
    <s v="RJ"/>
    <x v="0"/>
    <x v="0"/>
    <x v="0"/>
    <s v="NULL"/>
    <x v="2"/>
    <x v="7"/>
    <s v="NÃO INFORMADO"/>
    <s v="RJ"/>
    <s v="AGNÓSTICO/ATEU/SEM RELIGIÃO"/>
    <x v="2"/>
    <s v="NULL"/>
    <x v="1"/>
    <x v="4"/>
  </r>
  <r>
    <s v="FC42C0ED4433E52C55774C034521E7C696F7F9C8059E7E6ABA756A4B74FE52F9"/>
    <x v="111"/>
    <s v="CASA DA VÍTIMA"/>
    <x v="6"/>
    <s v="HÁ MAIS DE UM ANO"/>
    <s v="VIOLÊNCIA CONTRA CIDADÃO, FAMÍLIA OU COMUNIDADE"/>
    <s v="VIZINHO(A)"/>
    <x v="0"/>
    <x v="5"/>
    <s v="GO"/>
    <x v="6"/>
    <x v="0"/>
    <x v="2"/>
    <s v="NULL"/>
    <x v="0"/>
    <x v="8"/>
    <s v="NÃO INFORMADO"/>
    <s v="GO"/>
    <s v="AGNÓSTICO/ATEU/SEM RELIGIÃO"/>
    <x v="0"/>
    <s v="NULL"/>
    <x v="0"/>
    <x v="4"/>
  </r>
  <r>
    <s v="29CCACD7BA2FE3B6BAF7D52EB81CD0E3A0DFEC03059518E02A3298BD5D284D5A"/>
    <x v="111"/>
    <s v="CASA DA VÍTIMA"/>
    <x v="6"/>
    <s v="HÁ MAIS DE UM ANO"/>
    <s v="VIOLÊNCIA CONTRA CIDADÃO, FAMÍLIA OU COMUNIDADE"/>
    <s v="VIZINHO(A)"/>
    <x v="0"/>
    <x v="5"/>
    <s v="GO"/>
    <x v="6"/>
    <x v="0"/>
    <x v="2"/>
    <s v="NULL"/>
    <x v="0"/>
    <x v="7"/>
    <s v="NÃO INFORMADO"/>
    <s v="GO"/>
    <s v="AGNÓSTICO/ATEU/SEM RELIGIÃO"/>
    <x v="0"/>
    <s v="NULL"/>
    <x v="0"/>
    <x v="4"/>
  </r>
  <r>
    <s v="5106E9126B636429941465D866EC26B1962734447667D60014DE0FEA49F3BC90"/>
    <x v="111"/>
    <s v="OUTROS ESTABELECIMENTOS"/>
    <x v="6"/>
    <s v="NÃO SE APLICA"/>
    <s v="VIOLÊNCIA CONTRA CIDADÃO, FAMÍLIA OU COMUNIDADE"/>
    <s v="DESCONHECIDO(A)"/>
    <x v="1"/>
    <x v="7"/>
    <s v="GO"/>
    <x v="0"/>
    <x v="3"/>
    <x v="1"/>
    <s v="POVOS CIGANOS"/>
    <x v="2"/>
    <x v="0"/>
    <s v="NÃO"/>
    <s v="GO"/>
    <s v="AGNÓSTICO/ATEU/SEM RELIGIÃO"/>
    <x v="1"/>
    <s v="NULL"/>
    <x v="2"/>
    <x v="4"/>
  </r>
  <r>
    <s v="5106E9126B636429941465D866EC26B1962734447667D60014DE0FEA49F3BC90"/>
    <x v="111"/>
    <s v="OUTROS ESTABELECIMENTOS"/>
    <x v="6"/>
    <s v="NÃO SE APLICA"/>
    <s v="VIOLÊNCIA CONTRA CIDADÃO, FAMÍLIA OU COMUNIDADE"/>
    <s v="DESCONHECIDO(A)"/>
    <x v="1"/>
    <x v="7"/>
    <s v="GO"/>
    <x v="0"/>
    <x v="3"/>
    <x v="1"/>
    <s v="POVOS CIGANOS"/>
    <x v="2"/>
    <x v="0"/>
    <s v="NÃO"/>
    <s v="GO"/>
    <s v="AGNÓSTICO/ATEU/SEM RELIGIÃO"/>
    <x v="1"/>
    <s v="NULL"/>
    <x v="0"/>
    <x v="4"/>
  </r>
  <r>
    <s v="D6C904B84AB52BC84ED897B3F15FDDB56E1FC9E273CAF929CEC61F22D75228D4"/>
    <x v="112"/>
    <s v="OUTROS ESTABELECIMENTOS"/>
    <x v="1"/>
    <s v="NÃO SABE INFORMAR"/>
    <s v="VIOLÊNCIA CONTRA CIDADÃO, FAMÍLIA OU COMUNIDADE"/>
    <s v="VIZINHO(A)"/>
    <x v="0"/>
    <x v="6"/>
    <s v="SP"/>
    <x v="6"/>
    <x v="4"/>
    <x v="3"/>
    <s v="NULL"/>
    <x v="2"/>
    <x v="2"/>
    <s v="NÃO INFORMADO"/>
    <s v="SP"/>
    <s v="AGNÓSTICO/ATEU/SEM RELIGIÃO"/>
    <x v="1"/>
    <s v="NULL"/>
    <x v="2"/>
    <x v="4"/>
  </r>
  <r>
    <s v="60A075CBB5D7E4646FF1B2D9B20310C839398E80133C9A6C0C346635A73BBFBB"/>
    <x v="113"/>
    <s v="AMBIENTE VIRTUAL (NO ÂMBITO DA INTERNET)"/>
    <x v="7"/>
    <s v="NÃO SABE INFORMAR"/>
    <s v="VIOLÊNCIA CONTRA CIDADÃO, FAMÍLIA OU COMUNIDADE"/>
    <s v="LÍDER RELIGIOSO(A)"/>
    <x v="1"/>
    <x v="8"/>
    <s v="DENUNCIANTE NÃO SOUBE INFORMAR"/>
    <x v="0"/>
    <x v="0"/>
    <x v="1"/>
    <s v="NULL"/>
    <x v="0"/>
    <x v="9"/>
    <s v="NÃO"/>
    <s v="ES"/>
    <s v="AGNÓSTICO/ATEU/SEM RELIGIÃO"/>
    <x v="1"/>
    <s v="NULL"/>
    <x v="2"/>
    <x v="4"/>
  </r>
  <r>
    <s v="65695F9FC00CCA8D2B279C4CDD5856BFDFD76E0B605E5328A40CC08F9033CCB9"/>
    <x v="114"/>
    <s v="ESTABELECIMENTO DE SAÚDE"/>
    <x v="2"/>
    <s v="NÃO SE APLICA"/>
    <s v="VIOLÊNCIA CONTRA CIDADÃO, FAMÍLIA OU COMUNIDADE"/>
    <s v="DIRETOR/GESTOR DE INSTITUIÇÃO"/>
    <x v="0"/>
    <x v="9"/>
    <s v="RJ"/>
    <x v="0"/>
    <x v="0"/>
    <x v="1"/>
    <s v="NULL"/>
    <x v="1"/>
    <x v="0"/>
    <s v="NÃO INFORMADO"/>
    <s v="RJ"/>
    <s v="AGNÓSTICO/ATEU/SEM RELIGIÃO"/>
    <x v="1"/>
    <s v="SAÚDE HUMANA E SERVIÇOS SOCIAIS"/>
    <x v="2"/>
    <x v="4"/>
  </r>
  <r>
    <s v="2FF7F5B3A28CE487DC6990221456FCDDC9BDE4A9962738A79FBF7A6257190B4A"/>
    <x v="115"/>
    <s v="CASA DA VÍTIMA"/>
    <x v="1"/>
    <s v="HÁ MAIS DE DEZ ANOS"/>
    <s v="VIOLÊNCIA CONTRA CIDADÃO, FAMÍLIA OU COMUNIDADE"/>
    <s v="OUTROS FAMILIARES"/>
    <x v="0"/>
    <x v="5"/>
    <s v="SP"/>
    <x v="0"/>
    <x v="0"/>
    <x v="2"/>
    <s v="NULL"/>
    <x v="0"/>
    <x v="4"/>
    <s v="NÃO"/>
    <s v="SP"/>
    <s v="AGNÓSTICO/ATEU/SEM RELIGIÃO"/>
    <x v="0"/>
    <s v="NULL"/>
    <x v="0"/>
    <x v="4"/>
  </r>
  <r>
    <s v="7E0BD0EE026DEF34CF1E903C0BFA8301EAE8E3C81641C59CD74ACB8C82887415"/>
    <x v="115"/>
    <s v="CASA DA VÍTIMA"/>
    <x v="1"/>
    <s v="HÁ MAIS DE DEZ ANOS"/>
    <s v="VIOLÊNCIA CONTRA CIDADÃO, FAMÍLIA OU COMUNIDADE"/>
    <s v="OUTROS FAMILIARES"/>
    <x v="0"/>
    <x v="5"/>
    <s v="SP"/>
    <x v="0"/>
    <x v="0"/>
    <x v="2"/>
    <s v="NULL"/>
    <x v="2"/>
    <x v="1"/>
    <s v="NÃO"/>
    <s v="SP"/>
    <s v="AGNÓSTICO/ATEU/SEM RELIGIÃO"/>
    <x v="0"/>
    <s v="NULL"/>
    <x v="0"/>
    <x v="4"/>
  </r>
  <r>
    <s v="4CA73F2CFCB0CD7D9867C791635DF4AEFC0413B6175A176F17F03267BB8324D6"/>
    <x v="115"/>
    <s v="CASA DA VÍTIMA"/>
    <x v="1"/>
    <s v="HÁ MAIS DE DEZ ANOS"/>
    <s v="VIOLÊNCIA CONTRA CIDADÃO, FAMÍLIA OU COMUNIDADE"/>
    <s v="OUTROS FAMILIARES"/>
    <x v="0"/>
    <x v="5"/>
    <s v="SP"/>
    <x v="0"/>
    <x v="0"/>
    <x v="2"/>
    <s v="NULL"/>
    <x v="0"/>
    <x v="4"/>
    <s v="NÃO"/>
    <s v="SP"/>
    <s v="AGNÓSTICO/ATEU/SEM RELIGIÃO"/>
    <x v="1"/>
    <s v="NULL"/>
    <x v="0"/>
    <x v="4"/>
  </r>
  <r>
    <s v="C7153F59EF70C278C249F296BFEFFF78567FF20310A2114D3E518922DA604BBD"/>
    <x v="115"/>
    <s v="CASA DA VÍTIMA"/>
    <x v="1"/>
    <s v="HÁ MAIS DE DEZ ANOS"/>
    <s v="VIOLÊNCIA CONTRA CIDADÃO, FAMÍLIA OU COMUNIDADE"/>
    <s v="OUTROS FAMILIARES"/>
    <x v="0"/>
    <x v="5"/>
    <s v="SP"/>
    <x v="0"/>
    <x v="0"/>
    <x v="2"/>
    <s v="NULL"/>
    <x v="2"/>
    <x v="3"/>
    <s v="NÃO"/>
    <s v="SP"/>
    <s v="AGNÓSTICO/ATEU/SEM RELIGIÃO"/>
    <x v="1"/>
    <s v="NULL"/>
    <x v="0"/>
    <x v="4"/>
  </r>
  <r>
    <s v="6CDC42C020C5CB8A29E2143CC2B9BF7190AC83C8352B469016B060EC521459FF"/>
    <x v="116"/>
    <s v="CASA DA VÍTIMA"/>
    <x v="1"/>
    <s v="NÃO SE APLICA"/>
    <s v="VIOLÊNCIA CONTRA CIDADÃO, FAMÍLIA OU COMUNIDADE"/>
    <s v="VIZINHO(A)"/>
    <x v="0"/>
    <x v="3"/>
    <s v="SP"/>
    <x v="0"/>
    <x v="0"/>
    <x v="2"/>
    <s v="NULL"/>
    <x v="0"/>
    <x v="5"/>
    <s v="NÃO"/>
    <s v="SP"/>
    <s v="AGNÓSTICO/ATEU/SEM RELIGIÃO"/>
    <x v="1"/>
    <s v="NULL"/>
    <x v="0"/>
    <x v="5"/>
  </r>
  <r>
    <s v="6726205FA68825002EE02837CD390C9851E37C8ECF034FF5FCEF4983F841BB1E"/>
    <x v="116"/>
    <s v="OUTROS ESTABELECIMENTOS"/>
    <x v="1"/>
    <s v="HÁ MAIS DE SEIS MESES"/>
    <s v="VIOLÊNCIA CONTRA CIDADÃO, FAMÍLIA OU COMUNIDADE"/>
    <s v="OUTROS"/>
    <x v="0"/>
    <x v="7"/>
    <s v="SP"/>
    <x v="1"/>
    <x v="0"/>
    <x v="3"/>
    <s v="NULL"/>
    <x v="1"/>
    <x v="0"/>
    <s v="NÃO INFORMADO"/>
    <s v="SP"/>
    <s v="AGNÓSTICO/ATEU/SEM RELIGIÃO"/>
    <x v="1"/>
    <s v="NULL"/>
    <x v="2"/>
    <x v="5"/>
  </r>
  <r>
    <s v="6726205FA68825002EE02837CD390C9851E37C8ECF034FF5FCEF4983F841BB1E"/>
    <x v="116"/>
    <s v="OUTROS ESTABELECIMENTOS"/>
    <x v="1"/>
    <s v="HÁ MAIS DE SEIS MESES"/>
    <s v="VIOLÊNCIA CONTRA CIDADÃO, FAMÍLIA OU COMUNIDADE"/>
    <s v="OUTROS"/>
    <x v="0"/>
    <x v="7"/>
    <s v="SP"/>
    <x v="1"/>
    <x v="0"/>
    <x v="3"/>
    <s v="NULL"/>
    <x v="1"/>
    <x v="0"/>
    <s v="NÃO INFORMADO"/>
    <s v="SP"/>
    <s v="AGNÓSTICO/ATEU/SEM RELIGIÃO"/>
    <x v="1"/>
    <s v="NULL"/>
    <x v="0"/>
    <x v="5"/>
  </r>
  <r>
    <s v="8FFF1549194952603010F2F11C668D50193BCF6D63C8C6770A92A279712571CD"/>
    <x v="117"/>
    <s v="OUTROS ESTABELECIMENTOS"/>
    <x v="13"/>
    <s v="HÁ MAIS DE CINCO ANOS"/>
    <s v="VIOLÊNCIA CONTRA CIDADÃO, FAMÍLIA OU COMUNIDADE"/>
    <s v="OUTROS"/>
    <x v="0"/>
    <x v="4"/>
    <s v="PE"/>
    <x v="0"/>
    <x v="0"/>
    <x v="0"/>
    <s v="NULL"/>
    <x v="1"/>
    <x v="0"/>
    <s v="NÃO INFORMADO"/>
    <s v="PE"/>
    <s v="AGNÓSTICO/ATEU/SEM RELIGIÃO"/>
    <x v="1"/>
    <s v="OUTRAS ATIVIDADES DE SERVIÇOS"/>
    <x v="2"/>
    <x v="5"/>
  </r>
  <r>
    <s v="8FFF1549194952603010F2F11C668D50193BCF6D63C8C6770A92A279712571CD"/>
    <x v="117"/>
    <s v="OUTROS ESTABELECIMENTOS"/>
    <x v="13"/>
    <s v="HÁ MAIS DE CINCO ANOS"/>
    <s v="VIOLÊNCIA CONTRA CIDADÃO, FAMÍLIA OU COMUNIDADE"/>
    <s v="OUTROS"/>
    <x v="0"/>
    <x v="4"/>
    <s v="PE"/>
    <x v="0"/>
    <x v="0"/>
    <x v="0"/>
    <s v="NULL"/>
    <x v="1"/>
    <x v="0"/>
    <s v="NÃO INFORMADO"/>
    <s v="PE"/>
    <s v="AGNÓSTICO/ATEU/SEM RELIGIÃO"/>
    <x v="1"/>
    <s v="OUTRAS ATIVIDADES DE SERVIÇOS"/>
    <x v="1"/>
    <x v="5"/>
  </r>
  <r>
    <s v="22F45FCB7E6C2DF17EC9010D19FC494368F97F984FE215A12CF58D6BDE7805CC"/>
    <x v="117"/>
    <s v="OUTROS ESTABELECIMENTOS"/>
    <x v="10"/>
    <s v="NÃO SABE INFORMAR"/>
    <s v="VIOLÊNCIA CONTRA CIDADÃO, FAMÍLIA OU COMUNIDADE"/>
    <s v="LÍDER RELIGIOSO(A)"/>
    <x v="1"/>
    <x v="4"/>
    <s v="CE"/>
    <x v="0"/>
    <x v="4"/>
    <x v="1"/>
    <s v="NULL"/>
    <x v="1"/>
    <x v="0"/>
    <s v="NÃO INFORMADO"/>
    <s v="CE"/>
    <s v="AGNÓSTICO/ATEU/SEM RELIGIÃO"/>
    <x v="1"/>
    <s v="OUTRAS ATIVIDADES DE SERVIÇOS"/>
    <x v="2"/>
    <x v="5"/>
  </r>
  <r>
    <s v="22F45FCB7E6C2DF17EC9010D19FC494368F97F984FE215A12CF58D6BDE7805CC"/>
    <x v="117"/>
    <s v="OUTROS ESTABELECIMENTOS"/>
    <x v="10"/>
    <s v="NÃO SABE INFORMAR"/>
    <s v="VIOLÊNCIA CONTRA CIDADÃO, FAMÍLIA OU COMUNIDADE"/>
    <s v="LÍDER RELIGIOSO(A)"/>
    <x v="1"/>
    <x v="4"/>
    <s v="CE"/>
    <x v="0"/>
    <x v="4"/>
    <x v="1"/>
    <s v="NULL"/>
    <x v="1"/>
    <x v="0"/>
    <s v="NÃO INFORMADO"/>
    <s v="CE"/>
    <s v="AGNÓSTICO/ATEU/SEM RELIGIÃO"/>
    <x v="1"/>
    <s v="OUTRAS ATIVIDADES DE SERVIÇOS"/>
    <x v="0"/>
    <x v="5"/>
  </r>
  <r>
    <s v="4CA9E9D4537CCFF77F6491B4B06B207491452CAE9606BEDFB28B6C5924E689DC"/>
    <x v="118"/>
    <s v="AMBIENTE VIRTUAL (NO ÂMBITO DA INTERNET)"/>
    <x v="0"/>
    <s v="HÁ UMA SEMANA"/>
    <s v="VIOLÊNCIA CONTRA CIDADÃO, FAMÍLIA OU COMUNIDADE"/>
    <s v="PRIMO(A)"/>
    <x v="0"/>
    <x v="3"/>
    <s v="DF"/>
    <x v="0"/>
    <x v="0"/>
    <x v="2"/>
    <s v="NULL"/>
    <x v="2"/>
    <x v="2"/>
    <s v="NÃO"/>
    <s v="DF"/>
    <s v="AGNÓSTICO/ATEU/SEM RELIGIÃO"/>
    <x v="1"/>
    <s v="NULL"/>
    <x v="0"/>
    <x v="5"/>
  </r>
  <r>
    <s v="2004DF82B1DB660BF3A4E5DFEF15570D13CC4350A2458938717DCFFC52B28E99"/>
    <x v="119"/>
    <s v="AMBIENTE VIRTUAL (NO ÂMBITO DA INTERNET)"/>
    <x v="6"/>
    <s v="NÃO SABE INFORMAR"/>
    <s v="VIOLÊNCIA CONTRA CIDADÃO, FAMÍLIA OU COMUNIDADE"/>
    <s v="OUTROS"/>
    <x v="1"/>
    <x v="5"/>
    <s v="DENUNCIANTE NÃO SOUBE INFORMAR"/>
    <x v="0"/>
    <x v="0"/>
    <x v="1"/>
    <s v="NULL"/>
    <x v="2"/>
    <x v="5"/>
    <s v="NÃO"/>
    <s v="GO"/>
    <s v="AGNÓSTICO/ATEU/SEM RELIGIÃO"/>
    <x v="1"/>
    <s v="NULL"/>
    <x v="0"/>
    <x v="5"/>
  </r>
  <r>
    <s v="A86417DFF45CB0B9462FD6D43DA093F95F7AF7524E36E4B57CE78B82974C7241"/>
    <x v="119"/>
    <s v="AMBIENTE VIRTUAL (NO ÂMBITO DA INTERNET)"/>
    <x v="6"/>
    <s v="NÃO SABE INFORMAR"/>
    <s v="VIOLÊNCIA CONTRA CIDADÃO, FAMÍLIA OU COMUNIDADE"/>
    <s v="OUTROS"/>
    <x v="1"/>
    <x v="5"/>
    <s v="DENUNCIANTE NÃO SOUBE INFORMAR"/>
    <x v="0"/>
    <x v="0"/>
    <x v="1"/>
    <s v="NULL"/>
    <x v="0"/>
    <x v="11"/>
    <s v="NÃO"/>
    <s v="DENUNCIANTE NÃO SOUBE INFORMAR"/>
    <s v="AGNÓSTICO/ATEU/SEM RELIGIÃO"/>
    <x v="1"/>
    <s v="NULL"/>
    <x v="0"/>
    <x v="5"/>
  </r>
  <r>
    <s v="273CAB50FEFE1A3706E243655568283713DC1DB3150263D43EFC0C7E273E0608"/>
    <x v="119"/>
    <s v="AMBIENTE VIRTUAL (NO ÂMBITO DA INTERNET)"/>
    <x v="6"/>
    <s v="NÃO SABE INFORMAR"/>
    <s v="VIOLÊNCIA CONTRA CIDADÃO, FAMÍLIA OU COMUNIDADE"/>
    <s v="OUTROS"/>
    <x v="1"/>
    <x v="5"/>
    <s v="DENUNCIANTE NÃO SOUBE INFORMAR"/>
    <x v="0"/>
    <x v="0"/>
    <x v="1"/>
    <s v="NULL"/>
    <x v="0"/>
    <x v="12"/>
    <s v="NÃO"/>
    <s v="DENUNCIANTE NÃO SOUBE INFORMAR"/>
    <s v="AGNÓSTICO/ATEU/SEM RELIGIÃO"/>
    <x v="1"/>
    <s v="NULL"/>
    <x v="0"/>
    <x v="5"/>
  </r>
  <r>
    <s v="DA6B0CEC36048FFE7F6FA64B8BBBF685C71D247524D88B242FBABA931D9B915D"/>
    <x v="119"/>
    <s v="AMBIENTE VIRTUAL (NO ÂMBITO DA INTERNET)"/>
    <x v="6"/>
    <s v="NÃO SABE INFORMAR"/>
    <s v="VIOLÊNCIA CONTRA CIDADÃO, FAMÍLIA OU COMUNIDADE"/>
    <s v="OUTROS"/>
    <x v="1"/>
    <x v="5"/>
    <s v="DENUNCIANTE NÃO SOUBE INFORMAR"/>
    <x v="0"/>
    <x v="0"/>
    <x v="1"/>
    <s v="NULL"/>
    <x v="0"/>
    <x v="12"/>
    <s v="NÃO"/>
    <s v="DENUNCIANTE NÃO SOUBE INFORMAR"/>
    <s v="AGNÓSTICO/ATEU/SEM RELIGIÃO"/>
    <x v="1"/>
    <s v="NULL"/>
    <x v="0"/>
    <x v="5"/>
  </r>
  <r>
    <s v="A91C742A303FA476E8734FFF7879F20F0DEEEB947242138A1FC2D52CF7644424"/>
    <x v="119"/>
    <s v="AMBIENTE VIRTUAL (NO ÂMBITO DA INTERNET)"/>
    <x v="6"/>
    <s v="NÃO SABE INFORMAR"/>
    <s v="VIOLÊNCIA CONTRA CIDADÃO, FAMÍLIA OU COMUNIDADE"/>
    <s v="OUTROS"/>
    <x v="1"/>
    <x v="5"/>
    <s v="DENUNCIANTE NÃO SOUBE INFORMAR"/>
    <x v="0"/>
    <x v="0"/>
    <x v="1"/>
    <s v="NULL"/>
    <x v="1"/>
    <x v="0"/>
    <s v="NÃO"/>
    <s v="DENUNCIANTE NÃO SOUBE INFORMAR"/>
    <s v="AGNÓSTICO/ATEU/SEM RELIGIÃO"/>
    <x v="1"/>
    <s v="NULL"/>
    <x v="0"/>
    <x v="5"/>
  </r>
  <r>
    <s v="7F590ED36A94AF8A719DAD2D5F64923EE87070104EF30D3E371FD4544477D9DA"/>
    <x v="119"/>
    <s v="CASA DA VÍTIMA"/>
    <x v="15"/>
    <s v="HÁ MAIS DE SEIS MESES"/>
    <s v="VIOLÊNCIA CONTRA CIDADÃO, FAMÍLIA OU COMUNIDADE"/>
    <s v="VIZINHO(A)"/>
    <x v="0"/>
    <x v="2"/>
    <s v="PR"/>
    <x v="0"/>
    <x v="0"/>
    <x v="2"/>
    <s v="NULL"/>
    <x v="2"/>
    <x v="2"/>
    <s v="NÃO"/>
    <s v="PR"/>
    <s v="AGNÓSTICO/ATEU/SEM RELIGIÃO"/>
    <x v="0"/>
    <s v="NULL"/>
    <x v="0"/>
    <x v="5"/>
  </r>
  <r>
    <s v="89735D1A43D5DA818CC0F7B0A8D90FF198AE2EC1F7F7B55257F2AB929789C207"/>
    <x v="120"/>
    <s v="OUTROS ESTABELECIMENTOS"/>
    <x v="15"/>
    <s v="HÁ MAIS DE SEIS MESES"/>
    <s v="VIOLÊNCIA CONTRA CIDADÃO, FAMÍLIA OU COMUNIDADE"/>
    <s v="VIZINHO(A)"/>
    <x v="2"/>
    <x v="5"/>
    <s v="DENUNCIANTE NÃO SOUBE INFORMAR"/>
    <x v="0"/>
    <x v="0"/>
    <x v="0"/>
    <s v="NULL"/>
    <x v="1"/>
    <x v="0"/>
    <s v="NÃO INFORMADO"/>
    <s v="PR"/>
    <s v="AGNÓSTICO/ATEU/SEM RELIGIÃO"/>
    <x v="1"/>
    <s v="NULL"/>
    <x v="2"/>
    <x v="5"/>
  </r>
  <r>
    <s v="217D2D04C9AA0B1306F8698AED5EE2874E9F9417ED2D6B3733067D0895240845"/>
    <x v="120"/>
    <s v="OUTROS ESTABELECIMENTOS"/>
    <x v="15"/>
    <s v="HÁ MAIS DE SEIS MESES"/>
    <s v="VIOLÊNCIA CONTRA CIDADÃO, FAMÍLIA OU COMUNIDADE"/>
    <s v="VIZINHO(A)"/>
    <x v="2"/>
    <x v="5"/>
    <s v="DENUNCIANTE NÃO SOUBE INFORMAR"/>
    <x v="0"/>
    <x v="0"/>
    <x v="0"/>
    <s v="NULL"/>
    <x v="1"/>
    <x v="0"/>
    <s v="NÃO INFORMADO"/>
    <s v="PR"/>
    <s v="AGNÓSTICO/ATEU/SEM RELIGIÃO"/>
    <x v="1"/>
    <s v="NULL"/>
    <x v="1"/>
    <x v="5"/>
  </r>
  <r>
    <s v="217D2D04C9AA0B1306F8698AED5EE2874E9F9417ED2D6B3733067D0895240845"/>
    <x v="120"/>
    <s v="OUTROS ESTABELECIMENTOS"/>
    <x v="15"/>
    <s v="HÁ MAIS DE SEIS MESES"/>
    <s v="VIOLÊNCIA CONTRA CIDADÃO, FAMÍLIA OU COMUNIDADE"/>
    <s v="VIZINHO(A)"/>
    <x v="2"/>
    <x v="5"/>
    <s v="DENUNCIANTE NÃO SOUBE INFORMAR"/>
    <x v="0"/>
    <x v="0"/>
    <x v="0"/>
    <s v="NULL"/>
    <x v="1"/>
    <x v="0"/>
    <s v="NÃO INFORMADO"/>
    <s v="PR"/>
    <s v="AGNÓSTICO/ATEU/SEM RELIGIÃO"/>
    <x v="1"/>
    <s v="NULL"/>
    <x v="2"/>
    <x v="5"/>
  </r>
  <r>
    <s v="89735D1A43D5DA818CC0F7B0A8D90FF198AE2EC1F7F7B55257F2AB929789C207"/>
    <x v="120"/>
    <s v="OUTROS ESTABELECIMENTOS"/>
    <x v="15"/>
    <s v="HÁ MAIS DE SEIS MESES"/>
    <s v="VIOLÊNCIA CONTRA CIDADÃO, FAMÍLIA OU COMUNIDADE"/>
    <s v="VIZINHO(A)"/>
    <x v="2"/>
    <x v="5"/>
    <s v="DENUNCIANTE NÃO SOUBE INFORMAR"/>
    <x v="0"/>
    <x v="0"/>
    <x v="0"/>
    <s v="NULL"/>
    <x v="1"/>
    <x v="0"/>
    <s v="NÃO INFORMADO"/>
    <s v="PR"/>
    <s v="AGNÓSTICO/ATEU/SEM RELIGIÃO"/>
    <x v="1"/>
    <s v="NULL"/>
    <x v="1"/>
    <x v="5"/>
  </r>
  <r>
    <s v="F28F9D383227FF6DA86184C1ADFBB1F741577088778E6842F162A0D73333933A"/>
    <x v="120"/>
    <s v="CASA DA VÍTIMA"/>
    <x v="15"/>
    <s v="HÁ MAIS DE SEIS MESES"/>
    <s v="VIOLÊNCIA CONTRA CIDADÃO, FAMÍLIA OU COMUNIDADE"/>
    <s v="VIZINHO(A)"/>
    <x v="1"/>
    <x v="7"/>
    <s v="PR"/>
    <x v="0"/>
    <x v="3"/>
    <x v="1"/>
    <s v="NULL"/>
    <x v="1"/>
    <x v="0"/>
    <s v="NÃO INFORMADO"/>
    <s v="PR"/>
    <s v="AGNÓSTICO/ATEU/SEM RELIGIÃO"/>
    <x v="1"/>
    <s v="NULL"/>
    <x v="0"/>
    <x v="5"/>
  </r>
  <r>
    <s v="1304336F1D186B8F4DEA332DDCF8F4EBBC34E344D0E3F20B8D16155E4920A011"/>
    <x v="121"/>
    <s v="CASA DA VÍTIMA"/>
    <x v="1"/>
    <s v="HÁ MAIS DE UM ANO"/>
    <s v="VIOLÊNCIA CONTRA CIDADÃO, FAMÍLIA OU COMUNIDADE"/>
    <s v="TIO(A)"/>
    <x v="0"/>
    <x v="2"/>
    <s v="SP"/>
    <x v="3"/>
    <x v="2"/>
    <x v="2"/>
    <s v="NULL"/>
    <x v="2"/>
    <x v="4"/>
    <s v="NÃO"/>
    <s v="SP"/>
    <s v="AGNÓSTICO/ATEU/SEM RELIGIÃO"/>
    <x v="0"/>
    <s v="NULL"/>
    <x v="2"/>
    <x v="5"/>
  </r>
  <r>
    <s v="A25263257E7BB78EE4C6648DD04901DB2624726FF5E1099A5695A3988CECD3B2"/>
    <x v="121"/>
    <s v="OUTROS ESTABELECIMENTOS"/>
    <x v="3"/>
    <s v="HÁ MAIS DE DEZ ANOS"/>
    <s v="VIOLÊNCIA CONTRA CIDADÃO, FAMÍLIA OU COMUNIDADE"/>
    <s v="LÍDER RELIGIOSO(A)"/>
    <x v="0"/>
    <x v="3"/>
    <s v="BA"/>
    <x v="0"/>
    <x v="0"/>
    <x v="2"/>
    <s v="NULL"/>
    <x v="1"/>
    <x v="0"/>
    <s v="NÃO INFORMADO"/>
    <s v="BA"/>
    <s v="AGNÓSTICO/ATEU/SEM RELIGIÃO"/>
    <x v="1"/>
    <s v="OUTRAS ATIVIDADES DE SERVIÇOS"/>
    <x v="0"/>
    <x v="5"/>
  </r>
  <r>
    <s v="9713EECBCD9FA70B38581DC16170F78E593D8CAEE5420202EB83B16B9D9C474D"/>
    <x v="121"/>
    <s v="AMBIENTE VIRTUAL (NO ÂMBITO DA INTERNET)"/>
    <x v="12"/>
    <s v="NÃO SABE INFORMAR"/>
    <s v="VIOLÊNCIA CONTRA CIDADÃO, FAMÍLIA OU COMUNIDADE"/>
    <s v="OUTROS"/>
    <x v="1"/>
    <x v="1"/>
    <s v="DENUNCIANTE NÃO SOUBE INFORMAR"/>
    <x v="0"/>
    <x v="0"/>
    <x v="1"/>
    <s v="NULL"/>
    <x v="0"/>
    <x v="0"/>
    <s v="NÃO INFORMADO"/>
    <s v="MG"/>
    <s v="AGNÓSTICO/ATEU/SEM RELIGIÃO"/>
    <x v="1"/>
    <s v="NULL"/>
    <x v="0"/>
    <x v="5"/>
  </r>
  <r>
    <s v="9713EECBCD9FA70B38581DC16170F78E593D8CAEE5420202EB83B16B9D9C474D"/>
    <x v="121"/>
    <s v="AMBIENTE VIRTUAL (NO ÂMBITO DA INTERNET)"/>
    <x v="12"/>
    <s v="NÃO SABE INFORMAR"/>
    <s v="VIOLÊNCIA CONTRA CIDADÃO, FAMÍLIA OU COMUNIDADE"/>
    <s v="OUTROS"/>
    <x v="1"/>
    <x v="1"/>
    <s v="DENUNCIANTE NÃO SOUBE INFORMAR"/>
    <x v="0"/>
    <x v="0"/>
    <x v="1"/>
    <s v="NULL"/>
    <x v="0"/>
    <x v="0"/>
    <s v="NÃO INFORMADO"/>
    <s v="MG"/>
    <s v="AGNÓSTICO/ATEU/SEM RELIGIÃO"/>
    <x v="1"/>
    <s v="NULL"/>
    <x v="2"/>
    <x v="5"/>
  </r>
  <r>
    <s v="6590AC0F4C959A0C695AFB3AFBFFFC15E992D8B92ADACD7A1DDBAD1CED9452FD"/>
    <x v="121"/>
    <s v="OUTROS ESTABELECIMENTOS"/>
    <x v="13"/>
    <s v="HÁ MAIS DE UM ANO"/>
    <s v="VIOLÊNCIA CONTRA CIDADÃO, FAMÍLIA OU COMUNIDADE"/>
    <s v="OUTROS"/>
    <x v="1"/>
    <x v="3"/>
    <s v="PE"/>
    <x v="0"/>
    <x v="1"/>
    <x v="1"/>
    <s v="NULL"/>
    <x v="1"/>
    <x v="0"/>
    <s v="NÃO INFORMADO"/>
    <s v="PE"/>
    <s v="AGNÓSTICO/ATEU/SEM RELIGIÃO"/>
    <x v="1"/>
    <s v="PODER EXECUTIVO EM GERAL - MUNICIPAL"/>
    <x v="0"/>
    <x v="5"/>
  </r>
  <r>
    <s v="3A0128467A7BEB4796BABFFE7336AB171AA2D02C8C22D1C61CE28A07800097AD"/>
    <x v="121"/>
    <s v="CASA ONDE RESIDE A VÍTIMA E O SUSPEITO"/>
    <x v="13"/>
    <s v="NÃO SABE INFORMAR"/>
    <s v="VIOLÊNCIA CONTRA CIDADÃO, FAMÍLIA OU COMUNIDADE"/>
    <s v="ESPOSA(O)"/>
    <x v="0"/>
    <x v="6"/>
    <s v="PE"/>
    <x v="0"/>
    <x v="0"/>
    <x v="1"/>
    <s v="NULL"/>
    <x v="2"/>
    <x v="0"/>
    <s v="NÃO INFORMADO"/>
    <s v="PE"/>
    <s v="AGNÓSTICO/ATEU/SEM RELIGIÃO"/>
    <x v="1"/>
    <s v="NULL"/>
    <x v="0"/>
    <x v="5"/>
  </r>
  <r>
    <s v="7A9D2C74EDD3BEB22AE42FF3E753D6436EC28077799E627E3BDB18BCB79193FC"/>
    <x v="122"/>
    <s v="CASA DO SUSPEITO"/>
    <x v="0"/>
    <s v="HÁ UMA SEMANA"/>
    <s v="VIOLÊNCIA CONTRA CIDADÃO, FAMÍLIA OU COMUNIDADE"/>
    <s v="OUTROS FAMILIARES"/>
    <x v="0"/>
    <x v="0"/>
    <s v="DF"/>
    <x v="0"/>
    <x v="0"/>
    <x v="2"/>
    <s v="NULL"/>
    <x v="0"/>
    <x v="1"/>
    <s v="NÃO"/>
    <s v="DF"/>
    <s v="AGNÓSTICO/ATEU/SEM RELIGIÃO"/>
    <x v="0"/>
    <s v="NULL"/>
    <x v="0"/>
    <x v="5"/>
  </r>
  <r>
    <s v="E1B69DA89786A2BB88EE5C71BC1BB6D3888B7F5D8A138683F9AF14757A8E4017"/>
    <x v="122"/>
    <s v="CASA DO SUSPEITO"/>
    <x v="0"/>
    <s v="HÁ UMA SEMANA"/>
    <s v="VIOLÊNCIA CONTRA CIDADÃO, FAMÍLIA OU COMUNIDADE"/>
    <s v="OUTROS FAMILIARES"/>
    <x v="0"/>
    <x v="0"/>
    <s v="DF"/>
    <x v="0"/>
    <x v="0"/>
    <x v="2"/>
    <s v="NULL"/>
    <x v="2"/>
    <x v="4"/>
    <s v="NÃO"/>
    <s v="DF"/>
    <s v="AGNÓSTICO/ATEU/SEM RELIGIÃO"/>
    <x v="0"/>
    <s v="NULL"/>
    <x v="0"/>
    <x v="5"/>
  </r>
  <r>
    <s v="3EEBA7FFA54C31CDE8DA460BF46AD3CDD92A06C10A7168CA4788D60BDB5E34A5"/>
    <x v="122"/>
    <s v="AMBIENTE VIRTUAL (NO ÂMBITO DA INTERNET)"/>
    <x v="9"/>
    <s v="NÃO SE APLICA"/>
    <s v="VIOLÊNCIA CONTRA CIDADÃO, FAMÍLIA OU COMUNIDADE"/>
    <s v="NÃO SABE INFORMAR"/>
    <x v="1"/>
    <x v="0"/>
    <s v="SC"/>
    <x v="0"/>
    <x v="0"/>
    <x v="1"/>
    <s v="NULL"/>
    <x v="1"/>
    <x v="0"/>
    <s v="NÃO INFORMADO"/>
    <s v="SC"/>
    <s v="AGNÓSTICO/ATEU/SEM RELIGIÃO"/>
    <x v="1"/>
    <s v="PARTIDO POLÍTICO"/>
    <x v="2"/>
    <x v="5"/>
  </r>
  <r>
    <s v="3EEBA7FFA54C31CDE8DA460BF46AD3CDD92A06C10A7168CA4788D60BDB5E34A5"/>
    <x v="122"/>
    <s v="AMBIENTE VIRTUAL (NO ÂMBITO DA INTERNET)"/>
    <x v="9"/>
    <s v="NÃO SE APLICA"/>
    <s v="VIOLÊNCIA CONTRA CIDADÃO, FAMÍLIA OU COMUNIDADE"/>
    <s v="NÃO SABE INFORMAR"/>
    <x v="1"/>
    <x v="0"/>
    <s v="SC"/>
    <x v="0"/>
    <x v="0"/>
    <x v="1"/>
    <s v="NULL"/>
    <x v="1"/>
    <x v="0"/>
    <s v="NÃO INFORMADO"/>
    <s v="SC"/>
    <s v="AGNÓSTICO/ATEU/SEM RELIGIÃO"/>
    <x v="1"/>
    <s v="PARTIDO POLÍTICO"/>
    <x v="1"/>
    <x v="5"/>
  </r>
  <r>
    <s v="B763051D880866A5E404C34B4A6865FC5B0675148A3D38689BB4565D6B4E4B5F"/>
    <x v="122"/>
    <s v="OUTROS ESTABELECIMENTOS"/>
    <x v="1"/>
    <s v="HÁ MAIS DE UM ANO"/>
    <s v="VIOLÊNCIA CONTRA CIDADÃO, FAMÍLIA OU COMUNIDADE"/>
    <s v="LÍDER RELIGIOSO(A)"/>
    <x v="1"/>
    <x v="7"/>
    <s v="SP"/>
    <x v="0"/>
    <x v="3"/>
    <x v="1"/>
    <s v="NULL"/>
    <x v="0"/>
    <x v="8"/>
    <s v="NÃO"/>
    <s v="SP"/>
    <s v="UMBANDA E CANDOMBLÉ"/>
    <x v="0"/>
    <s v="NULL"/>
    <x v="2"/>
    <x v="5"/>
  </r>
  <r>
    <s v="D50F4386D8DB96FF86E2F2F87669D0E76E34A8841A6549BB07D455007A96AE00"/>
    <x v="122"/>
    <s v="OUTROS ESTABELECIMENTOS"/>
    <x v="1"/>
    <s v="HÁ MAIS DE UM ANO"/>
    <s v="VIOLÊNCIA CONTRA CIDADÃO, FAMÍLIA OU COMUNIDADE"/>
    <s v="LÍDER RELIGIOSO(A)"/>
    <x v="1"/>
    <x v="7"/>
    <s v="SP"/>
    <x v="0"/>
    <x v="3"/>
    <x v="1"/>
    <s v="NULL"/>
    <x v="2"/>
    <x v="1"/>
    <s v="NÃO"/>
    <s v="SP"/>
    <s v="UMBANDA E CANDOMBLÉ"/>
    <x v="0"/>
    <s v="NULL"/>
    <x v="2"/>
    <x v="5"/>
  </r>
  <r>
    <s v="4B7895D9F1BE8419C8617EC47139F7678247508240E6AD0410D290AA9EDBD86A"/>
    <x v="122"/>
    <s v="CASA DO SUSPEITO"/>
    <x v="1"/>
    <s v="NÃO SE APLICA"/>
    <s v="VIOLÊNCIA CONTRA CIDADÃO, FAMÍLIA OU COMUNIDADE"/>
    <s v="TIO(A)"/>
    <x v="0"/>
    <x v="2"/>
    <s v="SP"/>
    <x v="0"/>
    <x v="2"/>
    <x v="1"/>
    <s v="NULL"/>
    <x v="2"/>
    <x v="0"/>
    <s v="NÃO"/>
    <s v="SP"/>
    <s v="AGNÓSTICO/ATEU/SEM RELIGIÃO"/>
    <x v="1"/>
    <s v="NULL"/>
    <x v="0"/>
    <x v="5"/>
  </r>
  <r>
    <s v="566CFB0490E0673E2B1C05DBD53BF43EC912563130D3500D7D0412BA05F22E26"/>
    <x v="122"/>
    <s v="OUTROS ESTABELECIMENTOS"/>
    <x v="1"/>
    <s v="HÁ UM MÊS"/>
    <s v="VIOLÊNCIA CONTRA CIDADÃO, FAMÍLIA OU COMUNIDADE"/>
    <s v="DIRETOR(A) DE UNIDADE PRISIONAL"/>
    <x v="0"/>
    <x v="7"/>
    <s v="SP"/>
    <x v="0"/>
    <x v="0"/>
    <x v="1"/>
    <s v="NULL"/>
    <x v="1"/>
    <x v="0"/>
    <s v="NÃO INFORMADO"/>
    <s v="SP"/>
    <s v="AGNÓSTICO/ATEU/SEM RELIGIÃO"/>
    <x v="1"/>
    <s v="AGÊNCIA REGULADORA ? MUNICIPAL"/>
    <x v="0"/>
    <x v="5"/>
  </r>
  <r>
    <s v="72BEC8428DBC4507CEBF6F262EF56106A78074B8A761BFEF804F93DA265B0999"/>
    <x v="123"/>
    <s v="CASA DA VÍTIMA"/>
    <x v="1"/>
    <s v="HÁ UM MÊS"/>
    <s v="VIOLÊNCIA CONTRA CIDADÃO, FAMÍLIA OU COMUNIDADE"/>
    <s v="OUTROS"/>
    <x v="0"/>
    <x v="7"/>
    <s v="SP"/>
    <x v="0"/>
    <x v="0"/>
    <x v="2"/>
    <s v="NULL"/>
    <x v="2"/>
    <x v="1"/>
    <s v="NÃO"/>
    <s v="SP"/>
    <s v="AGNÓSTICO/ATEU/SEM RELIGIÃO"/>
    <x v="3"/>
    <s v="NULL"/>
    <x v="0"/>
    <x v="5"/>
  </r>
  <r>
    <s v="3C5BAFA1EEE1F6EDACF0688DB01881E80CC3E23287CE5AD06CAFF68A23F6E888"/>
    <x v="124"/>
    <s v="OUTROS ESTABELECIMENTOS"/>
    <x v="4"/>
    <s v="HÁ MAIS DE DEZ ANOS"/>
    <s v="VIOLÊNCIA CONTRA CIDADÃO, FAMÍLIA OU COMUNIDADE"/>
    <s v="OUTROS"/>
    <x v="0"/>
    <x v="5"/>
    <s v="MG"/>
    <x v="0"/>
    <x v="0"/>
    <x v="1"/>
    <s v="COMUNIDADES DE TERREIROS E MATRIZ AFRICANA"/>
    <x v="1"/>
    <x v="0"/>
    <s v="NÃO INFORMADO"/>
    <s v="MG"/>
    <s v="AGNÓSTICO/ATEU/SEM RELIGIÃO"/>
    <x v="1"/>
    <s v="NULL"/>
    <x v="2"/>
    <x v="5"/>
  </r>
  <r>
    <s v="5908E778B614BE915DF3287142CEB1EF67F45F8652D8618BEDC609B03C15EDE6"/>
    <x v="124"/>
    <s v="OUTROS ESTABELECIMENTOS"/>
    <x v="4"/>
    <s v="HÁ MAIS DE DEZ ANOS"/>
    <s v="VIOLÊNCIA CONTRA CIDADÃO, FAMÍLIA OU COMUNIDADE"/>
    <s v="OUTROS"/>
    <x v="0"/>
    <x v="0"/>
    <s v="MG"/>
    <x v="0"/>
    <x v="0"/>
    <x v="1"/>
    <s v="COMUNIDADES DE TERREIROS E MATRIZ AFRICANA"/>
    <x v="0"/>
    <x v="0"/>
    <s v="NÃO INFORMADO"/>
    <s v="MG"/>
    <s v="AGNÓSTICO/ATEU/SEM RELIGIÃO"/>
    <x v="1"/>
    <s v="NULL"/>
    <x v="2"/>
    <x v="5"/>
  </r>
  <r>
    <s v="3C5BAFA1EEE1F6EDACF0688DB01881E80CC3E23287CE5AD06CAFF68A23F6E888"/>
    <x v="124"/>
    <s v="OUTROS ESTABELECIMENTOS"/>
    <x v="4"/>
    <s v="HÁ MAIS DE DEZ ANOS"/>
    <s v="VIOLÊNCIA CONTRA CIDADÃO, FAMÍLIA OU COMUNIDADE"/>
    <s v="OUTROS"/>
    <x v="0"/>
    <x v="5"/>
    <s v="MG"/>
    <x v="0"/>
    <x v="0"/>
    <x v="1"/>
    <s v="COMUNIDADES DE TERREIROS E MATRIZ AFRICANA"/>
    <x v="1"/>
    <x v="0"/>
    <s v="NÃO INFORMADO"/>
    <s v="MG"/>
    <s v="AGNÓSTICO/ATEU/SEM RELIGIÃO"/>
    <x v="1"/>
    <s v="NULL"/>
    <x v="0"/>
    <x v="5"/>
  </r>
  <r>
    <s v="5908E778B614BE915DF3287142CEB1EF67F45F8652D8618BEDC609B03C15EDE6"/>
    <x v="124"/>
    <s v="OUTROS ESTABELECIMENTOS"/>
    <x v="4"/>
    <s v="HÁ MAIS DE DEZ ANOS"/>
    <s v="VIOLÊNCIA CONTRA CIDADÃO, FAMÍLIA OU COMUNIDADE"/>
    <s v="OUTROS"/>
    <x v="0"/>
    <x v="0"/>
    <s v="MG"/>
    <x v="0"/>
    <x v="0"/>
    <x v="1"/>
    <s v="COMUNIDADES DE TERREIROS E MATRIZ AFRICANA"/>
    <x v="0"/>
    <x v="0"/>
    <s v="NÃO INFORMADO"/>
    <s v="MG"/>
    <s v="AGNÓSTICO/ATEU/SEM RELIGIÃO"/>
    <x v="1"/>
    <s v="NULL"/>
    <x v="1"/>
    <x v="5"/>
  </r>
  <r>
    <s v="78BE58840FD475A1FA82D7E912CE9365DA4E14D560BB400850D9BE68176A4351"/>
    <x v="124"/>
    <s v="OUTROS ESTABELECIMENTOS"/>
    <x v="4"/>
    <s v="HÁ MAIS DE DEZ ANOS"/>
    <s v="VIOLÊNCIA CONTRA CIDADÃO, FAMÍLIA OU COMUNIDADE"/>
    <s v="OUTROS"/>
    <x v="0"/>
    <x v="0"/>
    <s v="MG"/>
    <x v="0"/>
    <x v="0"/>
    <x v="1"/>
    <s v="COMUNIDADES DE TERREIROS E MATRIZ AFRICANA"/>
    <x v="1"/>
    <x v="0"/>
    <s v="NÃO INFORMADO"/>
    <s v="MG"/>
    <s v="AGNÓSTICO/ATEU/SEM RELIGIÃO"/>
    <x v="1"/>
    <s v="EDUCAÇÃO"/>
    <x v="2"/>
    <x v="5"/>
  </r>
  <r>
    <s v="67F6CAD12EE88325D326D49F05BC5F18EB7D572A503DC37968998248CED037DE"/>
    <x v="124"/>
    <s v="OUTROS ESTABELECIMENTOS"/>
    <x v="4"/>
    <s v="HÁ MAIS DE DEZ ANOS"/>
    <s v="VIOLÊNCIA CONTRA CIDADÃO, FAMÍLIA OU COMUNIDADE"/>
    <s v="OUTROS"/>
    <x v="0"/>
    <x v="5"/>
    <s v="MG"/>
    <x v="0"/>
    <x v="0"/>
    <x v="1"/>
    <s v="COMUNIDADES DE TERREIROS E MATRIZ AFRICANA"/>
    <x v="0"/>
    <x v="0"/>
    <s v="NÃO INFORMADO"/>
    <s v="MG"/>
    <s v="AGNÓSTICO/ATEU/SEM RELIGIÃO"/>
    <x v="1"/>
    <s v="NULL"/>
    <x v="2"/>
    <x v="5"/>
  </r>
  <r>
    <s v="67F6CAD12EE88325D326D49F05BC5F18EB7D572A503DC37968998248CED037DE"/>
    <x v="124"/>
    <s v="OUTROS ESTABELECIMENTOS"/>
    <x v="4"/>
    <s v="HÁ MAIS DE DEZ ANOS"/>
    <s v="VIOLÊNCIA CONTRA CIDADÃO, FAMÍLIA OU COMUNIDADE"/>
    <s v="OUTROS"/>
    <x v="0"/>
    <x v="5"/>
    <s v="MG"/>
    <x v="0"/>
    <x v="0"/>
    <x v="1"/>
    <s v="COMUNIDADES DE TERREIROS E MATRIZ AFRICANA"/>
    <x v="0"/>
    <x v="0"/>
    <s v="NÃO INFORMADO"/>
    <s v="MG"/>
    <s v="AGNÓSTICO/ATEU/SEM RELIGIÃO"/>
    <x v="1"/>
    <s v="NULL"/>
    <x v="0"/>
    <x v="5"/>
  </r>
  <r>
    <s v="8E28C901D68A4DABFAC718779DC69EA5512A8F6FF0CAC1F79709685E63F2589B"/>
    <x v="124"/>
    <s v="OUTROS ESTABELECIMENTOS"/>
    <x v="4"/>
    <s v="HÁ MAIS DE DEZ ANOS"/>
    <s v="VIOLÊNCIA CONTRA CIDADÃO, FAMÍLIA OU COMUNIDADE"/>
    <s v="OUTROS"/>
    <x v="0"/>
    <x v="5"/>
    <s v="MG"/>
    <x v="0"/>
    <x v="0"/>
    <x v="1"/>
    <s v="COMUNIDADES DE TERREIROS E MATRIZ AFRICANA"/>
    <x v="1"/>
    <x v="0"/>
    <s v="NÃO INFORMADO"/>
    <s v="MG"/>
    <s v="AGNÓSTICO/ATEU/SEM RELIGIÃO"/>
    <x v="1"/>
    <s v="EDUCAÇÃO"/>
    <x v="2"/>
    <x v="5"/>
  </r>
  <r>
    <s v="B376B3BA258AB0510FABC23CB07318E245B552F8FE0FA596B02BCC8F44323E97"/>
    <x v="124"/>
    <s v="OUTROS ESTABELECIMENTOS"/>
    <x v="4"/>
    <s v="HÁ MAIS DE DEZ ANOS"/>
    <s v="VIOLÊNCIA CONTRA CIDADÃO, FAMÍLIA OU COMUNIDADE"/>
    <s v="OUTROS"/>
    <x v="0"/>
    <x v="0"/>
    <s v="MG"/>
    <x v="0"/>
    <x v="0"/>
    <x v="1"/>
    <s v="COMUNIDADES DE TERREIROS E MATRIZ AFRICANA"/>
    <x v="0"/>
    <x v="0"/>
    <s v="NÃO INFORMADO"/>
    <s v="MG"/>
    <s v="AGNÓSTICO/ATEU/SEM RELIGIÃO"/>
    <x v="1"/>
    <s v="NULL"/>
    <x v="2"/>
    <x v="5"/>
  </r>
  <r>
    <s v="C1FA5F284B1DE3167B6AF3D37827881B3543E214FC7EC6325DDCFF889AB3078C"/>
    <x v="124"/>
    <s v="OUTROS ESTABELECIMENTOS"/>
    <x v="4"/>
    <s v="HÁ MAIS DE DEZ ANOS"/>
    <s v="VIOLÊNCIA CONTRA CIDADÃO, FAMÍLIA OU COMUNIDADE"/>
    <s v="OUTROS"/>
    <x v="0"/>
    <x v="5"/>
    <s v="MG"/>
    <x v="0"/>
    <x v="0"/>
    <x v="1"/>
    <s v="COMUNIDADES DE TERREIROS E MATRIZ AFRICANA"/>
    <x v="0"/>
    <x v="0"/>
    <s v="NÃO INFORMADO"/>
    <s v="MG"/>
    <s v="AGNÓSTICO/ATEU/SEM RELIGIÃO"/>
    <x v="1"/>
    <s v="NULL"/>
    <x v="0"/>
    <x v="5"/>
  </r>
  <r>
    <s v="8535017990ABF731B09208886CFD5EF1FC850D16863ED039077CE439D8C33F74"/>
    <x v="124"/>
    <s v="OUTROS ESTABELECIMENTOS"/>
    <x v="4"/>
    <s v="HÁ MAIS DE DEZ ANOS"/>
    <s v="VIOLÊNCIA CONTRA CIDADÃO, FAMÍLIA OU COMUNIDADE"/>
    <s v="OUTROS"/>
    <x v="0"/>
    <x v="0"/>
    <s v="MG"/>
    <x v="0"/>
    <x v="0"/>
    <x v="1"/>
    <s v="COMUNIDADES DE TERREIROS E MATRIZ AFRICANA"/>
    <x v="1"/>
    <x v="0"/>
    <s v="NÃO INFORMADO"/>
    <s v="MG"/>
    <s v="AGNÓSTICO/ATEU/SEM RELIGIÃO"/>
    <x v="1"/>
    <s v="NULL"/>
    <x v="2"/>
    <x v="5"/>
  </r>
  <r>
    <s v="C6CA7086234D03185E82CCADC962B923B47AC2243F88C832AFD2E6B6A894C388"/>
    <x v="124"/>
    <s v="OUTROS ESTABELECIMENTOS"/>
    <x v="4"/>
    <s v="HÁ MAIS DE DEZ ANOS"/>
    <s v="VIOLÊNCIA CONTRA CIDADÃO, FAMÍLIA OU COMUNIDADE"/>
    <s v="OUTROS"/>
    <x v="0"/>
    <x v="0"/>
    <s v="MG"/>
    <x v="0"/>
    <x v="0"/>
    <x v="1"/>
    <s v="COMUNIDADES DE TERREIROS E MATRIZ AFRICANA"/>
    <x v="0"/>
    <x v="0"/>
    <s v="NÃO INFORMADO"/>
    <s v="MG"/>
    <s v="AGNÓSTICO/ATEU/SEM RELIGIÃO"/>
    <x v="1"/>
    <s v="NULL"/>
    <x v="1"/>
    <x v="5"/>
  </r>
  <r>
    <s v="B376B3BA258AB0510FABC23CB07318E245B552F8FE0FA596B02BCC8F44323E97"/>
    <x v="124"/>
    <s v="OUTROS ESTABELECIMENTOS"/>
    <x v="4"/>
    <s v="HÁ MAIS DE DEZ ANOS"/>
    <s v="VIOLÊNCIA CONTRA CIDADÃO, FAMÍLIA OU COMUNIDADE"/>
    <s v="OUTROS"/>
    <x v="0"/>
    <x v="0"/>
    <s v="MG"/>
    <x v="0"/>
    <x v="0"/>
    <x v="1"/>
    <s v="COMUNIDADES DE TERREIROS E MATRIZ AFRICANA"/>
    <x v="0"/>
    <x v="0"/>
    <s v="NÃO INFORMADO"/>
    <s v="MG"/>
    <s v="AGNÓSTICO/ATEU/SEM RELIGIÃO"/>
    <x v="1"/>
    <s v="NULL"/>
    <x v="1"/>
    <x v="5"/>
  </r>
  <r>
    <s v="C1FA5F284B1DE3167B6AF3D37827881B3543E214FC7EC6325DDCFF889AB3078C"/>
    <x v="124"/>
    <s v="OUTROS ESTABELECIMENTOS"/>
    <x v="4"/>
    <s v="HÁ MAIS DE DEZ ANOS"/>
    <s v="VIOLÊNCIA CONTRA CIDADÃO, FAMÍLIA OU COMUNIDADE"/>
    <s v="OUTROS"/>
    <x v="0"/>
    <x v="5"/>
    <s v="MG"/>
    <x v="0"/>
    <x v="0"/>
    <x v="1"/>
    <s v="COMUNIDADES DE TERREIROS E MATRIZ AFRICANA"/>
    <x v="0"/>
    <x v="0"/>
    <s v="NÃO INFORMADO"/>
    <s v="MG"/>
    <s v="AGNÓSTICO/ATEU/SEM RELIGIÃO"/>
    <x v="1"/>
    <s v="NULL"/>
    <x v="2"/>
    <x v="5"/>
  </r>
  <r>
    <s v="F4EF8D4EFB6E4117BA6AC7EC0FF3D25C6878ED735D6A59F7815F81249403BED1"/>
    <x v="124"/>
    <s v="OUTROS ESTABELECIMENTOS"/>
    <x v="4"/>
    <s v="HÁ MAIS DE DEZ ANOS"/>
    <s v="VIOLÊNCIA CONTRA CIDADÃO, FAMÍLIA OU COMUNIDADE"/>
    <s v="OUTROS"/>
    <x v="0"/>
    <x v="5"/>
    <s v="MG"/>
    <x v="0"/>
    <x v="0"/>
    <x v="1"/>
    <s v="COMUNIDADES DE TERREIROS E MATRIZ AFRICANA"/>
    <x v="2"/>
    <x v="0"/>
    <s v="NÃO INFORMADO"/>
    <s v="MG"/>
    <s v="AGNÓSTICO/ATEU/SEM RELIGIÃO"/>
    <x v="1"/>
    <s v="NULL"/>
    <x v="0"/>
    <x v="5"/>
  </r>
  <r>
    <s v="78BE58840FD475A1FA82D7E912CE9365DA4E14D560BB400850D9BE68176A4351"/>
    <x v="124"/>
    <s v="OUTROS ESTABELECIMENTOS"/>
    <x v="4"/>
    <s v="HÁ MAIS DE DEZ ANOS"/>
    <s v="VIOLÊNCIA CONTRA CIDADÃO, FAMÍLIA OU COMUNIDADE"/>
    <s v="OUTROS"/>
    <x v="0"/>
    <x v="0"/>
    <s v="MG"/>
    <x v="0"/>
    <x v="0"/>
    <x v="1"/>
    <s v="COMUNIDADES DE TERREIROS E MATRIZ AFRICANA"/>
    <x v="1"/>
    <x v="0"/>
    <s v="NÃO INFORMADO"/>
    <s v="MG"/>
    <s v="AGNÓSTICO/ATEU/SEM RELIGIÃO"/>
    <x v="1"/>
    <s v="EDUCAÇÃO"/>
    <x v="1"/>
    <x v="5"/>
  </r>
  <r>
    <s v="8535017990ABF731B09208886CFD5EF1FC850D16863ED039077CE439D8C33F74"/>
    <x v="124"/>
    <s v="OUTROS ESTABELECIMENTOS"/>
    <x v="4"/>
    <s v="HÁ MAIS DE DEZ ANOS"/>
    <s v="VIOLÊNCIA CONTRA CIDADÃO, FAMÍLIA OU COMUNIDADE"/>
    <s v="OUTROS"/>
    <x v="0"/>
    <x v="0"/>
    <s v="MG"/>
    <x v="0"/>
    <x v="0"/>
    <x v="1"/>
    <s v="COMUNIDADES DE TERREIROS E MATRIZ AFRICANA"/>
    <x v="1"/>
    <x v="0"/>
    <s v="NÃO INFORMADO"/>
    <s v="MG"/>
    <s v="AGNÓSTICO/ATEU/SEM RELIGIÃO"/>
    <x v="1"/>
    <s v="NULL"/>
    <x v="1"/>
    <x v="5"/>
  </r>
  <r>
    <s v="8E28C901D68A4DABFAC718779DC69EA5512A8F6FF0CAC1F79709685E63F2589B"/>
    <x v="124"/>
    <s v="OUTROS ESTABELECIMENTOS"/>
    <x v="4"/>
    <s v="HÁ MAIS DE DEZ ANOS"/>
    <s v="VIOLÊNCIA CONTRA CIDADÃO, FAMÍLIA OU COMUNIDADE"/>
    <s v="OUTROS"/>
    <x v="0"/>
    <x v="5"/>
    <s v="MG"/>
    <x v="0"/>
    <x v="0"/>
    <x v="1"/>
    <s v="COMUNIDADES DE TERREIROS E MATRIZ AFRICANA"/>
    <x v="1"/>
    <x v="0"/>
    <s v="NÃO INFORMADO"/>
    <s v="MG"/>
    <s v="AGNÓSTICO/ATEU/SEM RELIGIÃO"/>
    <x v="1"/>
    <s v="EDUCAÇÃO"/>
    <x v="0"/>
    <x v="5"/>
  </r>
  <r>
    <s v="DA4E71B7A5B0313E52902BE5FE77B1B44E641CFF3C40C486917770C024A6305D"/>
    <x v="124"/>
    <s v="OUTROS ESTABELECIMENTOS"/>
    <x v="4"/>
    <s v="HÁ MAIS DE DEZ ANOS"/>
    <s v="VIOLÊNCIA CONTRA CIDADÃO, FAMÍLIA OU COMUNIDADE"/>
    <s v="OUTROS"/>
    <x v="0"/>
    <x v="0"/>
    <s v="MG"/>
    <x v="0"/>
    <x v="0"/>
    <x v="1"/>
    <s v="COMUNIDADES DE TERREIROS E MATRIZ AFRICANA"/>
    <x v="2"/>
    <x v="0"/>
    <s v="NÃO INFORMADO"/>
    <s v="MG"/>
    <s v="AGNÓSTICO/ATEU/SEM RELIGIÃO"/>
    <x v="1"/>
    <s v="NULL"/>
    <x v="1"/>
    <x v="5"/>
  </r>
  <r>
    <s v="F70295881DE89B92856383BCB43774EF89A93C3DE63C7A5C00703486EA6E76F6"/>
    <x v="124"/>
    <s v="OUTROS ESTABELECIMENTOS"/>
    <x v="4"/>
    <s v="HÁ MAIS DE DEZ ANOS"/>
    <s v="VIOLÊNCIA CONTRA CIDADÃO, FAMÍLIA OU COMUNIDADE"/>
    <s v="OUTROS"/>
    <x v="0"/>
    <x v="5"/>
    <s v="MG"/>
    <x v="0"/>
    <x v="0"/>
    <x v="1"/>
    <s v="COMUNIDADES DE TERREIROS E MATRIZ AFRICANA"/>
    <x v="0"/>
    <x v="0"/>
    <s v="NÃO INFORMADO"/>
    <s v="MG"/>
    <s v="AGNÓSTICO/ATEU/SEM RELIGIÃO"/>
    <x v="1"/>
    <s v="NULL"/>
    <x v="0"/>
    <x v="5"/>
  </r>
  <r>
    <s v="DA4E71B7A5B0313E52902BE5FE77B1B44E641CFF3C40C486917770C024A6305D"/>
    <x v="124"/>
    <s v="OUTROS ESTABELECIMENTOS"/>
    <x v="4"/>
    <s v="HÁ MAIS DE DEZ ANOS"/>
    <s v="VIOLÊNCIA CONTRA CIDADÃO, FAMÍLIA OU COMUNIDADE"/>
    <s v="OUTROS"/>
    <x v="0"/>
    <x v="0"/>
    <s v="MG"/>
    <x v="0"/>
    <x v="0"/>
    <x v="1"/>
    <s v="COMUNIDADES DE TERREIROS E MATRIZ AFRICANA"/>
    <x v="2"/>
    <x v="0"/>
    <s v="NÃO INFORMADO"/>
    <s v="MG"/>
    <s v="AGNÓSTICO/ATEU/SEM RELIGIÃO"/>
    <x v="1"/>
    <s v="NULL"/>
    <x v="2"/>
    <x v="5"/>
  </r>
  <r>
    <s v="F4EF8D4EFB6E4117BA6AC7EC0FF3D25C6878ED735D6A59F7815F81249403BED1"/>
    <x v="124"/>
    <s v="OUTROS ESTABELECIMENTOS"/>
    <x v="4"/>
    <s v="HÁ MAIS DE DEZ ANOS"/>
    <s v="VIOLÊNCIA CONTRA CIDADÃO, FAMÍLIA OU COMUNIDADE"/>
    <s v="OUTROS"/>
    <x v="0"/>
    <x v="5"/>
    <s v="MG"/>
    <x v="0"/>
    <x v="0"/>
    <x v="1"/>
    <s v="COMUNIDADES DE TERREIROS E MATRIZ AFRICANA"/>
    <x v="2"/>
    <x v="0"/>
    <s v="NÃO INFORMADO"/>
    <s v="MG"/>
    <s v="AGNÓSTICO/ATEU/SEM RELIGIÃO"/>
    <x v="1"/>
    <s v="NULL"/>
    <x v="2"/>
    <x v="5"/>
  </r>
  <r>
    <s v="C6CA7086234D03185E82CCADC962B923B47AC2243F88C832AFD2E6B6A894C388"/>
    <x v="124"/>
    <s v="OUTROS ESTABELECIMENTOS"/>
    <x v="4"/>
    <s v="HÁ MAIS DE DEZ ANOS"/>
    <s v="VIOLÊNCIA CONTRA CIDADÃO, FAMÍLIA OU COMUNIDADE"/>
    <s v="OUTROS"/>
    <x v="0"/>
    <x v="0"/>
    <s v="MG"/>
    <x v="0"/>
    <x v="0"/>
    <x v="1"/>
    <s v="COMUNIDADES DE TERREIROS E MATRIZ AFRICANA"/>
    <x v="0"/>
    <x v="0"/>
    <s v="NÃO INFORMADO"/>
    <s v="MG"/>
    <s v="AGNÓSTICO/ATEU/SEM RELIGIÃO"/>
    <x v="1"/>
    <s v="NULL"/>
    <x v="2"/>
    <x v="5"/>
  </r>
  <r>
    <s v="F70295881DE89B92856383BCB43774EF89A93C3DE63C7A5C00703486EA6E76F6"/>
    <x v="124"/>
    <s v="OUTROS ESTABELECIMENTOS"/>
    <x v="4"/>
    <s v="HÁ MAIS DE DEZ ANOS"/>
    <s v="VIOLÊNCIA CONTRA CIDADÃO, FAMÍLIA OU COMUNIDADE"/>
    <s v="OUTROS"/>
    <x v="0"/>
    <x v="5"/>
    <s v="MG"/>
    <x v="0"/>
    <x v="0"/>
    <x v="1"/>
    <s v="COMUNIDADES DE TERREIROS E MATRIZ AFRICANA"/>
    <x v="0"/>
    <x v="0"/>
    <s v="NÃO INFORMADO"/>
    <s v="MG"/>
    <s v="AGNÓSTICO/ATEU/SEM RELIGIÃO"/>
    <x v="1"/>
    <s v="NULL"/>
    <x v="2"/>
    <x v="5"/>
  </r>
  <r>
    <s v="88DEB6609550054BB5C6145A30D9134B9C34E14894AD21C971B91F89AA5C7F9F"/>
    <x v="124"/>
    <s v="OUTROS ESTABELECIMENTOS"/>
    <x v="1"/>
    <s v="NÃO SE APLICA"/>
    <s v="VIOLÊNCIA CONTRA CIDADÃO, FAMÍLIA OU COMUNIDADE"/>
    <s v="OUTROS"/>
    <x v="0"/>
    <x v="0"/>
    <s v="SP"/>
    <x v="0"/>
    <x v="0"/>
    <x v="0"/>
    <s v="NULL"/>
    <x v="1"/>
    <x v="0"/>
    <s v="NÃO INFORMADO"/>
    <s v="SP"/>
    <s v="AGNÓSTICO/ATEU/SEM RELIGIÃO"/>
    <x v="1"/>
    <s v="PODER EXECUTIVO EM GERAL - MUNICIPAL"/>
    <x v="0"/>
    <x v="5"/>
  </r>
  <r>
    <s v="88DEB6609550054BB5C6145A30D9134B9C34E14894AD21C971B91F89AA5C7F9F"/>
    <x v="124"/>
    <s v="OUTROS ESTABELECIMENTOS"/>
    <x v="1"/>
    <s v="NÃO SE APLICA"/>
    <s v="VIOLÊNCIA CONTRA CIDADÃO, FAMÍLIA OU COMUNIDADE"/>
    <s v="OUTROS"/>
    <x v="0"/>
    <x v="0"/>
    <s v="SP"/>
    <x v="0"/>
    <x v="0"/>
    <x v="0"/>
    <s v="NULL"/>
    <x v="1"/>
    <x v="0"/>
    <s v="NÃO INFORMADO"/>
    <s v="SP"/>
    <s v="AGNÓSTICO/ATEU/SEM RELIGIÃO"/>
    <x v="1"/>
    <s v="PODER EXECUTIVO EM GERAL - MUNICIPAL"/>
    <x v="2"/>
    <x v="5"/>
  </r>
  <r>
    <s v="801C3E8FB8E0CDAE29CDBEE429943DB05EFEFF447E4D092AC12151258AFB7C68"/>
    <x v="124"/>
    <s v="TRANSPORTE"/>
    <x v="12"/>
    <s v="HÁ UMA SEMANA"/>
    <s v="VIOLÊNCIA CONTRA CIDADÃO, FAMÍLIA OU COMUNIDADE"/>
    <s v="PRESTADOR(A) DE SERVIÇO"/>
    <x v="0"/>
    <x v="3"/>
    <s v="MG"/>
    <x v="0"/>
    <x v="0"/>
    <x v="0"/>
    <s v="NULL"/>
    <x v="0"/>
    <x v="0"/>
    <s v="NÃO INFORMADO"/>
    <s v="DENUNCIANTE NÃO SOUBE INFORMAR"/>
    <s v="AGNÓSTICO/ATEU/SEM RELIGIÃO"/>
    <x v="1"/>
    <s v="NULL"/>
    <x v="0"/>
    <x v="5"/>
  </r>
  <r>
    <s v="29EA25E4957F196539BE4853B220C8FBAB19019859B81BCCF6F5F9F178B8F733"/>
    <x v="125"/>
    <s v="OUTROS ESTABELECIMENTOS"/>
    <x v="21"/>
    <s v="NÃO SE APLICA"/>
    <s v="VIOLÊNCIA CONTRA CIDADÃO, FAMÍLIA OU COMUNIDADE"/>
    <s v="OUTROS"/>
    <x v="0"/>
    <x v="9"/>
    <s v="PI"/>
    <x v="8"/>
    <x v="2"/>
    <x v="2"/>
    <s v="NULL"/>
    <x v="0"/>
    <x v="1"/>
    <s v="NÃO"/>
    <s v="PI"/>
    <s v="CATÓLICA"/>
    <x v="0"/>
    <s v="NULL"/>
    <x v="0"/>
    <x v="5"/>
  </r>
  <r>
    <s v="A675B29C33F0694625BCA18DFC9BE16213D3D1D3575308CA666FFA24B472F7D8"/>
    <x v="126"/>
    <s v="CASA DA VÍTIMA"/>
    <x v="2"/>
    <s v="HÁ MAIS DE UM ANO"/>
    <s v="VIOLÊNCIA CONTRA CIDADÃO, FAMÍLIA OU COMUNIDADE"/>
    <s v="EX-COMPANHEIRO(A)"/>
    <x v="0"/>
    <x v="9"/>
    <s v="RJ"/>
    <x v="0"/>
    <x v="0"/>
    <x v="0"/>
    <s v="NULL"/>
    <x v="2"/>
    <x v="1"/>
    <s v="NÃO"/>
    <s v="RJ"/>
    <s v="AGNÓSTICO/ATEU/SEM RELIGIÃO"/>
    <x v="3"/>
    <s v="NULL"/>
    <x v="0"/>
    <x v="5"/>
  </r>
  <r>
    <s v="86FC209639BC23B9510C19BCAF728734470F8D81A01603164F2E70D2DCBC1116"/>
    <x v="126"/>
    <s v="AMBIENTE VIRTUAL (NO ÂMBITO DA INTERNET)"/>
    <x v="6"/>
    <s v="HÁ MAIS DE CINCO ANOS"/>
    <s v="VIOLÊNCIA CONTRA CIDADÃO, FAMÍLIA OU COMUNIDADE"/>
    <s v="CUNHADO(A)"/>
    <x v="0"/>
    <x v="2"/>
    <s v="GO"/>
    <x v="0"/>
    <x v="3"/>
    <x v="2"/>
    <s v="NULL"/>
    <x v="2"/>
    <x v="5"/>
    <s v="NÃO INFORMADO"/>
    <s v="GO"/>
    <s v="EVANGÉLICA"/>
    <x v="3"/>
    <s v="NULL"/>
    <x v="0"/>
    <x v="5"/>
  </r>
  <r>
    <s v="8A411C42D18ECABEAA88152CD863E0A7B7B54C1AECECFA85D75682B53C0F4806"/>
    <x v="127"/>
    <s v="AMBIENTE VIRTUAL (NO ÂMBITO DA INTERNET)"/>
    <x v="1"/>
    <s v="NÃO SE APLICA"/>
    <s v="VIOLÊNCIA CONTRA CIDADÃO, FAMÍLIA OU COMUNIDADE"/>
    <s v="OUTROS"/>
    <x v="0"/>
    <x v="1"/>
    <s v="SP"/>
    <x v="6"/>
    <x v="0"/>
    <x v="3"/>
    <s v="NULL"/>
    <x v="0"/>
    <x v="3"/>
    <s v="NÃO INFORMADO"/>
    <s v="DENUNCIANTE NÃO SOUBE INFORMAR"/>
    <s v="AGNÓSTICO/ATEU/SEM RELIGIÃO"/>
    <x v="3"/>
    <s v="NULL"/>
    <x v="0"/>
    <x v="5"/>
  </r>
  <r>
    <s v="6A0F102E557F655CFDCD575CE98667EE9C418577B62CC91FAC23D3610294F951"/>
    <x v="127"/>
    <s v="CASA DA VÍTIMA"/>
    <x v="2"/>
    <s v="HÁ MAIS DE CINCO ANOS"/>
    <s v="VIOLÊNCIA CONTRA CIDADÃO, FAMÍLIA OU COMUNIDADE"/>
    <s v="DESCONHECIDO(A)"/>
    <x v="0"/>
    <x v="2"/>
    <s v="RJ"/>
    <x v="0"/>
    <x v="0"/>
    <x v="3"/>
    <s v="NULL"/>
    <x v="2"/>
    <x v="0"/>
    <s v="NÃO INFORMADO"/>
    <s v="RJ"/>
    <s v="AGNÓSTICO/ATEU/SEM RELIGIÃO"/>
    <x v="1"/>
    <s v="NULL"/>
    <x v="0"/>
    <x v="5"/>
  </r>
  <r>
    <s v="65034E065076B6B77571764CDD184F32BC803908F2B068FC8AFEE43B2BAAB592"/>
    <x v="128"/>
    <s v="AMBIENTE VIRTUAL (NO ÂMBITO DA INTERNET)"/>
    <x v="1"/>
    <s v="NÃO SE APLICA"/>
    <s v="VIOLÊNCIA CONTRA CIDADÃO, FAMÍLIA OU COMUNIDADE"/>
    <s v="OUTROS"/>
    <x v="1"/>
    <x v="7"/>
    <s v="DENUNCIANTE NÃO SOUBE INFORMAR"/>
    <x v="0"/>
    <x v="5"/>
    <x v="1"/>
    <s v="NULL"/>
    <x v="2"/>
    <x v="7"/>
    <s v="NÃO"/>
    <s v="SP"/>
    <s v="AGNÓSTICO/ATEU/SEM RELIGIÃO"/>
    <x v="0"/>
    <s v="NULL"/>
    <x v="0"/>
    <x v="5"/>
  </r>
  <r>
    <s v="C0273358397D790453696EB0E74854663D8D9445ED0A8A4F146F062039DEE9AD"/>
    <x v="129"/>
    <s v="CASA DO SUSPEITO"/>
    <x v="4"/>
    <s v="HÁ UM MÊS"/>
    <s v="VIOLÊNCIA CONTRA CIDADÃO, FAMÍLIA OU COMUNIDADE"/>
    <s v="OUTROS"/>
    <x v="0"/>
    <x v="3"/>
    <s v="MG"/>
    <x v="0"/>
    <x v="0"/>
    <x v="1"/>
    <s v="NULL"/>
    <x v="1"/>
    <x v="0"/>
    <s v="NÃO INFORMADO"/>
    <s v="MG"/>
    <s v="AGNÓSTICO/ATEU/SEM RELIGIÃO"/>
    <x v="1"/>
    <s v="PODER EXECUTIVO EM GERAL - MUNICIPAL"/>
    <x v="2"/>
    <x v="5"/>
  </r>
  <r>
    <s v="13684F526BEEF6506F06FC93B71ED79B7A1FB1E95DF0DE27FF004ABD645FB5C5"/>
    <x v="129"/>
    <s v="CASA DO SUSPEITO"/>
    <x v="6"/>
    <s v="HÁ MAIS DE UM ANO"/>
    <s v="VIOLÊNCIA CONTRA CIDADÃO, FAMÍLIA OU COMUNIDADE"/>
    <s v="PRIMO(A)"/>
    <x v="0"/>
    <x v="3"/>
    <s v="GO"/>
    <x v="0"/>
    <x v="0"/>
    <x v="3"/>
    <s v="NULL"/>
    <x v="2"/>
    <x v="6"/>
    <s v="NÃO"/>
    <s v="GO"/>
    <s v="AGNÓSTICO/ATEU/SEM RELIGIÃO"/>
    <x v="0"/>
    <s v="NULL"/>
    <x v="0"/>
    <x v="5"/>
  </r>
  <r>
    <s v="616BF65EA8C795F368B4E2E9CFC2C4AFB7BB7AC88DFFA2ADB6BB1D17BAA4D363"/>
    <x v="129"/>
    <s v="CASA DA VÍTIMA"/>
    <x v="6"/>
    <s v="NÃO SE APLICA"/>
    <s v="VIOLÊNCIA CONTRA CIDADÃO, FAMÍLIA OU COMUNIDADE"/>
    <s v="OUTROS"/>
    <x v="0"/>
    <x v="7"/>
    <s v="GO"/>
    <x v="0"/>
    <x v="0"/>
    <x v="0"/>
    <s v="NULL"/>
    <x v="0"/>
    <x v="0"/>
    <s v="NÃO INFORMADO"/>
    <s v="DENUNCIANTE NÃO SOUBE INFORMAR"/>
    <s v="AGNÓSTICO/ATEU/SEM RELIGIÃO"/>
    <x v="1"/>
    <s v="NULL"/>
    <x v="0"/>
    <x v="5"/>
  </r>
  <r>
    <s v="836E77FBDAD6E9B80CBAC44125B69F0208789C2E71754C660E338E0A58EDA9A8"/>
    <x v="129"/>
    <s v="CASA DA VÍTIMA"/>
    <x v="6"/>
    <s v="NÃO SE APLICA"/>
    <s v="VIOLÊNCIA CONTRA CIDADÃO, FAMÍLIA OU COMUNIDADE"/>
    <s v="OUTROS"/>
    <x v="0"/>
    <x v="7"/>
    <s v="GO"/>
    <x v="0"/>
    <x v="0"/>
    <x v="0"/>
    <s v="NULL"/>
    <x v="0"/>
    <x v="0"/>
    <s v="NÃO INFORMADO"/>
    <s v="DENUNCIANTE NÃO SOUBE INFORMAR"/>
    <s v="AGNÓSTICO/ATEU/SEM RELIGIÃO"/>
    <x v="1"/>
    <s v="NULL"/>
    <x v="0"/>
    <x v="5"/>
  </r>
  <r>
    <s v="4049678E7A5751F0291AE695D13CA976D035B2A0A2006BA10BD99CBF1BC23079"/>
    <x v="130"/>
    <s v="OUTROS ESTABELECIMENTOS"/>
    <x v="16"/>
    <s v="HÁ UM MÊS"/>
    <s v="VIOLÊNCIA CONTRA CIDADÃO, FAMÍLIA OU COMUNIDADE"/>
    <s v="COLEGA DE TRABALHO (MESMO NÍVEL HIERÁRQUICO)"/>
    <x v="0"/>
    <x v="0"/>
    <s v="RS"/>
    <x v="0"/>
    <x v="0"/>
    <x v="3"/>
    <s v="NULL"/>
    <x v="0"/>
    <x v="4"/>
    <s v="NÃO"/>
    <s v="RS"/>
    <s v="AGNÓSTICO/ATEU/SEM RELIGIÃO"/>
    <x v="0"/>
    <s v="NULL"/>
    <x v="2"/>
    <x v="5"/>
  </r>
  <r>
    <s v="5CC3F4A43C4133F1EA72854587D97CC76822FF257B6F99FD25746DBBE8BD3D02"/>
    <x v="130"/>
    <s v="CASA DA VÍTIMA"/>
    <x v="12"/>
    <s v="NÃO SABE INFORMAR"/>
    <s v="VIOLÊNCIA CONTRA CIDADÃO, FAMÍLIA OU COMUNIDADE"/>
    <s v="OUTROS"/>
    <x v="0"/>
    <x v="6"/>
    <s v="DENUNCIANTE NÃO SOUBE INFORMAR"/>
    <x v="0"/>
    <x v="0"/>
    <x v="1"/>
    <s v="NULL"/>
    <x v="1"/>
    <x v="0"/>
    <s v="NÃO INFORMADO"/>
    <s v="DENUNCIANTE NÃO SOUBE INFORMAR"/>
    <s v="AGNÓSTICO/ATEU/SEM RELIGIÃO"/>
    <x v="1"/>
    <s v="NULL"/>
    <x v="0"/>
    <x v="5"/>
  </r>
  <r>
    <s v="6DE73CE0334413B400ACD4B965670509EDDE23C9733E84FE28735E60B6563D30"/>
    <x v="130"/>
    <s v="CASA ONDE RESIDE A VÍTIMA E O SUSPEITO"/>
    <x v="12"/>
    <s v="NÃO SABE INFORMAR"/>
    <s v="VIOLÊNCIA CONTRA CIDADÃO, FAMÍLIA OU COMUNIDADE"/>
    <s v="OUTROS"/>
    <x v="0"/>
    <x v="2"/>
    <s v="NULL"/>
    <x v="0"/>
    <x v="0"/>
    <x v="1"/>
    <s v="NULL"/>
    <x v="1"/>
    <x v="0"/>
    <s v="NÃO INFORMADO"/>
    <s v="DENUNCIANTE NÃO SOUBE INFORMAR"/>
    <s v="AGNÓSTICO/ATEU/SEM RELIGIÃO"/>
    <x v="1"/>
    <s v="NULL"/>
    <x v="1"/>
    <x v="5"/>
  </r>
  <r>
    <s v="DC54FC29C20CA358E8750681371D2DDF26368DB666D8666514C6D79D576E535C"/>
    <x v="130"/>
    <s v="CASA DA VÍTIMA"/>
    <x v="6"/>
    <s v="HÁ MAIS DE UM ANO"/>
    <s v="VIOLÊNCIA CONTRA CIDADÃO, FAMÍLIA OU COMUNIDADE"/>
    <s v="VIZINHO(A)"/>
    <x v="1"/>
    <x v="3"/>
    <s v="GO"/>
    <x v="0"/>
    <x v="0"/>
    <x v="1"/>
    <s v="NULL"/>
    <x v="2"/>
    <x v="2"/>
    <s v="NÃO"/>
    <s v="GO"/>
    <s v="AGNÓSTICO/ATEU/SEM RELIGIÃO"/>
    <x v="0"/>
    <s v="NULL"/>
    <x v="0"/>
    <x v="5"/>
  </r>
  <r>
    <s v="D46F19B060C3342A0BCC79E05A12EB6BA4F67BBD29AFA547AE5FC8B4B9C63C26"/>
    <x v="131"/>
    <s v="CASA ONDE RESIDE A VÍTIMA E O SUSPEITO"/>
    <x v="15"/>
    <s v="NÃO SABE INFORMAR"/>
    <s v="VIOLÊNCIA CONTRA CIDADÃO, FAMÍLIA OU COMUNIDADE"/>
    <s v="DIRETOR/GESTOR DE INSTITUIÇÃO"/>
    <x v="0"/>
    <x v="5"/>
    <s v="PR"/>
    <x v="0"/>
    <x v="0"/>
    <x v="1"/>
    <s v="NULL"/>
    <x v="1"/>
    <x v="0"/>
    <s v="NÃO INFORMADO"/>
    <s v="PR"/>
    <s v="AGNÓSTICO/ATEU/SEM RELIGIÃO"/>
    <x v="1"/>
    <s v="SAÚDE HUMANA E SERVIÇOS SOCIAIS"/>
    <x v="1"/>
    <x v="5"/>
  </r>
  <r>
    <s v="CC9408205608DEAB61DE32BE191900F0904BFCA9A9D6674C639DCD6702A02E95"/>
    <x v="131"/>
    <s v="ESTABELECIMENTO DE SAÚDE"/>
    <x v="1"/>
    <s v="NÃO SABE INFORMAR"/>
    <s v="VIOLÊNCIA CONTRA CIDADÃO, FAMÍLIA OU COMUNIDADE"/>
    <s v="PRESTADOR(A) DE SERVIÇO"/>
    <x v="0"/>
    <x v="7"/>
    <s v="SP"/>
    <x v="0"/>
    <x v="0"/>
    <x v="2"/>
    <s v="NULL"/>
    <x v="1"/>
    <x v="0"/>
    <s v="NÃO INFORMADO"/>
    <s v="SP"/>
    <s v="AGNÓSTICO/ATEU/SEM RELIGIÃO"/>
    <x v="1"/>
    <s v="SAÚDE HUMANA E SERVIÇOS SOCIAIS"/>
    <x v="0"/>
    <x v="5"/>
  </r>
  <r>
    <s v="CC9408205608DEAB61DE32BE191900F0904BFCA9A9D6674C639DCD6702A02E95"/>
    <x v="131"/>
    <s v="ESTABELECIMENTO DE SAÚDE"/>
    <x v="1"/>
    <s v="NÃO SABE INFORMAR"/>
    <s v="VIOLÊNCIA CONTRA CIDADÃO, FAMÍLIA OU COMUNIDADE"/>
    <s v="PRESTADOR(A) DE SERVIÇO"/>
    <x v="0"/>
    <x v="7"/>
    <s v="SP"/>
    <x v="0"/>
    <x v="0"/>
    <x v="2"/>
    <s v="NULL"/>
    <x v="1"/>
    <x v="0"/>
    <s v="NÃO INFORMADO"/>
    <s v="SP"/>
    <s v="AGNÓSTICO/ATEU/SEM RELIGIÃO"/>
    <x v="1"/>
    <s v="SAÚDE HUMANA E SERVIÇOS SOCIAIS"/>
    <x v="2"/>
    <x v="5"/>
  </r>
  <r>
    <s v="17E946AA2AEC769760CC99B31022541DF487F52E8C63183785A1EF60206A869E"/>
    <x v="131"/>
    <s v="CASA DO SUSPEITO"/>
    <x v="16"/>
    <s v="HÁ MAIS DE UM ANO"/>
    <s v="VIOLÊNCIA CONTRA CIDADÃO, FAMÍLIA OU COMUNIDADE"/>
    <s v="VIZINHO(A)"/>
    <x v="1"/>
    <x v="4"/>
    <s v="RS"/>
    <x v="0"/>
    <x v="0"/>
    <x v="1"/>
    <s v="NULL"/>
    <x v="2"/>
    <x v="4"/>
    <s v="NÃO"/>
    <s v="RS"/>
    <s v="AGNÓSTICO/ATEU/SEM RELIGIÃO"/>
    <x v="0"/>
    <s v="NULL"/>
    <x v="2"/>
    <x v="5"/>
  </r>
  <r>
    <s v="7A27285BAF10454B6BF3045194BA0A37A6CFC86C7F8745ADE1A4D37769C49A84"/>
    <x v="131"/>
    <s v="OUTROS ESTABELECIMENTOS"/>
    <x v="15"/>
    <s v="HÁ UM MÊS"/>
    <s v="VIOLÊNCIA CONTRA CIDADÃO, FAMÍLIA OU COMUNIDADE"/>
    <s v="VIZINHO(A)"/>
    <x v="1"/>
    <x v="7"/>
    <s v="PR"/>
    <x v="0"/>
    <x v="3"/>
    <x v="1"/>
    <s v="NULL"/>
    <x v="0"/>
    <x v="6"/>
    <s v="NÃO"/>
    <s v="PR"/>
    <s v="AGNÓSTICO/ATEU/SEM RELIGIÃO"/>
    <x v="2"/>
    <s v="NULL"/>
    <x v="2"/>
    <x v="5"/>
  </r>
  <r>
    <s v="B4180CDBA7F2524CEA74887445AA0D297BF55197A729E490030395BA5AF99926"/>
    <x v="131"/>
    <s v="OUTROS ESTABELECIMENTOS"/>
    <x v="15"/>
    <s v="HÁ UM MÊS"/>
    <s v="VIOLÊNCIA CONTRA CIDADÃO, FAMÍLIA OU COMUNIDADE"/>
    <s v="VIZINHO(A)"/>
    <x v="1"/>
    <x v="7"/>
    <s v="PR"/>
    <x v="0"/>
    <x v="3"/>
    <x v="1"/>
    <s v="NULL"/>
    <x v="2"/>
    <x v="2"/>
    <s v="NÃO"/>
    <s v="PR"/>
    <s v="AGNÓSTICO/ATEU/SEM RELIGIÃO"/>
    <x v="0"/>
    <s v="NULL"/>
    <x v="2"/>
    <x v="5"/>
  </r>
  <r>
    <s v="BD2DD512E4DE75C6E0F692B81B7B760E7B66C3A4FEF4FD096CB86325960F5EB6"/>
    <x v="131"/>
    <s v="OUTROS ESTABELECIMENTOS"/>
    <x v="15"/>
    <s v="HÁ UM MÊS"/>
    <s v="VIOLÊNCIA CONTRA CIDADÃO, FAMÍLIA OU COMUNIDADE"/>
    <s v="VIZINHO(A)"/>
    <x v="1"/>
    <x v="7"/>
    <s v="PR"/>
    <x v="0"/>
    <x v="3"/>
    <x v="1"/>
    <s v="NULL"/>
    <x v="0"/>
    <x v="0"/>
    <s v="NÃO"/>
    <s v="PR"/>
    <s v="AGNÓSTICO/ATEU/SEM RELIGIÃO"/>
    <x v="1"/>
    <s v="NULL"/>
    <x v="2"/>
    <x v="5"/>
  </r>
  <r>
    <s v="906BDA46E2B13C352DF7223BADEBE29236D389B0580537806530B21967ABB6A4"/>
    <x v="131"/>
    <s v="OUTROS ESTABELECIMENTOS"/>
    <x v="1"/>
    <s v="NÃO SABE INFORMAR"/>
    <s v="VIOLÊNCIA CONTRA CIDADÃO, FAMÍLIA OU COMUNIDADE"/>
    <s v="OUTROS"/>
    <x v="1"/>
    <x v="7"/>
    <s v="SP"/>
    <x v="0"/>
    <x v="0"/>
    <x v="1"/>
    <s v="NULL"/>
    <x v="1"/>
    <x v="0"/>
    <s v="NÃO INFORMADO"/>
    <s v="SP"/>
    <s v="AGNÓSTICO/ATEU/SEM RELIGIÃO"/>
    <x v="1"/>
    <s v="PODER EXECUTIVO EM GERAL ? FEDERAL"/>
    <x v="2"/>
    <x v="5"/>
  </r>
  <r>
    <s v="906BDA46E2B13C352DF7223BADEBE29236D389B0580537806530B21967ABB6A4"/>
    <x v="131"/>
    <s v="OUTROS ESTABELECIMENTOS"/>
    <x v="1"/>
    <s v="NÃO SABE INFORMAR"/>
    <s v="VIOLÊNCIA CONTRA CIDADÃO, FAMÍLIA OU COMUNIDADE"/>
    <s v="OUTROS"/>
    <x v="1"/>
    <x v="7"/>
    <s v="SP"/>
    <x v="0"/>
    <x v="0"/>
    <x v="1"/>
    <s v="NULL"/>
    <x v="1"/>
    <x v="0"/>
    <s v="NÃO INFORMADO"/>
    <s v="SP"/>
    <s v="AGNÓSTICO/ATEU/SEM RELIGIÃO"/>
    <x v="1"/>
    <s v="PODER EXECUTIVO EM GERAL ? FEDERAL"/>
    <x v="0"/>
    <x v="5"/>
  </r>
  <r>
    <s v="906BDA46E2B13C352DF7223BADEBE29236D389B0580537806530B21967ABB6A4"/>
    <x v="131"/>
    <s v="OUTROS ESTABELECIMENTOS"/>
    <x v="1"/>
    <s v="NÃO SABE INFORMAR"/>
    <s v="VIOLÊNCIA CONTRA CIDADÃO, FAMÍLIA OU COMUNIDADE"/>
    <s v="OUTROS"/>
    <x v="1"/>
    <x v="7"/>
    <s v="SP"/>
    <x v="0"/>
    <x v="0"/>
    <x v="1"/>
    <s v="NULL"/>
    <x v="1"/>
    <x v="0"/>
    <s v="NÃO INFORMADO"/>
    <s v="SP"/>
    <s v="AGNÓSTICO/ATEU/SEM RELIGIÃO"/>
    <x v="1"/>
    <s v="PODER EXECUTIVO EM GERAL ? FEDERAL"/>
    <x v="1"/>
    <x v="5"/>
  </r>
  <r>
    <s v="D6F88740688BEFEC331F41077E905104FFEDB954E1103683562D83FD99791D24"/>
    <x v="132"/>
    <s v="CASA DA VÍTIMA"/>
    <x v="19"/>
    <s v="NÃO SE APLICA"/>
    <s v="VIOLÊNCIA CONTRA CIDADÃO, FAMÍLIA OU COMUNIDADE"/>
    <s v="OUTROS"/>
    <x v="0"/>
    <x v="2"/>
    <s v="PB"/>
    <x v="0"/>
    <x v="0"/>
    <x v="0"/>
    <s v="NULL"/>
    <x v="2"/>
    <x v="6"/>
    <s v="NÃO"/>
    <s v="PB"/>
    <s v="AGNÓSTICO/ATEU/SEM RELIGIÃO"/>
    <x v="2"/>
    <s v="NULL"/>
    <x v="0"/>
    <x v="5"/>
  </r>
  <r>
    <s v="2428286744935CE605A6B12A8DC53195A0764086062996E3ACE1D8A15F767A40"/>
    <x v="132"/>
    <s v="OUTROS ESTABELECIMENTOS"/>
    <x v="17"/>
    <s v="NÃO SE APLICA"/>
    <s v="VIOLÊNCIA CONTRA CIDADÃO, FAMÍLIA OU COMUNIDADE"/>
    <s v="OUTROS"/>
    <x v="1"/>
    <x v="4"/>
    <s v="PA"/>
    <x v="0"/>
    <x v="0"/>
    <x v="1"/>
    <s v="NULL"/>
    <x v="1"/>
    <x v="0"/>
    <s v="NÃO INFORMADO"/>
    <s v="PA"/>
    <s v="AGNÓSTICO/ATEU/SEM RELIGIÃO"/>
    <x v="1"/>
    <s v="PODER EXECUTIVO EM GERAL - MUNICIPAL"/>
    <x v="0"/>
    <x v="5"/>
  </r>
  <r>
    <s v="2BEDC8C9C99A8D3960404E2B525C287CD9EF8407FE289499FB12B13F191BF098"/>
    <x v="133"/>
    <s v="LOCAL DE TRABALHO DA VÍTIMA"/>
    <x v="4"/>
    <s v="NÃO SABE INFORMAR"/>
    <s v="VIOLÊNCIA CONTRA CIDADÃO, FAMÍLIA OU COMUNIDADE"/>
    <s v="EMPREGADOR/PATRÃO (HIERARQUICAMENTE SUPERIOR)"/>
    <x v="0"/>
    <x v="5"/>
    <s v="MG"/>
    <x v="0"/>
    <x v="0"/>
    <x v="0"/>
    <s v="NULL"/>
    <x v="0"/>
    <x v="0"/>
    <s v="NÃO INFORMADO"/>
    <s v="MG"/>
    <s v="AGNÓSTICO/ATEU/SEM RELIGIÃO"/>
    <x v="1"/>
    <s v="NULL"/>
    <x v="0"/>
    <x v="5"/>
  </r>
  <r>
    <s v="788A1FA6F04889D940181477CB7311F76BF4AD29922CC5AB67BA4008E1DF627C"/>
    <x v="133"/>
    <s v="LOCAL DE TRABALHO DA VÍTIMA"/>
    <x v="4"/>
    <s v="NÃO SABE INFORMAR"/>
    <s v="VIOLÊNCIA CONTRA CIDADÃO, FAMÍLIA OU COMUNIDADE"/>
    <s v="EMPREGADOR/PATRÃO (HIERARQUICAMENTE SUPERIOR)"/>
    <x v="0"/>
    <x v="5"/>
    <s v="MG"/>
    <x v="0"/>
    <x v="0"/>
    <x v="0"/>
    <s v="NULL"/>
    <x v="0"/>
    <x v="0"/>
    <s v="NÃO INFORMADO"/>
    <s v="MG"/>
    <s v="AGNÓSTICO/ATEU/SEM RELIGIÃO"/>
    <x v="1"/>
    <s v="NULL"/>
    <x v="0"/>
    <x v="5"/>
  </r>
  <r>
    <s v="86CAD7246F25473AC923A167571F48525D7B6D9A7084CA58ED02F31FA1B683A6"/>
    <x v="133"/>
    <s v="LOCAL DE TRABALHO DA VÍTIMA"/>
    <x v="4"/>
    <s v="NÃO SABE INFORMAR"/>
    <s v="VIOLÊNCIA CONTRA CIDADÃO, FAMÍLIA OU COMUNIDADE"/>
    <s v="EMPREGADOR/PATRÃO (HIERARQUICAMENTE SUPERIOR)"/>
    <x v="0"/>
    <x v="5"/>
    <s v="MG"/>
    <x v="0"/>
    <x v="0"/>
    <x v="0"/>
    <s v="NULL"/>
    <x v="0"/>
    <x v="0"/>
    <s v="NÃO INFORMADO"/>
    <s v="MG"/>
    <s v="AGNÓSTICO/ATEU/SEM RELIGIÃO"/>
    <x v="1"/>
    <s v="NULL"/>
    <x v="0"/>
    <x v="5"/>
  </r>
  <r>
    <s v="9BC2EA50A8D478E1CB02C1640B4FB07181C1A3CE0334607B985574148BF71ACE"/>
    <x v="133"/>
    <s v="LOCAL DE TRABALHO DA VÍTIMA"/>
    <x v="4"/>
    <s v="NÃO SABE INFORMAR"/>
    <s v="VIOLÊNCIA CONTRA CIDADÃO, FAMÍLIA OU COMUNIDADE"/>
    <s v="EMPREGADOR/PATRÃO (HIERARQUICAMENTE SUPERIOR)"/>
    <x v="0"/>
    <x v="5"/>
    <s v="MG"/>
    <x v="0"/>
    <x v="0"/>
    <x v="0"/>
    <s v="NULL"/>
    <x v="0"/>
    <x v="0"/>
    <s v="NÃO INFORMADO"/>
    <s v="MG"/>
    <s v="AGNÓSTICO/ATEU/SEM RELIGIÃO"/>
    <x v="1"/>
    <s v="NULL"/>
    <x v="0"/>
    <x v="5"/>
  </r>
  <r>
    <s v="2F31383AB5A67C2628C765191838CEDE42347D9553F23A7C76069B1D1D1BF0D7"/>
    <x v="133"/>
    <s v="LOCAL DE TRABALHO DA VÍTIMA"/>
    <x v="4"/>
    <s v="NÃO SABE INFORMAR"/>
    <s v="VIOLÊNCIA CONTRA CIDADÃO, FAMÍLIA OU COMUNIDADE"/>
    <s v="EMPREGADOR/PATRÃO (HIERARQUICAMENTE SUPERIOR)"/>
    <x v="0"/>
    <x v="5"/>
    <s v="MG"/>
    <x v="0"/>
    <x v="0"/>
    <x v="0"/>
    <s v="NULL"/>
    <x v="0"/>
    <x v="0"/>
    <s v="NÃO INFORMADO"/>
    <s v="MG"/>
    <s v="AGNÓSTICO/ATEU/SEM RELIGIÃO"/>
    <x v="1"/>
    <s v="NULL"/>
    <x v="0"/>
    <x v="5"/>
  </r>
  <r>
    <s v="DD6707C04D86CC219B3CAFB1875D4AF20006682971354CE167A9AB1047A58454"/>
    <x v="133"/>
    <s v="LOCAL DE TRABALHO DA VÍTIMA"/>
    <x v="4"/>
    <s v="NÃO SABE INFORMAR"/>
    <s v="VIOLÊNCIA CONTRA CIDADÃO, FAMÍLIA OU COMUNIDADE"/>
    <s v="EMPREGADOR/PATRÃO (HIERARQUICAMENTE SUPERIOR)"/>
    <x v="0"/>
    <x v="5"/>
    <s v="MG"/>
    <x v="0"/>
    <x v="0"/>
    <x v="0"/>
    <s v="NULL"/>
    <x v="0"/>
    <x v="0"/>
    <s v="NÃO INFORMADO"/>
    <s v="MG"/>
    <s v="AGNÓSTICO/ATEU/SEM RELIGIÃO"/>
    <x v="1"/>
    <s v="NULL"/>
    <x v="0"/>
    <x v="5"/>
  </r>
  <r>
    <s v="BE86202012DA6B1D4ABF0777F5EE90C7C12EFF40E9EDA410280BB650743656B8"/>
    <x v="133"/>
    <s v="LOCAL DE TRABALHO DA VÍTIMA"/>
    <x v="4"/>
    <s v="NÃO SABE INFORMAR"/>
    <s v="VIOLÊNCIA CONTRA CIDADÃO, FAMÍLIA OU COMUNIDADE"/>
    <s v="EMPREGADOR/PATRÃO (HIERARQUICAMENTE SUPERIOR)"/>
    <x v="0"/>
    <x v="5"/>
    <s v="MG"/>
    <x v="0"/>
    <x v="0"/>
    <x v="0"/>
    <s v="NULL"/>
    <x v="2"/>
    <x v="0"/>
    <s v="NÃO INFORMADO"/>
    <s v="MG"/>
    <s v="AGNÓSTICO/ATEU/SEM RELIGIÃO"/>
    <x v="1"/>
    <s v="NULL"/>
    <x v="0"/>
    <x v="5"/>
  </r>
  <r>
    <s v="C6B747BFEB11D7598722268A7C3A047E3708730B6788E3C639AC5549AE21BA25"/>
    <x v="133"/>
    <s v="LOCAL DE TRABALHO DA VÍTIMA"/>
    <x v="4"/>
    <s v="NÃO SABE INFORMAR"/>
    <s v="VIOLÊNCIA CONTRA CIDADÃO, FAMÍLIA OU COMUNIDADE"/>
    <s v="EMPREGADOR/PATRÃO (HIERARQUICAMENTE SUPERIOR)"/>
    <x v="0"/>
    <x v="5"/>
    <s v="MG"/>
    <x v="0"/>
    <x v="0"/>
    <x v="0"/>
    <s v="NULL"/>
    <x v="0"/>
    <x v="0"/>
    <s v="NÃO INFORMADO"/>
    <s v="MG"/>
    <s v="AGNÓSTICO/ATEU/SEM RELIGIÃO"/>
    <x v="1"/>
    <s v="NULL"/>
    <x v="0"/>
    <x v="5"/>
  </r>
  <r>
    <s v="955DBD6DBB92A7CB32F8934260042661A83795FE48A567A128E94BAD656AA87B"/>
    <x v="133"/>
    <s v="CASA DA VÍTIMA"/>
    <x v="20"/>
    <s v="NÃO SABE INFORMAR"/>
    <s v="VIOLÊNCIA CONTRA CIDADÃO, FAMÍLIA OU COMUNIDADE"/>
    <s v="VIZINHO(A)"/>
    <x v="0"/>
    <x v="4"/>
    <s v="AM"/>
    <x v="0"/>
    <x v="0"/>
    <x v="0"/>
    <s v="NULL"/>
    <x v="2"/>
    <x v="0"/>
    <s v="NÃO INFORMADO"/>
    <s v="AM"/>
    <s v="AGNÓSTICO/ATEU/SEM RELIGIÃO"/>
    <x v="1"/>
    <s v="NULL"/>
    <x v="1"/>
    <x v="5"/>
  </r>
  <r>
    <s v="11B687183CAFEED7FC8E58F3488451DDBB4D943A07C8727FDCCE399CCA3B87EC"/>
    <x v="133"/>
    <s v="CASA DA VÍTIMA"/>
    <x v="20"/>
    <s v="NÃO SABE INFORMAR"/>
    <s v="VIOLÊNCIA CONTRA CIDADÃO, FAMÍLIA OU COMUNIDADE"/>
    <s v="VIZINHO(A)"/>
    <x v="0"/>
    <x v="4"/>
    <s v="AM"/>
    <x v="0"/>
    <x v="0"/>
    <x v="0"/>
    <s v="NULL"/>
    <x v="0"/>
    <x v="0"/>
    <s v="NÃO INFORMADO"/>
    <s v="AM"/>
    <s v="AGNÓSTICO/ATEU/SEM RELIGIÃO"/>
    <x v="1"/>
    <s v="NULL"/>
    <x v="1"/>
    <x v="5"/>
  </r>
  <r>
    <s v="D12D67FFBD6E1089A547F94B6DDF71E57D5DE90CFC71270DD23422F532AB1D3D"/>
    <x v="133"/>
    <s v="CASA DA VÍTIMA"/>
    <x v="20"/>
    <s v="NÃO SABE INFORMAR"/>
    <s v="VIOLÊNCIA CONTRA CIDADÃO, FAMÍLIA OU COMUNIDADE"/>
    <s v="VIZINHO(A)"/>
    <x v="0"/>
    <x v="4"/>
    <s v="AM"/>
    <x v="0"/>
    <x v="0"/>
    <x v="0"/>
    <s v="NULL"/>
    <x v="0"/>
    <x v="0"/>
    <s v="NÃO INFORMADO"/>
    <s v="AM"/>
    <s v="AGNÓSTICO/ATEU/SEM RELIGIÃO"/>
    <x v="1"/>
    <s v="NULL"/>
    <x v="1"/>
    <x v="5"/>
  </r>
  <r>
    <s v="11B687183CAFEED7FC8E58F3488451DDBB4D943A07C8727FDCCE399CCA3B87EC"/>
    <x v="133"/>
    <s v="CASA DA VÍTIMA"/>
    <x v="20"/>
    <s v="NÃO SABE INFORMAR"/>
    <s v="VIOLÊNCIA CONTRA CIDADÃO, FAMÍLIA OU COMUNIDADE"/>
    <s v="VIZINHO(A)"/>
    <x v="0"/>
    <x v="4"/>
    <s v="AM"/>
    <x v="0"/>
    <x v="0"/>
    <x v="0"/>
    <s v="NULL"/>
    <x v="2"/>
    <x v="0"/>
    <s v="NÃO INFORMADO"/>
    <s v="AM"/>
    <s v="AGNÓSTICO/ATEU/SEM RELIGIÃO"/>
    <x v="1"/>
    <s v="NULL"/>
    <x v="1"/>
    <x v="5"/>
  </r>
  <r>
    <s v="243D8EEB9CF701BF3732B5E1666B3C3375C9D24734D1DF6BCA45643744D7EFC1"/>
    <x v="133"/>
    <s v="CASA DA VÍTIMA"/>
    <x v="20"/>
    <s v="NÃO SABE INFORMAR"/>
    <s v="VIOLÊNCIA CONTRA CIDADÃO, FAMÍLIA OU COMUNIDADE"/>
    <s v="VIZINHO(A)"/>
    <x v="0"/>
    <x v="4"/>
    <s v="AM"/>
    <x v="0"/>
    <x v="0"/>
    <x v="0"/>
    <s v="NULL"/>
    <x v="0"/>
    <x v="0"/>
    <s v="NÃO INFORMADO"/>
    <s v="AM"/>
    <s v="AGNÓSTICO/ATEU/SEM RELIGIÃO"/>
    <x v="1"/>
    <s v="NULL"/>
    <x v="1"/>
    <x v="5"/>
  </r>
  <r>
    <s v="C1C941C074C2F773689D1365F6C6DD19D944259ACECEB7CA158F490DE881C462"/>
    <x v="133"/>
    <s v="CASA DA VÍTIMA"/>
    <x v="1"/>
    <s v="HÁ MAIS DE UM ANO"/>
    <s v="VIOLÊNCIA CONTRA CIDADÃO, FAMÍLIA OU COMUNIDADE"/>
    <s v="EX-COMPANHEIRO(A)"/>
    <x v="0"/>
    <x v="7"/>
    <s v="SP"/>
    <x v="0"/>
    <x v="0"/>
    <x v="0"/>
    <s v="NULL"/>
    <x v="2"/>
    <x v="0"/>
    <s v="NÃO"/>
    <s v="DENUNCIANTE NÃO SOUBE INFORMAR"/>
    <s v="AGNÓSTICO/ATEU/SEM RELIGIÃO"/>
    <x v="1"/>
    <s v="NULL"/>
    <x v="0"/>
    <x v="5"/>
  </r>
  <r>
    <s v="C1C941C074C2F773689D1365F6C6DD19D944259ACECEB7CA158F490DE881C462"/>
    <x v="133"/>
    <s v="CASA DA VÍTIMA"/>
    <x v="1"/>
    <s v="HÁ MAIS DE UM ANO"/>
    <s v="VIOLÊNCIA CONTRA CIDADÃO, FAMÍLIA OU COMUNIDADE"/>
    <s v="EX-COMPANHEIRO(A)"/>
    <x v="0"/>
    <x v="7"/>
    <s v="SP"/>
    <x v="0"/>
    <x v="0"/>
    <x v="0"/>
    <s v="NULL"/>
    <x v="2"/>
    <x v="0"/>
    <s v="NÃO"/>
    <s v="DENUNCIANTE NÃO SOUBE INFORMAR"/>
    <s v="AGNÓSTICO/ATEU/SEM RELIGIÃO"/>
    <x v="1"/>
    <s v="NULL"/>
    <x v="2"/>
    <x v="5"/>
  </r>
  <r>
    <s v="12B562AF58B237419504EF46E9616DDCF3714B6D93417FD7800C26C83E8EAB60"/>
    <x v="133"/>
    <s v="CASA DO SUSPEITO"/>
    <x v="17"/>
    <s v="HÁ MAIS DE UM ANO"/>
    <s v="VIOLÊNCIA CONTRA CIDADÃO, FAMÍLIA OU COMUNIDADE"/>
    <s v="VIZINHO(A)"/>
    <x v="0"/>
    <x v="3"/>
    <s v="PA"/>
    <x v="0"/>
    <x v="0"/>
    <x v="1"/>
    <s v="NULL"/>
    <x v="0"/>
    <x v="2"/>
    <s v="NÃO"/>
    <s v="PA"/>
    <s v="AGNÓSTICO/ATEU/SEM RELIGIÃO"/>
    <x v="0"/>
    <s v="NULL"/>
    <x v="0"/>
    <x v="5"/>
  </r>
  <r>
    <s v="24C521746C08C1382C41E3FC5915CC3AEDFC34A545506B72FEA8D0A7C89AD983"/>
    <x v="134"/>
    <s v="CASA DA VÍTIMA"/>
    <x v="20"/>
    <s v="HÁ MAIS DE SEIS MESES"/>
    <s v="VIOLÊNCIA CONTRA CIDADÃO, FAMÍLIA OU COMUNIDADE"/>
    <s v="OUTROS"/>
    <x v="0"/>
    <x v="4"/>
    <s v="AM"/>
    <x v="0"/>
    <x v="0"/>
    <x v="0"/>
    <s v="NULL"/>
    <x v="0"/>
    <x v="4"/>
    <s v="NÃO INFORMADO"/>
    <s v="DENUNCIANTE NÃO SOUBE INFORMAR"/>
    <s v="AGNÓSTICO/ATEU/SEM RELIGIÃO"/>
    <x v="0"/>
    <s v="NULL"/>
    <x v="0"/>
    <x v="5"/>
  </r>
  <r>
    <s v="8132ED4C76E1CB458B6998AF52DE32C45DC6CD8680D66B4C9CC883094D6F05C3"/>
    <x v="134"/>
    <s v="CASA ONDE RESIDE A VÍTIMA E O SUSPEITO"/>
    <x v="7"/>
    <s v="HÁ MAIS DE CINCO ANOS"/>
    <s v="VIOLÊNCIA CONTRA CIDADÃO, FAMÍLIA OU COMUNIDADE"/>
    <s v="TIO(A)"/>
    <x v="0"/>
    <x v="7"/>
    <s v="ES"/>
    <x v="0"/>
    <x v="3"/>
    <x v="2"/>
    <s v="NULL"/>
    <x v="2"/>
    <x v="8"/>
    <s v="NÃO"/>
    <s v="ES"/>
    <s v="EVANGÉLICA"/>
    <x v="3"/>
    <s v="NULL"/>
    <x v="0"/>
    <x v="5"/>
  </r>
  <r>
    <s v="85B8A49FCC58CC17EBDBEFE8173A148CB35A2D810053E1D9EA40B30FD4E37FCC"/>
    <x v="134"/>
    <s v="CASA ONDE RESIDE A VÍTIMA E O SUSPEITO"/>
    <x v="7"/>
    <s v="HÁ MAIS DE CINCO ANOS"/>
    <s v="VIOLÊNCIA CONTRA CIDADÃO, FAMÍLIA OU COMUNIDADE"/>
    <s v="TIO(A)"/>
    <x v="0"/>
    <x v="7"/>
    <s v="ES"/>
    <x v="0"/>
    <x v="3"/>
    <x v="2"/>
    <s v="NULL"/>
    <x v="0"/>
    <x v="8"/>
    <s v="NÃO"/>
    <s v="ES"/>
    <s v="EVANGÉLICA"/>
    <x v="3"/>
    <s v="NULL"/>
    <x v="0"/>
    <x v="5"/>
  </r>
  <r>
    <s v="4FD133F33B636C8996F6745BD4491A687E91039F2F9438657E194F061F50DC55"/>
    <x v="135"/>
    <s v="OUTROS ESTABELECIMENTOS"/>
    <x v="17"/>
    <s v="NÃO SE APLICA"/>
    <s v="VIOLÊNCIA CONTRA CIDADÃO, FAMÍLIA OU COMUNIDADE"/>
    <s v="OUTROS"/>
    <x v="1"/>
    <x v="0"/>
    <s v="PA"/>
    <x v="0"/>
    <x v="0"/>
    <x v="1"/>
    <s v="COMUNIDADES DE TERREIROS E MATRIZ AFRICANA"/>
    <x v="1"/>
    <x v="0"/>
    <s v="NÃO INFORMADO"/>
    <s v="PA"/>
    <s v="AGNÓSTICO/ATEU/SEM RELIGIÃO"/>
    <x v="1"/>
    <s v="PODER EXECUTIVO EM GERAL - MUNICIPAL"/>
    <x v="0"/>
    <x v="5"/>
  </r>
  <r>
    <s v="4FD133F33B636C8996F6745BD4491A687E91039F2F9438657E194F061F50DC55"/>
    <x v="135"/>
    <s v="OUTROS ESTABELECIMENTOS"/>
    <x v="17"/>
    <s v="NÃO SE APLICA"/>
    <s v="VIOLÊNCIA CONTRA CIDADÃO, FAMÍLIA OU COMUNIDADE"/>
    <s v="OUTROS"/>
    <x v="1"/>
    <x v="0"/>
    <s v="PA"/>
    <x v="0"/>
    <x v="0"/>
    <x v="1"/>
    <s v="COMUNIDADES DE TERREIROS E MATRIZ AFRICANA"/>
    <x v="1"/>
    <x v="0"/>
    <s v="NÃO INFORMADO"/>
    <s v="PA"/>
    <s v="AGNÓSTICO/ATEU/SEM RELIGIÃO"/>
    <x v="1"/>
    <s v="PODER EXECUTIVO EM GERAL - MUNICIPAL"/>
    <x v="2"/>
    <x v="5"/>
  </r>
  <r>
    <s v="5371FBC0CCB3205B5ECD9863139B44749D00874783C6221E9C8CCD9EF2BDA97F"/>
    <x v="135"/>
    <s v="OUTROS ESTABELECIMENTOS"/>
    <x v="17"/>
    <s v="NÃO SE APLICA"/>
    <s v="VIOLÊNCIA CONTRA CIDADÃO, FAMÍLIA OU COMUNIDADE"/>
    <s v="OUTROS"/>
    <x v="1"/>
    <x v="0"/>
    <s v="PA"/>
    <x v="0"/>
    <x v="0"/>
    <x v="1"/>
    <s v="COMUNIDADES DE TERREIROS E MATRIZ AFRICANA"/>
    <x v="0"/>
    <x v="0"/>
    <s v="NÃO INFORMADO"/>
    <s v="PA"/>
    <s v="AGNÓSTICO/ATEU/SEM RELIGIÃO"/>
    <x v="1"/>
    <s v="NULL"/>
    <x v="0"/>
    <x v="5"/>
  </r>
  <r>
    <s v="5371FBC0CCB3205B5ECD9863139B44749D00874783C6221E9C8CCD9EF2BDA97F"/>
    <x v="135"/>
    <s v="OUTROS ESTABELECIMENTOS"/>
    <x v="17"/>
    <s v="NÃO SE APLICA"/>
    <s v="VIOLÊNCIA CONTRA CIDADÃO, FAMÍLIA OU COMUNIDADE"/>
    <s v="OUTROS"/>
    <x v="1"/>
    <x v="0"/>
    <s v="PA"/>
    <x v="0"/>
    <x v="0"/>
    <x v="1"/>
    <s v="COMUNIDADES DE TERREIROS E MATRIZ AFRICANA"/>
    <x v="0"/>
    <x v="0"/>
    <s v="NÃO INFORMADO"/>
    <s v="PA"/>
    <s v="AGNÓSTICO/ATEU/SEM RELIGIÃO"/>
    <x v="1"/>
    <s v="NULL"/>
    <x v="2"/>
    <x v="5"/>
  </r>
  <r>
    <s v="5DE738C52C747B73CDD870457BEA39DD36FA503158E42B95869A0FFE54F8B0E1"/>
    <x v="135"/>
    <s v="OUTROS ESTABELECIMENTOS"/>
    <x v="17"/>
    <s v="HÁ UMA SEMANA"/>
    <s v="VIOLÊNCIA CONTRA CIDADÃO, FAMÍLIA OU COMUNIDADE"/>
    <s v="OUTROS"/>
    <x v="1"/>
    <x v="8"/>
    <s v="PA"/>
    <x v="0"/>
    <x v="9"/>
    <x v="1"/>
    <s v="COMUNIDADES DE TERREIROS E MATRIZ AFRICANA"/>
    <x v="1"/>
    <x v="0"/>
    <s v="NÃO INFORMADO"/>
    <s v="PA"/>
    <s v="AGNÓSTICO/ATEU/SEM RELIGIÃO"/>
    <x v="1"/>
    <s v="PODER EXECUTIVO EM GERAL - MUNICIPAL"/>
    <x v="1"/>
    <x v="5"/>
  </r>
  <r>
    <s v="926AA70D63B80FA356D8B9B5B0582C45DF94C23D250E83D374D3A986A6F78F06"/>
    <x v="135"/>
    <s v="OUTROS ESTABELECIMENTOS"/>
    <x v="17"/>
    <s v="NÃO SE APLICA"/>
    <s v="VIOLÊNCIA CONTRA CIDADÃO, FAMÍLIA OU COMUNIDADE"/>
    <s v="OUTROS"/>
    <x v="1"/>
    <x v="7"/>
    <s v="PA"/>
    <x v="0"/>
    <x v="1"/>
    <x v="1"/>
    <s v="NULL"/>
    <x v="1"/>
    <x v="0"/>
    <s v="NÃO INFORMADO"/>
    <s v="PA"/>
    <s v="AGNÓSTICO/ATEU/SEM RELIGIÃO"/>
    <x v="1"/>
    <s v="PODER LEGISLATIVO ? MUNICIPAL"/>
    <x v="0"/>
    <x v="5"/>
  </r>
  <r>
    <s v="926AA70D63B80FA356D8B9B5B0582C45DF94C23D250E83D374D3A986A6F78F06"/>
    <x v="135"/>
    <s v="OUTROS ESTABELECIMENTOS"/>
    <x v="17"/>
    <s v="NÃO SE APLICA"/>
    <s v="VIOLÊNCIA CONTRA CIDADÃO, FAMÍLIA OU COMUNIDADE"/>
    <s v="OUTROS"/>
    <x v="1"/>
    <x v="7"/>
    <s v="PA"/>
    <x v="0"/>
    <x v="1"/>
    <x v="1"/>
    <s v="NULL"/>
    <x v="1"/>
    <x v="0"/>
    <s v="NÃO INFORMADO"/>
    <s v="PA"/>
    <s v="AGNÓSTICO/ATEU/SEM RELIGIÃO"/>
    <x v="1"/>
    <s v="PODER LEGISLATIVO ? MUNICIPAL"/>
    <x v="2"/>
    <x v="5"/>
  </r>
  <r>
    <s v="9F772DAF2064149E75305E56E9748C700C8E4225C540FAA1971370A4C41ABFFA"/>
    <x v="136"/>
    <s v="OUTROS ESTABELECIMENTOS"/>
    <x v="17"/>
    <s v="NÃO SE APLICA"/>
    <s v="VIOLÊNCIA CONTRA CIDADÃO, FAMÍLIA OU COMUNIDADE"/>
    <s v="OUTROS"/>
    <x v="1"/>
    <x v="4"/>
    <s v="DENUNCIANTE NÃO SOUBE INFORMAR"/>
    <x v="0"/>
    <x v="3"/>
    <x v="1"/>
    <s v="NULL"/>
    <x v="1"/>
    <x v="0"/>
    <s v="NÃO INFORMADO"/>
    <s v="PA"/>
    <s v="AGNÓSTICO/ATEU/SEM RELIGIÃO"/>
    <x v="1"/>
    <s v="PODER EXECUTIVO EM GERAL - MUNICIPAL"/>
    <x v="0"/>
    <x v="5"/>
  </r>
  <r>
    <s v="3A346BC0AD599FC7CEABD130717F014A82ACA4EDC74376A23D9F60C30F3DD0E3"/>
    <x v="136"/>
    <s v="OUTROS ESTABELECIMENTOS"/>
    <x v="2"/>
    <s v="NÃO SE APLICA"/>
    <s v="VIOLÊNCIA CONTRA CIDADÃO, FAMÍLIA OU COMUNIDADE"/>
    <s v="OUTROS"/>
    <x v="1"/>
    <x v="4"/>
    <s v="RJ"/>
    <x v="0"/>
    <x v="0"/>
    <x v="1"/>
    <s v="NULL"/>
    <x v="1"/>
    <x v="5"/>
    <s v="NÃO INFORMADO"/>
    <s v="RJ"/>
    <s v="AGNÓSTICO/ATEU/SEM RELIGIÃO"/>
    <x v="1"/>
    <s v="NULL"/>
    <x v="2"/>
    <x v="5"/>
  </r>
  <r>
    <s v="DAD7013BF5D4D69280E2F46291D00A9BE319B93482EB71FF1C82A71579DEFD13"/>
    <x v="136"/>
    <s v="OUTROS ESTABELECIMENTOS"/>
    <x v="2"/>
    <s v="NÃO SE APLICA"/>
    <s v="VIOLÊNCIA CONTRA CIDADÃO, FAMÍLIA OU COMUNIDADE"/>
    <s v="OUTROS"/>
    <x v="1"/>
    <x v="4"/>
    <s v="RJ"/>
    <x v="0"/>
    <x v="0"/>
    <x v="1"/>
    <s v="NULL"/>
    <x v="0"/>
    <x v="0"/>
    <s v="NÃO INFORMADO"/>
    <s v="RJ"/>
    <s v="AGNÓSTICO/ATEU/SEM RELIGIÃO"/>
    <x v="1"/>
    <s v="NULL"/>
    <x v="0"/>
    <x v="5"/>
  </r>
  <r>
    <s v="DAD7013BF5D4D69280E2F46291D00A9BE319B93482EB71FF1C82A71579DEFD13"/>
    <x v="136"/>
    <s v="OUTROS ESTABELECIMENTOS"/>
    <x v="2"/>
    <s v="NÃO SE APLICA"/>
    <s v="VIOLÊNCIA CONTRA CIDADÃO, FAMÍLIA OU COMUNIDADE"/>
    <s v="OUTROS"/>
    <x v="1"/>
    <x v="4"/>
    <s v="RJ"/>
    <x v="0"/>
    <x v="0"/>
    <x v="1"/>
    <s v="NULL"/>
    <x v="0"/>
    <x v="0"/>
    <s v="NÃO INFORMADO"/>
    <s v="RJ"/>
    <s v="AGNÓSTICO/ATEU/SEM RELIGIÃO"/>
    <x v="1"/>
    <s v="NULL"/>
    <x v="2"/>
    <x v="5"/>
  </r>
  <r>
    <s v="3A346BC0AD599FC7CEABD130717F014A82ACA4EDC74376A23D9F60C30F3DD0E3"/>
    <x v="136"/>
    <s v="OUTROS ESTABELECIMENTOS"/>
    <x v="2"/>
    <s v="NÃO SE APLICA"/>
    <s v="VIOLÊNCIA CONTRA CIDADÃO, FAMÍLIA OU COMUNIDADE"/>
    <s v="OUTROS"/>
    <x v="1"/>
    <x v="4"/>
    <s v="RJ"/>
    <x v="0"/>
    <x v="0"/>
    <x v="1"/>
    <s v="NULL"/>
    <x v="1"/>
    <x v="5"/>
    <s v="NÃO INFORMADO"/>
    <s v="RJ"/>
    <s v="AGNÓSTICO/ATEU/SEM RELIGIÃO"/>
    <x v="1"/>
    <s v="NULL"/>
    <x v="0"/>
    <x v="5"/>
  </r>
  <r>
    <s v="3A346BC0AD599FC7CEABD130717F014A82ACA4EDC74376A23D9F60C30F3DD0E3"/>
    <x v="136"/>
    <s v="OUTROS ESTABELECIMENTOS"/>
    <x v="2"/>
    <s v="NÃO SE APLICA"/>
    <s v="VIOLÊNCIA CONTRA CIDADÃO, FAMÍLIA OU COMUNIDADE"/>
    <s v="OUTROS"/>
    <x v="1"/>
    <x v="4"/>
    <s v="RJ"/>
    <x v="0"/>
    <x v="0"/>
    <x v="1"/>
    <s v="NULL"/>
    <x v="1"/>
    <x v="5"/>
    <s v="NÃO INFORMADO"/>
    <s v="RJ"/>
    <s v="AGNÓSTICO/ATEU/SEM RELIGIÃO"/>
    <x v="1"/>
    <s v="NULL"/>
    <x v="1"/>
    <x v="5"/>
  </r>
  <r>
    <s v="DAD7013BF5D4D69280E2F46291D00A9BE319B93482EB71FF1C82A71579DEFD13"/>
    <x v="136"/>
    <s v="OUTROS ESTABELECIMENTOS"/>
    <x v="2"/>
    <s v="NÃO SE APLICA"/>
    <s v="VIOLÊNCIA CONTRA CIDADÃO, FAMÍLIA OU COMUNIDADE"/>
    <s v="OUTROS"/>
    <x v="1"/>
    <x v="4"/>
    <s v="RJ"/>
    <x v="0"/>
    <x v="0"/>
    <x v="1"/>
    <s v="NULL"/>
    <x v="0"/>
    <x v="0"/>
    <s v="NÃO INFORMADO"/>
    <s v="RJ"/>
    <s v="AGNÓSTICO/ATEU/SEM RELIGIÃO"/>
    <x v="1"/>
    <s v="NULL"/>
    <x v="1"/>
    <x v="5"/>
  </r>
  <r>
    <s v="DE892044B394151CA37B807CE99CEB3C2E6028EAE3173DA23EC156D66EB115AC"/>
    <x v="136"/>
    <s v="OUTROS ESTABELECIMENTOS"/>
    <x v="10"/>
    <s v="NÃO SE APLICA"/>
    <s v="VIOLÊNCIA CONTRA CIDADÃO, FAMÍLIA OU COMUNIDADE"/>
    <s v="DIRETOR(A) DE ESCOLA"/>
    <x v="0"/>
    <x v="6"/>
    <s v="CE"/>
    <x v="2"/>
    <x v="3"/>
    <x v="3"/>
    <s v="NULL"/>
    <x v="1"/>
    <x v="0"/>
    <s v="NÃO INFORMADO"/>
    <s v="CE"/>
    <s v="AGNÓSTICO/ATEU/SEM RELIGIÃO"/>
    <x v="1"/>
    <s v="EDUCAÇÃO"/>
    <x v="0"/>
    <x v="5"/>
  </r>
  <r>
    <s v="B502A0A2F752409DBA8BB0829894A646929D52DD4C81EB52761CC7E426E0D192"/>
    <x v="136"/>
    <s v="OUTROS ESTABELECIMENTOS"/>
    <x v="2"/>
    <s v="NÃO SABE INFORMAR"/>
    <s v="VIOLÊNCIA CONTRA CIDADÃO, FAMÍLIA OU COMUNIDADE"/>
    <s v="OUTROS"/>
    <x v="1"/>
    <x v="7"/>
    <s v="RJ"/>
    <x v="0"/>
    <x v="0"/>
    <x v="1"/>
    <s v="NULL"/>
    <x v="0"/>
    <x v="0"/>
    <s v="NÃO INFORMADO"/>
    <s v="RJ"/>
    <s v="AGNÓSTICO/ATEU/SEM RELIGIÃO"/>
    <x v="1"/>
    <s v="NULL"/>
    <x v="0"/>
    <x v="5"/>
  </r>
  <r>
    <s v="B502A0A2F752409DBA8BB0829894A646929D52DD4C81EB52761CC7E426E0D192"/>
    <x v="136"/>
    <s v="OUTROS ESTABELECIMENTOS"/>
    <x v="2"/>
    <s v="NÃO SABE INFORMAR"/>
    <s v="VIOLÊNCIA CONTRA CIDADÃO, FAMÍLIA OU COMUNIDADE"/>
    <s v="OUTROS"/>
    <x v="1"/>
    <x v="7"/>
    <s v="RJ"/>
    <x v="0"/>
    <x v="0"/>
    <x v="1"/>
    <s v="NULL"/>
    <x v="0"/>
    <x v="0"/>
    <s v="NÃO INFORMADO"/>
    <s v="RJ"/>
    <s v="AGNÓSTICO/ATEU/SEM RELIGIÃO"/>
    <x v="1"/>
    <s v="NULL"/>
    <x v="2"/>
    <x v="5"/>
  </r>
  <r>
    <s v="8E285E61ADEA32B69DD40DFD989FC8FE7646ED063DE691B11740B3ACCC94043B"/>
    <x v="136"/>
    <s v="OUTROS ESTABELECIMENTOS"/>
    <x v="17"/>
    <s v="NÃO SE APLICA"/>
    <s v="VIOLÊNCIA CONTRA CIDADÃO, FAMÍLIA OU COMUNIDADE"/>
    <s v="OUTROS"/>
    <x v="0"/>
    <x v="2"/>
    <s v="PA"/>
    <x v="0"/>
    <x v="0"/>
    <x v="0"/>
    <s v="NULL"/>
    <x v="1"/>
    <x v="0"/>
    <s v="NÃO INFORMADO"/>
    <s v="PA"/>
    <s v="AGNÓSTICO/ATEU/SEM RELIGIÃO"/>
    <x v="1"/>
    <s v="PODER EXECUTIVO EM GERAL - MUNICIPAL"/>
    <x v="0"/>
    <x v="5"/>
  </r>
  <r>
    <s v="8E285E61ADEA32B69DD40DFD989FC8FE7646ED063DE691B11740B3ACCC94043B"/>
    <x v="136"/>
    <s v="OUTROS ESTABELECIMENTOS"/>
    <x v="17"/>
    <s v="NÃO SE APLICA"/>
    <s v="VIOLÊNCIA CONTRA CIDADÃO, FAMÍLIA OU COMUNIDADE"/>
    <s v="OUTROS"/>
    <x v="0"/>
    <x v="2"/>
    <s v="PA"/>
    <x v="0"/>
    <x v="0"/>
    <x v="0"/>
    <s v="NULL"/>
    <x v="1"/>
    <x v="0"/>
    <s v="NÃO INFORMADO"/>
    <s v="PA"/>
    <s v="AGNÓSTICO/ATEU/SEM RELIGIÃO"/>
    <x v="1"/>
    <s v="PODER EXECUTIVO EM GERAL - MUNICIPAL"/>
    <x v="2"/>
    <x v="5"/>
  </r>
  <r>
    <s v="19EAD68ED3ED79E4CEC536BFEA40B44062DEE4CAB8DD9C8100BFD2ED3EFF25B9"/>
    <x v="137"/>
    <s v="CASA ONDE RESIDE A VÍTIMA E O SUSPEITO"/>
    <x v="3"/>
    <s v="HÁ MAIS DE CINCO ANOS"/>
    <s v="VIOLÊNCIA CONTRA CIDADÃO, FAMÍLIA OU COMUNIDADE"/>
    <s v="MÃE"/>
    <x v="0"/>
    <x v="3"/>
    <s v="BA"/>
    <x v="0"/>
    <x v="0"/>
    <x v="3"/>
    <s v="NULL"/>
    <x v="2"/>
    <x v="1"/>
    <s v="NÃO INFORMADO"/>
    <s v="BA"/>
    <s v="AGNÓSTICO/ATEU/SEM RELIGIÃO"/>
    <x v="2"/>
    <s v="NULL"/>
    <x v="1"/>
    <x v="5"/>
  </r>
  <r>
    <s v="ABBCDA1FE500845426FD9F5C42A62DD5C86E7BD6AA54A9045894F4A303997FE2"/>
    <x v="137"/>
    <s v="OUTROS ESTABELECIMENTOS"/>
    <x v="15"/>
    <s v="HÁ MAIS DE UM ANO"/>
    <s v="VIOLÊNCIA CONTRA CIDADÃO, FAMÍLIA OU COMUNIDADE"/>
    <s v="OUTROS"/>
    <x v="1"/>
    <x v="2"/>
    <s v="PR"/>
    <x v="0"/>
    <x v="0"/>
    <x v="1"/>
    <s v="NULL"/>
    <x v="2"/>
    <x v="0"/>
    <s v="NÃO INFORMADO"/>
    <s v="PR"/>
    <s v="AGNÓSTICO/ATEU/SEM RELIGIÃO"/>
    <x v="0"/>
    <s v="NULL"/>
    <x v="0"/>
    <x v="5"/>
  </r>
  <r>
    <s v="ABBCDA1FE500845426FD9F5C42A62DD5C86E7BD6AA54A9045894F4A303997FE2"/>
    <x v="137"/>
    <s v="OUTROS ESTABELECIMENTOS"/>
    <x v="15"/>
    <s v="HÁ MAIS DE UM ANO"/>
    <s v="VIOLÊNCIA CONTRA CIDADÃO, FAMÍLIA OU COMUNIDADE"/>
    <s v="OUTROS"/>
    <x v="1"/>
    <x v="2"/>
    <s v="PR"/>
    <x v="0"/>
    <x v="0"/>
    <x v="1"/>
    <s v="NULL"/>
    <x v="2"/>
    <x v="0"/>
    <s v="NÃO INFORMADO"/>
    <s v="PR"/>
    <s v="AGNÓSTICO/ATEU/SEM RELIGIÃO"/>
    <x v="0"/>
    <s v="NULL"/>
    <x v="2"/>
    <x v="5"/>
  </r>
  <r>
    <s v="ABBCDA1FE500845426FD9F5C42A62DD5C86E7BD6AA54A9045894F4A303997FE2"/>
    <x v="137"/>
    <s v="OUTROS ESTABELECIMENTOS"/>
    <x v="15"/>
    <s v="HÁ MAIS DE UM ANO"/>
    <s v="VIOLÊNCIA CONTRA CIDADÃO, FAMÍLIA OU COMUNIDADE"/>
    <s v="OUTROS"/>
    <x v="1"/>
    <x v="2"/>
    <s v="PR"/>
    <x v="0"/>
    <x v="0"/>
    <x v="1"/>
    <s v="NULL"/>
    <x v="2"/>
    <x v="0"/>
    <s v="NÃO INFORMADO"/>
    <s v="PR"/>
    <s v="AGNÓSTICO/ATEU/SEM RELIGIÃO"/>
    <x v="0"/>
    <s v="NULL"/>
    <x v="1"/>
    <x v="5"/>
  </r>
  <r>
    <s v="8DD121BFA4D273A599C0217B58B404C4581BCBB6E1E4E6DA66675CBB22CF43E8"/>
    <x v="138"/>
    <s v="OUTROS ESTABELECIMENTOS"/>
    <x v="4"/>
    <s v="HÁ UM MÊS"/>
    <s v="VIOLÊNCIA CONTRA CIDADÃO, FAMÍLIA OU COMUNIDADE"/>
    <s v="MÃE"/>
    <x v="0"/>
    <x v="2"/>
    <s v="MG"/>
    <x v="0"/>
    <x v="0"/>
    <x v="2"/>
    <s v="NULL"/>
    <x v="1"/>
    <x v="0"/>
    <s v="NÃO INFORMADO"/>
    <s v="MG"/>
    <s v="AGNÓSTICO/ATEU/SEM RELIGIÃO"/>
    <x v="1"/>
    <s v="SAÚDE HUMANA E SERVIÇOS SOCIAIS"/>
    <x v="1"/>
    <x v="5"/>
  </r>
  <r>
    <s v="C1C30118C029A096A181EA3AD49337601E628192F92C21E44C8B664E2C8E0581"/>
    <x v="139"/>
    <s v="OUTROS ESTABELECIMENTOS"/>
    <x v="23"/>
    <s v="NÃO SE APLICA"/>
    <s v="VIOLÊNCIA CONTRA CIDADÃO, FAMÍLIA OU COMUNIDADE"/>
    <s v="DIRETOR(A) DE UNIDADE PRISIONAL"/>
    <x v="0"/>
    <x v="6"/>
    <s v="SE"/>
    <x v="0"/>
    <x v="0"/>
    <x v="3"/>
    <s v="NULL"/>
    <x v="1"/>
    <x v="0"/>
    <s v="NÃO INFORMADO"/>
    <s v="SE"/>
    <s v="AGNÓSTICO/ATEU/SEM RELIGIÃO"/>
    <x v="1"/>
    <s v="SEGURANÇA PÚBLICA, FORÇAS ARMADAS, DEFESA CIVIL, BOMBEIROS E ASSEMELHADOS ? MUNICIPAL"/>
    <x v="0"/>
    <x v="5"/>
  </r>
  <r>
    <s v="48F69FF1A6CD47024C80D851991FB707AFA1133F59CA20E842CE19863F1E427B"/>
    <x v="140"/>
    <s v="CASA DO SUSPEITO"/>
    <x v="1"/>
    <s v="HÁ MAIS DE UM ANO"/>
    <s v="VIOLÊNCIA CONTRA CIDADÃO, FAMÍLIA OU COMUNIDADE"/>
    <s v="VIZINHO(A)"/>
    <x v="0"/>
    <x v="4"/>
    <s v="SP"/>
    <x v="0"/>
    <x v="3"/>
    <x v="4"/>
    <s v="NULL"/>
    <x v="2"/>
    <x v="2"/>
    <s v="NÃO"/>
    <s v="SP"/>
    <s v="EVANGÉLICA"/>
    <x v="2"/>
    <s v="NULL"/>
    <x v="0"/>
    <x v="5"/>
  </r>
  <r>
    <s v="48F69FF1A6CD47024C80D851991FB707AFA1133F59CA20E842CE19863F1E427B"/>
    <x v="140"/>
    <s v="CASA DO SUSPEITO"/>
    <x v="1"/>
    <s v="HÁ MAIS DE UM ANO"/>
    <s v="VIOLÊNCIA CONTRA CIDADÃO, FAMÍLIA OU COMUNIDADE"/>
    <s v="VIZINHO(A)"/>
    <x v="0"/>
    <x v="4"/>
    <s v="SP"/>
    <x v="0"/>
    <x v="3"/>
    <x v="4"/>
    <s v="NULL"/>
    <x v="2"/>
    <x v="2"/>
    <s v="NÃO"/>
    <s v="SP"/>
    <s v="EVANGÉLICA"/>
    <x v="2"/>
    <s v="NULL"/>
    <x v="2"/>
    <x v="5"/>
  </r>
  <r>
    <s v="6B9F5C16D582B15E5688CE6E915C2D19FA59E2CB7B170BC8FE74DA03F3056F18"/>
    <x v="140"/>
    <s v="CASA DO SUSPEITO"/>
    <x v="1"/>
    <s v="HÁ MAIS DE UM ANO"/>
    <s v="VIOLÊNCIA CONTRA CIDADÃO, FAMÍLIA OU COMUNIDADE"/>
    <s v="VIZINHO(A)"/>
    <x v="0"/>
    <x v="4"/>
    <s v="SP"/>
    <x v="0"/>
    <x v="3"/>
    <x v="4"/>
    <s v="NULL"/>
    <x v="0"/>
    <x v="6"/>
    <s v="NÃO"/>
    <s v="SP"/>
    <s v="EVANGÉLICA"/>
    <x v="2"/>
    <s v="NULL"/>
    <x v="0"/>
    <x v="5"/>
  </r>
  <r>
    <s v="6B9F5C16D582B15E5688CE6E915C2D19FA59E2CB7B170BC8FE74DA03F3056F18"/>
    <x v="140"/>
    <s v="CASA DO SUSPEITO"/>
    <x v="1"/>
    <s v="HÁ MAIS DE UM ANO"/>
    <s v="VIOLÊNCIA CONTRA CIDADÃO, FAMÍLIA OU COMUNIDADE"/>
    <s v="VIZINHO(A)"/>
    <x v="0"/>
    <x v="4"/>
    <s v="SP"/>
    <x v="0"/>
    <x v="3"/>
    <x v="4"/>
    <s v="NULL"/>
    <x v="0"/>
    <x v="6"/>
    <s v="NÃO"/>
    <s v="SP"/>
    <s v="EVANGÉLICA"/>
    <x v="2"/>
    <s v="NULL"/>
    <x v="2"/>
    <x v="5"/>
  </r>
  <r>
    <s v="4FFF148401E54737CE83C8797990DE23F403B1F96366703FB440D781B975369E"/>
    <x v="140"/>
    <s v="CASA DA VÍTIMA"/>
    <x v="3"/>
    <s v="NÃO SABE INFORMAR"/>
    <s v="VIOLÊNCIA CONTRA CIDADÃO, FAMÍLIA OU COMUNIDADE"/>
    <s v="OUTROS"/>
    <x v="1"/>
    <x v="8"/>
    <s v="BA"/>
    <x v="0"/>
    <x v="3"/>
    <x v="1"/>
    <s v="NULL"/>
    <x v="1"/>
    <x v="0"/>
    <s v="NÃO INFORMADO"/>
    <s v="BA"/>
    <s v="AGNÓSTICO/ATEU/SEM RELIGIÃO"/>
    <x v="1"/>
    <s v="PODER EXECUTIVO EM GERAL ? ESTADUAL/DISTRITO FEDERAL"/>
    <x v="0"/>
    <x v="5"/>
  </r>
  <r>
    <s v="4FFF148401E54737CE83C8797990DE23F403B1F96366703FB440D781B975369E"/>
    <x v="140"/>
    <s v="CASA DA VÍTIMA"/>
    <x v="3"/>
    <s v="NÃO SABE INFORMAR"/>
    <s v="VIOLÊNCIA CONTRA CIDADÃO, FAMÍLIA OU COMUNIDADE"/>
    <s v="OUTROS"/>
    <x v="1"/>
    <x v="8"/>
    <s v="BA"/>
    <x v="0"/>
    <x v="3"/>
    <x v="1"/>
    <s v="NULL"/>
    <x v="1"/>
    <x v="0"/>
    <s v="NÃO INFORMADO"/>
    <s v="BA"/>
    <s v="AGNÓSTICO/ATEU/SEM RELIGIÃO"/>
    <x v="1"/>
    <s v="PODER EXECUTIVO EM GERAL ? ESTADUAL/DISTRITO FEDERAL"/>
    <x v="2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49EAF6-811E-4F14-9E80-6D52A7B669A2}" name="Tabela dinâmica10" cacheId="1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B146" firstHeaderRow="1" firstDataRow="1" firstDataCol="1" rowPageCount="1" colPageCount="1"/>
  <pivotFields count="25">
    <pivotField dataField="1" showAll="0"/>
    <pivotField axis="axisRow" numFmtId="14" showAll="0">
      <items count="182">
        <item x="0"/>
        <item m="1" x="141"/>
        <item x="1"/>
        <item m="1" x="142"/>
        <item x="2"/>
        <item x="3"/>
        <item m="1" x="143"/>
        <item x="4"/>
        <item x="5"/>
        <item x="6"/>
        <item x="7"/>
        <item x="8"/>
        <item x="9"/>
        <item m="1" x="144"/>
        <item x="10"/>
        <item x="11"/>
        <item x="12"/>
        <item x="13"/>
        <item m="1" x="145"/>
        <item x="14"/>
        <item x="15"/>
        <item x="16"/>
        <item x="17"/>
        <item x="18"/>
        <item x="19"/>
        <item m="1" x="146"/>
        <item x="20"/>
        <item x="21"/>
        <item x="22"/>
        <item x="23"/>
        <item x="24"/>
        <item x="25"/>
        <item m="1" x="147"/>
        <item x="26"/>
        <item x="27"/>
        <item x="28"/>
        <item x="29"/>
        <item x="30"/>
        <item x="31"/>
        <item x="32"/>
        <item m="1" x="148"/>
        <item x="33"/>
        <item x="34"/>
        <item x="35"/>
        <item m="1" x="149"/>
        <item x="36"/>
        <item x="37"/>
        <item m="1" x="150"/>
        <item x="38"/>
        <item x="39"/>
        <item x="40"/>
        <item x="41"/>
        <item m="1" x="151"/>
        <item x="42"/>
        <item x="43"/>
        <item x="44"/>
        <item x="45"/>
        <item m="1" x="152"/>
        <item m="1" x="153"/>
        <item m="1" x="154"/>
        <item x="46"/>
        <item x="47"/>
        <item m="1" x="155"/>
        <item m="1" x="156"/>
        <item x="48"/>
        <item x="49"/>
        <item m="1" x="157"/>
        <item m="1" x="158"/>
        <item m="1" x="159"/>
        <item x="50"/>
        <item m="1" x="160"/>
        <item m="1" x="161"/>
        <item x="51"/>
        <item x="52"/>
        <item m="1" x="162"/>
        <item x="53"/>
        <item x="54"/>
        <item m="1" x="163"/>
        <item x="55"/>
        <item m="1" x="16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m="1" x="165"/>
        <item x="71"/>
        <item x="72"/>
        <item x="73"/>
        <item m="1" x="166"/>
        <item x="74"/>
        <item x="75"/>
        <item x="76"/>
        <item x="77"/>
        <item x="78"/>
        <item x="79"/>
        <item x="80"/>
        <item x="81"/>
        <item m="1" x="167"/>
        <item x="82"/>
        <item x="83"/>
        <item x="84"/>
        <item m="1" x="168"/>
        <item x="85"/>
        <item x="86"/>
        <item x="87"/>
        <item m="1" x="169"/>
        <item x="88"/>
        <item x="89"/>
        <item x="90"/>
        <item m="1" x="170"/>
        <item x="91"/>
        <item m="1" x="171"/>
        <item m="1" x="172"/>
        <item x="92"/>
        <item x="93"/>
        <item x="94"/>
        <item x="95"/>
        <item x="96"/>
        <item x="97"/>
        <item x="98"/>
        <item x="99"/>
        <item x="100"/>
        <item x="101"/>
        <item x="102"/>
        <item m="1" x="173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m="1" x="174"/>
        <item m="1" x="175"/>
        <item m="1" x="176"/>
        <item x="116"/>
        <item m="1" x="177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m="1" x="178"/>
        <item x="133"/>
        <item m="1" x="179"/>
        <item x="134"/>
        <item m="1" x="180"/>
        <item x="135"/>
        <item x="136"/>
        <item x="137"/>
        <item x="138"/>
        <item x="139"/>
        <item x="1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m="1" x="64"/>
        <item h="1" m="1" x="96"/>
        <item h="1" m="1" x="28"/>
        <item h="1" m="1" x="77"/>
        <item h="1" m="1" x="109"/>
        <item h="1" m="1" x="100"/>
        <item h="1" m="1" x="91"/>
        <item h="1" m="1" x="63"/>
        <item h="1" m="1" x="67"/>
        <item h="1" m="1" x="101"/>
        <item h="1" m="1" x="98"/>
        <item h="1" m="1" x="108"/>
        <item h="1" m="1" x="48"/>
        <item h="1" m="1" x="26"/>
        <item h="1" m="1" x="85"/>
        <item h="1" m="1" x="51"/>
        <item h="1" m="1" x="68"/>
        <item h="1" m="1" x="50"/>
        <item h="1" m="1" x="84"/>
        <item h="1" m="1" x="30"/>
        <item h="1" m="1" x="32"/>
        <item h="1" m="1" x="49"/>
        <item h="1" m="1" x="15"/>
        <item h="1" m="1" x="79"/>
        <item h="1" m="1" x="106"/>
        <item h="1" m="1" x="46"/>
        <item h="1" m="1" x="93"/>
        <item h="1" m="1" x="74"/>
        <item h="1" m="1" x="65"/>
        <item h="1" m="1" x="66"/>
        <item h="1" m="1" x="88"/>
        <item h="1" m="1" x="13"/>
        <item h="1" m="1" x="53"/>
        <item h="1" m="1" x="52"/>
        <item h="1" m="1" x="29"/>
        <item h="1" m="1" x="6"/>
        <item h="1" m="1" x="12"/>
        <item h="1" m="1" x="62"/>
        <item h="1" m="1" x="25"/>
        <item h="1" m="1" x="19"/>
        <item h="1" m="1" x="4"/>
        <item h="1" m="1" x="23"/>
        <item h="1" m="1" x="76"/>
        <item h="1" m="1" x="16"/>
        <item h="1" m="1" x="3"/>
        <item h="1" m="1" x="34"/>
        <item h="1" m="1" x="81"/>
        <item h="1" m="1" x="9"/>
        <item h="1" m="1" x="86"/>
        <item h="1" m="1" x="7"/>
        <item h="1" m="1" x="20"/>
        <item h="1" m="1" x="35"/>
        <item h="1" m="1" x="11"/>
        <item h="1" m="1" x="5"/>
        <item h="1" m="1" x="8"/>
        <item h="1" m="1" x="17"/>
        <item h="1" m="1" x="72"/>
        <item h="1" m="1" x="10"/>
        <item h="1" m="1" x="27"/>
        <item h="1" m="1" x="14"/>
        <item x="0"/>
        <item x="2"/>
        <item x="1"/>
        <item h="1" m="1" x="36"/>
        <item h="1" m="1" x="55"/>
        <item h="1" m="1" x="80"/>
        <item h="1" m="1" x="40"/>
        <item h="1" m="1" x="22"/>
        <item h="1" m="1" x="24"/>
        <item h="1" m="1" x="37"/>
        <item h="1" m="1" x="110"/>
        <item h="1" m="1" x="104"/>
        <item h="1" m="1" x="87"/>
        <item h="1" m="1" x="47"/>
        <item h="1" m="1" x="75"/>
        <item h="1" m="1" x="73"/>
        <item h="1" m="1" x="78"/>
        <item h="1" m="1" x="21"/>
        <item h="1" m="1" x="38"/>
        <item h="1" m="1" x="39"/>
        <item h="1" m="1" x="89"/>
        <item h="1" m="1" x="114"/>
        <item h="1" m="1" x="113"/>
        <item h="1" m="1" x="115"/>
        <item h="1" m="1" x="112"/>
        <item h="1" m="1" x="102"/>
        <item h="1" m="1" x="107"/>
        <item h="1" m="1" x="54"/>
        <item h="1" m="1" x="56"/>
        <item h="1" m="1" x="105"/>
        <item h="1" m="1" x="18"/>
        <item h="1" m="1" x="83"/>
        <item h="1" m="1" x="99"/>
        <item h="1" m="1" x="103"/>
        <item h="1" m="1" x="45"/>
        <item h="1" m="1" x="97"/>
        <item h="1" m="1" x="59"/>
        <item h="1" m="1" x="70"/>
        <item h="1" m="1" x="95"/>
        <item h="1" m="1" x="60"/>
        <item h="1" m="1" x="57"/>
        <item h="1" m="1" x="69"/>
        <item h="1" m="1" x="94"/>
        <item h="1" m="1" x="44"/>
        <item h="1" m="1" x="82"/>
        <item h="1" m="1" x="42"/>
        <item h="1" m="1" x="43"/>
        <item h="1" m="1" x="41"/>
        <item h="1" m="1" x="61"/>
        <item h="1" m="1" x="92"/>
        <item h="1" m="1" x="111"/>
        <item h="1" m="1" x="58"/>
        <item h="1" m="1" x="71"/>
        <item h="1" m="1" x="90"/>
        <item h="1" m="1" x="31"/>
        <item h="1" m="1" x="33"/>
        <item t="default"/>
      </items>
    </pivotField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23"/>
    <field x="1"/>
  </rowFields>
  <rowItems count="142">
    <i>
      <x v="1"/>
    </i>
    <i>
      <x v="3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>
      <x v="18"/>
    </i>
    <i>
      <x v="20"/>
    </i>
    <i>
      <x v="21"/>
    </i>
    <i>
      <x v="22"/>
    </i>
    <i>
      <x v="23"/>
    </i>
    <i>
      <x v="24"/>
    </i>
    <i>
      <x v="25"/>
    </i>
    <i>
      <x v="27"/>
    </i>
    <i>
      <x v="28"/>
    </i>
    <i>
      <x v="29"/>
    </i>
    <i>
      <x v="30"/>
    </i>
    <i>
      <x v="31"/>
    </i>
    <i>
      <x v="32"/>
    </i>
    <i>
      <x v="34"/>
    </i>
    <i>
      <x v="35"/>
    </i>
    <i>
      <x v="36"/>
    </i>
    <i>
      <x v="37"/>
    </i>
    <i>
      <x v="38"/>
    </i>
    <i>
      <x v="39"/>
    </i>
    <i>
      <x v="40"/>
    </i>
    <i>
      <x v="42"/>
    </i>
    <i>
      <x v="43"/>
    </i>
    <i>
      <x v="44"/>
    </i>
    <i>
      <x v="46"/>
    </i>
    <i>
      <x v="47"/>
    </i>
    <i>
      <x v="49"/>
    </i>
    <i>
      <x v="50"/>
    </i>
    <i>
      <x v="51"/>
    </i>
    <i>
      <x v="52"/>
    </i>
    <i>
      <x v="54"/>
    </i>
    <i>
      <x v="55"/>
    </i>
    <i>
      <x v="56"/>
    </i>
    <i>
      <x v="57"/>
    </i>
    <i>
      <x v="62"/>
    </i>
    <i>
      <x v="63"/>
    </i>
    <i>
      <x v="66"/>
    </i>
    <i>
      <x v="67"/>
    </i>
    <i>
      <x v="71"/>
    </i>
    <i>
      <x v="74"/>
    </i>
    <i>
      <x v="75"/>
    </i>
    <i>
      <x v="77"/>
    </i>
    <i>
      <x v="78"/>
    </i>
    <i>
      <x v="80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8"/>
    </i>
    <i>
      <x v="99"/>
    </i>
    <i>
      <x v="100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1"/>
    </i>
    <i>
      <x v="112"/>
    </i>
    <i>
      <x v="113"/>
    </i>
    <i>
      <x v="115"/>
    </i>
    <i>
      <x v="116"/>
    </i>
    <i>
      <x v="117"/>
    </i>
    <i>
      <x v="119"/>
    </i>
    <i>
      <x v="120"/>
    </i>
    <i>
      <x v="121"/>
    </i>
    <i>
      <x v="123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4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3"/>
    </i>
    <i>
      <x v="175"/>
    </i>
    <i>
      <x v="177"/>
    </i>
    <i>
      <x v="178"/>
    </i>
    <i>
      <x v="179"/>
    </i>
    <i>
      <x v="180"/>
    </i>
    <i>
      <x v="181"/>
    </i>
    <i>
      <x v="182"/>
    </i>
    <i t="grand">
      <x/>
    </i>
  </rowItems>
  <colItems count="1">
    <i/>
  </colItems>
  <pageFields count="1">
    <pageField fld="21" hier="-1"/>
  </pageFields>
  <dataFields count="1">
    <dataField name="Contagem de hash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CF4762-940D-4C0B-848C-BF7545D8247F}" name="Tabela dinâmica21" cacheId="1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H144" firstHeaderRow="1" firstDataRow="2" firstDataCol="1"/>
  <pivotFields count="25">
    <pivotField dataField="1" showAll="0"/>
    <pivotField numFmtId="14" showAll="0">
      <items count="182">
        <item x="0"/>
        <item m="1" x="141"/>
        <item x="1"/>
        <item m="1" x="142"/>
        <item x="2"/>
        <item x="3"/>
        <item m="1" x="143"/>
        <item x="4"/>
        <item x="5"/>
        <item x="6"/>
        <item x="7"/>
        <item x="8"/>
        <item x="9"/>
        <item m="1" x="144"/>
        <item x="10"/>
        <item x="11"/>
        <item x="12"/>
        <item x="13"/>
        <item m="1" x="145"/>
        <item x="14"/>
        <item x="15"/>
        <item x="16"/>
        <item x="17"/>
        <item x="18"/>
        <item x="19"/>
        <item m="1" x="146"/>
        <item x="20"/>
        <item x="21"/>
        <item x="22"/>
        <item x="23"/>
        <item x="24"/>
        <item x="25"/>
        <item m="1" x="147"/>
        <item x="26"/>
        <item x="27"/>
        <item x="28"/>
        <item x="29"/>
        <item x="30"/>
        <item x="31"/>
        <item x="32"/>
        <item m="1" x="148"/>
        <item x="33"/>
        <item x="34"/>
        <item x="35"/>
        <item m="1" x="149"/>
        <item x="36"/>
        <item x="37"/>
        <item m="1" x="150"/>
        <item x="38"/>
        <item x="39"/>
        <item x="40"/>
        <item x="41"/>
        <item m="1" x="151"/>
        <item x="42"/>
        <item x="43"/>
        <item x="44"/>
        <item x="45"/>
        <item m="1" x="152"/>
        <item m="1" x="153"/>
        <item m="1" x="154"/>
        <item x="46"/>
        <item x="47"/>
        <item m="1" x="155"/>
        <item m="1" x="156"/>
        <item x="48"/>
        <item x="49"/>
        <item m="1" x="157"/>
        <item m="1" x="158"/>
        <item m="1" x="159"/>
        <item x="50"/>
        <item m="1" x="160"/>
        <item m="1" x="161"/>
        <item x="51"/>
        <item x="52"/>
        <item m="1" x="162"/>
        <item x="53"/>
        <item x="54"/>
        <item m="1" x="163"/>
        <item x="55"/>
        <item m="1" x="16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m="1" x="165"/>
        <item x="71"/>
        <item x="72"/>
        <item x="73"/>
        <item m="1" x="166"/>
        <item x="74"/>
        <item x="75"/>
        <item x="76"/>
        <item x="77"/>
        <item x="78"/>
        <item x="79"/>
        <item x="80"/>
        <item x="81"/>
        <item m="1" x="167"/>
        <item x="82"/>
        <item x="83"/>
        <item x="84"/>
        <item m="1" x="168"/>
        <item x="85"/>
        <item x="86"/>
        <item x="87"/>
        <item m="1" x="169"/>
        <item x="88"/>
        <item x="89"/>
        <item x="90"/>
        <item m="1" x="170"/>
        <item x="91"/>
        <item m="1" x="171"/>
        <item m="1" x="172"/>
        <item x="92"/>
        <item x="93"/>
        <item x="94"/>
        <item x="95"/>
        <item x="96"/>
        <item x="97"/>
        <item x="98"/>
        <item x="99"/>
        <item x="100"/>
        <item x="101"/>
        <item x="102"/>
        <item m="1" x="173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m="1" x="174"/>
        <item m="1" x="175"/>
        <item m="1" x="176"/>
        <item x="116"/>
        <item m="1" x="177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m="1" x="178"/>
        <item x="133"/>
        <item m="1" x="179"/>
        <item x="134"/>
        <item m="1" x="180"/>
        <item x="135"/>
        <item x="136"/>
        <item x="137"/>
        <item x="138"/>
        <item x="139"/>
        <item x="1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outline="0" showAll="0" defaultSubtotal="0">
      <items count="12">
        <item m="1" x="6"/>
        <item m="1" x="7"/>
        <item m="1" x="8"/>
        <item m="1" x="9"/>
        <item m="1" x="10"/>
        <item m="1" x="11"/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x="1"/>
        <item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3"/>
  </rowFields>
  <rowItems count="142">
    <i>
      <x v="1"/>
    </i>
    <i>
      <x v="3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>
      <x v="18"/>
    </i>
    <i>
      <x v="20"/>
    </i>
    <i>
      <x v="21"/>
    </i>
    <i>
      <x v="22"/>
    </i>
    <i>
      <x v="23"/>
    </i>
    <i>
      <x v="24"/>
    </i>
    <i>
      <x v="25"/>
    </i>
    <i>
      <x v="27"/>
    </i>
    <i>
      <x v="28"/>
    </i>
    <i>
      <x v="29"/>
    </i>
    <i>
      <x v="30"/>
    </i>
    <i>
      <x v="31"/>
    </i>
    <i>
      <x v="32"/>
    </i>
    <i>
      <x v="34"/>
    </i>
    <i>
      <x v="35"/>
    </i>
    <i>
      <x v="36"/>
    </i>
    <i>
      <x v="37"/>
    </i>
    <i>
      <x v="38"/>
    </i>
    <i>
      <x v="39"/>
    </i>
    <i>
      <x v="40"/>
    </i>
    <i>
      <x v="42"/>
    </i>
    <i>
      <x v="43"/>
    </i>
    <i>
      <x v="44"/>
    </i>
    <i>
      <x v="46"/>
    </i>
    <i>
      <x v="47"/>
    </i>
    <i>
      <x v="49"/>
    </i>
    <i>
      <x v="50"/>
    </i>
    <i>
      <x v="51"/>
    </i>
    <i>
      <x v="52"/>
    </i>
    <i>
      <x v="54"/>
    </i>
    <i>
      <x v="55"/>
    </i>
    <i>
      <x v="56"/>
    </i>
    <i>
      <x v="57"/>
    </i>
    <i>
      <x v="62"/>
    </i>
    <i>
      <x v="63"/>
    </i>
    <i>
      <x v="66"/>
    </i>
    <i>
      <x v="67"/>
    </i>
    <i>
      <x v="71"/>
    </i>
    <i>
      <x v="74"/>
    </i>
    <i>
      <x v="75"/>
    </i>
    <i>
      <x v="77"/>
    </i>
    <i>
      <x v="78"/>
    </i>
    <i>
      <x v="80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8"/>
    </i>
    <i>
      <x v="99"/>
    </i>
    <i>
      <x v="100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1"/>
    </i>
    <i>
      <x v="112"/>
    </i>
    <i>
      <x v="113"/>
    </i>
    <i>
      <x v="115"/>
    </i>
    <i>
      <x v="116"/>
    </i>
    <i>
      <x v="117"/>
    </i>
    <i>
      <x v="119"/>
    </i>
    <i>
      <x v="120"/>
    </i>
    <i>
      <x v="121"/>
    </i>
    <i>
      <x v="123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4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3"/>
    </i>
    <i>
      <x v="175"/>
    </i>
    <i>
      <x v="177"/>
    </i>
    <i>
      <x v="178"/>
    </i>
    <i>
      <x v="179"/>
    </i>
    <i>
      <x v="180"/>
    </i>
    <i>
      <x v="181"/>
    </i>
    <i>
      <x v="182"/>
    </i>
    <i t="grand">
      <x/>
    </i>
  </rowItems>
  <colFields count="1">
    <field x="22"/>
  </colFields>
  <colItems count="7"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Contagem de hash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9D12D-9B5F-4D50-B3AB-C0FA1D99BDB1}" name="Tabela dinâmica5" cacheId="1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4">
  <location ref="A3:B13" firstHeaderRow="1" firstDataRow="1" firstDataCol="1" rowPageCount="1" colPageCount="1"/>
  <pivotFields count="25">
    <pivotField dataField="1" showAll="0"/>
    <pivotField numFmtId="14" showAll="0">
      <items count="182">
        <item x="0"/>
        <item m="1" x="141"/>
        <item x="1"/>
        <item m="1" x="142"/>
        <item x="2"/>
        <item x="3"/>
        <item m="1" x="143"/>
        <item x="4"/>
        <item x="5"/>
        <item x="6"/>
        <item x="7"/>
        <item x="8"/>
        <item x="9"/>
        <item m="1" x="144"/>
        <item x="10"/>
        <item x="11"/>
        <item x="12"/>
        <item x="13"/>
        <item m="1" x="145"/>
        <item x="14"/>
        <item x="15"/>
        <item x="16"/>
        <item x="17"/>
        <item x="18"/>
        <item x="19"/>
        <item m="1" x="146"/>
        <item x="20"/>
        <item x="21"/>
        <item x="22"/>
        <item x="23"/>
        <item x="24"/>
        <item x="25"/>
        <item m="1" x="147"/>
        <item x="26"/>
        <item x="27"/>
        <item x="28"/>
        <item x="29"/>
        <item x="30"/>
        <item x="31"/>
        <item x="32"/>
        <item m="1" x="148"/>
        <item x="33"/>
        <item x="34"/>
        <item x="35"/>
        <item m="1" x="149"/>
        <item x="36"/>
        <item x="37"/>
        <item m="1" x="150"/>
        <item x="38"/>
        <item x="39"/>
        <item x="40"/>
        <item x="41"/>
        <item m="1" x="151"/>
        <item x="42"/>
        <item x="43"/>
        <item x="44"/>
        <item x="45"/>
        <item m="1" x="152"/>
        <item m="1" x="153"/>
        <item m="1" x="154"/>
        <item x="46"/>
        <item x="47"/>
        <item m="1" x="155"/>
        <item m="1" x="156"/>
        <item x="48"/>
        <item x="49"/>
        <item m="1" x="157"/>
        <item m="1" x="158"/>
        <item m="1" x="159"/>
        <item x="50"/>
        <item m="1" x="160"/>
        <item m="1" x="161"/>
        <item x="51"/>
        <item x="52"/>
        <item m="1" x="162"/>
        <item x="53"/>
        <item x="54"/>
        <item m="1" x="163"/>
        <item x="55"/>
        <item m="1" x="16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m="1" x="165"/>
        <item x="71"/>
        <item x="72"/>
        <item x="73"/>
        <item m="1" x="166"/>
        <item x="74"/>
        <item x="75"/>
        <item x="76"/>
        <item x="77"/>
        <item x="78"/>
        <item x="79"/>
        <item x="80"/>
        <item x="81"/>
        <item m="1" x="167"/>
        <item x="82"/>
        <item x="83"/>
        <item x="84"/>
        <item m="1" x="168"/>
        <item x="85"/>
        <item x="86"/>
        <item x="87"/>
        <item m="1" x="169"/>
        <item x="88"/>
        <item x="89"/>
        <item x="90"/>
        <item m="1" x="170"/>
        <item x="91"/>
        <item m="1" x="171"/>
        <item m="1" x="172"/>
        <item x="92"/>
        <item x="93"/>
        <item x="94"/>
        <item x="95"/>
        <item x="96"/>
        <item x="97"/>
        <item x="98"/>
        <item x="99"/>
        <item x="100"/>
        <item x="101"/>
        <item x="102"/>
        <item m="1" x="173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m="1" x="174"/>
        <item m="1" x="175"/>
        <item m="1" x="176"/>
        <item x="116"/>
        <item m="1" x="177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m="1" x="178"/>
        <item x="133"/>
        <item m="1" x="179"/>
        <item x="134"/>
        <item m="1" x="180"/>
        <item x="135"/>
        <item x="136"/>
        <item x="137"/>
        <item x="138"/>
        <item x="139"/>
        <item x="1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6">
        <item h="1" x="0"/>
        <item m="1" x="10"/>
        <item m="1" x="19"/>
        <item x="2"/>
        <item m="1" x="21"/>
        <item m="1" x="20"/>
        <item x="6"/>
        <item m="1" x="24"/>
        <item x="4"/>
        <item m="1" x="23"/>
        <item x="7"/>
        <item x="5"/>
        <item x="9"/>
        <item m="1" x="17"/>
        <item m="1" x="16"/>
        <item m="1" x="13"/>
        <item m="1" x="11"/>
        <item x="8"/>
        <item x="1"/>
        <item m="1" x="22"/>
        <item m="1" x="12"/>
        <item m="1" x="18"/>
        <item x="3"/>
        <item m="1" x="14"/>
        <item m="1"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m="1" x="64"/>
        <item h="1" m="1" x="96"/>
        <item h="1" m="1" x="28"/>
        <item h="1" m="1" x="77"/>
        <item h="1" m="1" x="109"/>
        <item h="1" m="1" x="100"/>
        <item h="1" m="1" x="91"/>
        <item h="1" m="1" x="63"/>
        <item h="1" m="1" x="67"/>
        <item h="1" m="1" x="101"/>
        <item h="1" m="1" x="98"/>
        <item h="1" m="1" x="108"/>
        <item h="1" m="1" x="48"/>
        <item h="1" m="1" x="26"/>
        <item h="1" m="1" x="85"/>
        <item h="1" m="1" x="51"/>
        <item h="1" m="1" x="68"/>
        <item h="1" m="1" x="50"/>
        <item h="1" m="1" x="84"/>
        <item h="1" m="1" x="30"/>
        <item h="1" m="1" x="32"/>
        <item h="1" m="1" x="49"/>
        <item h="1" m="1" x="15"/>
        <item h="1" m="1" x="79"/>
        <item h="1" m="1" x="106"/>
        <item h="1" m="1" x="46"/>
        <item h="1" m="1" x="93"/>
        <item h="1" m="1" x="74"/>
        <item h="1" m="1" x="65"/>
        <item h="1" m="1" x="66"/>
        <item h="1" m="1" x="88"/>
        <item h="1" m="1" x="13"/>
        <item h="1" m="1" x="53"/>
        <item h="1" m="1" x="52"/>
        <item h="1" m="1" x="29"/>
        <item h="1" m="1" x="6"/>
        <item h="1" m="1" x="12"/>
        <item h="1" m="1" x="62"/>
        <item h="1" m="1" x="25"/>
        <item h="1" m="1" x="19"/>
        <item h="1" m="1" x="4"/>
        <item h="1" m="1" x="23"/>
        <item h="1" m="1" x="76"/>
        <item h="1" m="1" x="16"/>
        <item h="1" m="1" x="3"/>
        <item h="1" m="1" x="34"/>
        <item h="1" m="1" x="81"/>
        <item h="1" m="1" x="9"/>
        <item h="1" m="1" x="86"/>
        <item h="1" m="1" x="7"/>
        <item h="1" m="1" x="20"/>
        <item h="1" m="1" x="35"/>
        <item h="1" m="1" x="11"/>
        <item h="1" m="1" x="5"/>
        <item h="1" m="1" x="8"/>
        <item h="1" m="1" x="17"/>
        <item h="1" m="1" x="72"/>
        <item h="1" m="1" x="10"/>
        <item h="1" m="1" x="27"/>
        <item h="1" m="1" x="14"/>
        <item x="0"/>
        <item x="2"/>
        <item x="1"/>
        <item h="1" m="1" x="36"/>
        <item h="1" m="1" x="55"/>
        <item h="1" m="1" x="80"/>
        <item h="1" m="1" x="40"/>
        <item h="1" m="1" x="22"/>
        <item h="1" m="1" x="24"/>
        <item h="1" m="1" x="37"/>
        <item h="1" m="1" x="110"/>
        <item h="1" m="1" x="104"/>
        <item h="1" m="1" x="87"/>
        <item h="1" m="1" x="47"/>
        <item h="1" m="1" x="75"/>
        <item h="1" m="1" x="73"/>
        <item h="1" m="1" x="78"/>
        <item h="1" m="1" x="21"/>
        <item h="1" m="1" x="38"/>
        <item h="1" m="1" x="39"/>
        <item h="1" m="1" x="89"/>
        <item h="1" m="1" x="114"/>
        <item h="1" m="1" x="113"/>
        <item h="1" m="1" x="115"/>
        <item h="1" m="1" x="112"/>
        <item h="1" m="1" x="102"/>
        <item h="1" m="1" x="107"/>
        <item h="1" m="1" x="54"/>
        <item h="1" m="1" x="56"/>
        <item h="1" m="1" x="105"/>
        <item h="1" m="1" x="18"/>
        <item h="1" m="1" x="83"/>
        <item h="1" m="1" x="99"/>
        <item h="1" m="1" x="103"/>
        <item h="1" m="1" x="45"/>
        <item h="1" m="1" x="97"/>
        <item h="1" m="1" x="59"/>
        <item h="1" m="1" x="70"/>
        <item h="1" m="1" x="95"/>
        <item h="1" m="1" x="60"/>
        <item h="1" m="1" x="57"/>
        <item h="1" m="1" x="69"/>
        <item h="1" m="1" x="94"/>
        <item h="1" m="1" x="44"/>
        <item h="1" m="1" x="82"/>
        <item h="1" m="1" x="42"/>
        <item h="1" m="1" x="43"/>
        <item h="1" m="1" x="41"/>
        <item h="1" m="1" x="61"/>
        <item h="1" m="1" x="92"/>
        <item h="1" m="1" x="111"/>
        <item h="1" m="1" x="58"/>
        <item h="1" m="1" x="71"/>
        <item h="1" m="1" x="90"/>
        <item h="1" m="1" x="31"/>
        <item h="1" m="1" x="33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10">
    <i>
      <x v="22"/>
    </i>
    <i>
      <x v="18"/>
    </i>
    <i>
      <x v="3"/>
    </i>
    <i>
      <x v="8"/>
    </i>
    <i>
      <x v="6"/>
    </i>
    <i>
      <x v="12"/>
    </i>
    <i>
      <x v="10"/>
    </i>
    <i>
      <x v="11"/>
    </i>
    <i>
      <x v="17"/>
    </i>
    <i t="grand">
      <x/>
    </i>
  </rowItems>
  <colItems count="1">
    <i/>
  </colItems>
  <pageFields count="1">
    <pageField fld="21" hier="-1"/>
  </pageFields>
  <dataFields count="1">
    <dataField name="Contagem de hash" fld="0" subtotal="count" showDataAs="percentOfTotal" baseField="11" baseItem="18" numFmtId="1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D2873B-D629-44F5-A1D5-9CC302C45377}" name="Tabela dinâmica6" cacheId="1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A3:B10" firstHeaderRow="1" firstDataRow="1" firstDataCol="1" rowPageCount="1" colPageCount="1"/>
  <pivotFields count="25">
    <pivotField dataField="1" showAll="0"/>
    <pivotField axis="axisRow" numFmtId="14" showAll="0">
      <items count="182">
        <item x="0"/>
        <item m="1" x="141"/>
        <item x="1"/>
        <item m="1" x="142"/>
        <item x="2"/>
        <item x="3"/>
        <item m="1" x="143"/>
        <item x="4"/>
        <item x="5"/>
        <item x="6"/>
        <item x="7"/>
        <item x="8"/>
        <item x="9"/>
        <item m="1" x="144"/>
        <item x="10"/>
        <item x="11"/>
        <item x="12"/>
        <item x="13"/>
        <item m="1" x="145"/>
        <item x="14"/>
        <item x="15"/>
        <item x="16"/>
        <item x="17"/>
        <item x="18"/>
        <item x="19"/>
        <item m="1" x="146"/>
        <item x="20"/>
        <item x="21"/>
        <item x="22"/>
        <item x="23"/>
        <item x="24"/>
        <item x="25"/>
        <item m="1" x="147"/>
        <item x="26"/>
        <item x="27"/>
        <item x="28"/>
        <item x="29"/>
        <item x="30"/>
        <item x="31"/>
        <item x="32"/>
        <item m="1" x="148"/>
        <item x="33"/>
        <item x="34"/>
        <item x="35"/>
        <item m="1" x="149"/>
        <item x="36"/>
        <item x="37"/>
        <item m="1" x="150"/>
        <item x="38"/>
        <item x="39"/>
        <item x="40"/>
        <item x="41"/>
        <item m="1" x="151"/>
        <item x="42"/>
        <item x="43"/>
        <item x="44"/>
        <item x="45"/>
        <item m="1" x="152"/>
        <item m="1" x="153"/>
        <item m="1" x="154"/>
        <item x="46"/>
        <item x="47"/>
        <item m="1" x="155"/>
        <item m="1" x="156"/>
        <item x="48"/>
        <item x="49"/>
        <item m="1" x="157"/>
        <item m="1" x="158"/>
        <item m="1" x="159"/>
        <item x="50"/>
        <item m="1" x="160"/>
        <item m="1" x="161"/>
        <item x="51"/>
        <item x="52"/>
        <item m="1" x="162"/>
        <item x="53"/>
        <item x="54"/>
        <item m="1" x="163"/>
        <item x="55"/>
        <item m="1" x="16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m="1" x="165"/>
        <item x="71"/>
        <item x="72"/>
        <item x="73"/>
        <item m="1" x="166"/>
        <item x="74"/>
        <item x="75"/>
        <item x="76"/>
        <item x="77"/>
        <item x="78"/>
        <item x="79"/>
        <item x="80"/>
        <item x="81"/>
        <item m="1" x="167"/>
        <item x="82"/>
        <item x="83"/>
        <item x="84"/>
        <item m="1" x="168"/>
        <item x="85"/>
        <item x="86"/>
        <item x="87"/>
        <item m="1" x="169"/>
        <item x="88"/>
        <item x="89"/>
        <item x="90"/>
        <item m="1" x="170"/>
        <item x="91"/>
        <item m="1" x="171"/>
        <item m="1" x="172"/>
        <item x="92"/>
        <item x="93"/>
        <item x="94"/>
        <item x="95"/>
        <item x="96"/>
        <item x="97"/>
        <item x="98"/>
        <item x="99"/>
        <item x="100"/>
        <item x="101"/>
        <item x="102"/>
        <item m="1" x="173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m="1" x="174"/>
        <item m="1" x="175"/>
        <item m="1" x="176"/>
        <item x="116"/>
        <item m="1" x="177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m="1" x="178"/>
        <item x="133"/>
        <item m="1" x="179"/>
        <item x="134"/>
        <item m="1" x="180"/>
        <item x="135"/>
        <item x="136"/>
        <item x="137"/>
        <item x="138"/>
        <item x="139"/>
        <item x="1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m="1" x="64"/>
        <item h="1" m="1" x="96"/>
        <item h="1" m="1" x="28"/>
        <item h="1" m="1" x="77"/>
        <item h="1" m="1" x="109"/>
        <item h="1" m="1" x="100"/>
        <item h="1" m="1" x="91"/>
        <item h="1" m="1" x="63"/>
        <item h="1" m="1" x="67"/>
        <item h="1" m="1" x="101"/>
        <item h="1" m="1" x="98"/>
        <item h="1" m="1" x="108"/>
        <item h="1" m="1" x="48"/>
        <item h="1" m="1" x="26"/>
        <item h="1" m="1" x="85"/>
        <item h="1" m="1" x="51"/>
        <item h="1" m="1" x="68"/>
        <item h="1" m="1" x="50"/>
        <item h="1" m="1" x="84"/>
        <item h="1" m="1" x="30"/>
        <item h="1" m="1" x="32"/>
        <item h="1" m="1" x="49"/>
        <item h="1" m="1" x="15"/>
        <item h="1" m="1" x="79"/>
        <item h="1" m="1" x="106"/>
        <item h="1" m="1" x="46"/>
        <item h="1" m="1" x="93"/>
        <item h="1" m="1" x="74"/>
        <item h="1" m="1" x="65"/>
        <item h="1" m="1" x="66"/>
        <item h="1" m="1" x="88"/>
        <item h="1" m="1" x="13"/>
        <item h="1" m="1" x="53"/>
        <item h="1" m="1" x="52"/>
        <item h="1" m="1" x="29"/>
        <item h="1" m="1" x="6"/>
        <item h="1" m="1" x="12"/>
        <item h="1" m="1" x="62"/>
        <item h="1" m="1" x="25"/>
        <item h="1" m="1" x="19"/>
        <item h="1" m="1" x="4"/>
        <item h="1" m="1" x="23"/>
        <item h="1" m="1" x="76"/>
        <item h="1" m="1" x="16"/>
        <item h="1" m="1" x="3"/>
        <item h="1" m="1" x="34"/>
        <item h="1" m="1" x="81"/>
        <item h="1" m="1" x="9"/>
        <item h="1" m="1" x="86"/>
        <item h="1" m="1" x="7"/>
        <item h="1" m="1" x="20"/>
        <item h="1" m="1" x="35"/>
        <item h="1" m="1" x="11"/>
        <item h="1" m="1" x="5"/>
        <item h="1" m="1" x="8"/>
        <item h="1" m="1" x="17"/>
        <item h="1" m="1" x="72"/>
        <item h="1" m="1" x="10"/>
        <item h="1" m="1" x="27"/>
        <item h="1" m="1" x="14"/>
        <item x="0"/>
        <item x="2"/>
        <item x="1"/>
        <item h="1" m="1" x="36"/>
        <item h="1" m="1" x="55"/>
        <item h="1" m="1" x="80"/>
        <item h="1" m="1" x="40"/>
        <item h="1" m="1" x="22"/>
        <item h="1" m="1" x="24"/>
        <item h="1" m="1" x="37"/>
        <item h="1" m="1" x="110"/>
        <item h="1" m="1" x="104"/>
        <item h="1" m="1" x="87"/>
        <item h="1" m="1" x="47"/>
        <item h="1" m="1" x="75"/>
        <item h="1" m="1" x="73"/>
        <item h="1" m="1" x="78"/>
        <item h="1" m="1" x="21"/>
        <item h="1" m="1" x="38"/>
        <item h="1" m="1" x="39"/>
        <item h="1" m="1" x="89"/>
        <item h="1" m="1" x="114"/>
        <item h="1" m="1" x="113"/>
        <item h="1" m="1" x="115"/>
        <item h="1" m="1" x="112"/>
        <item h="1" m="1" x="102"/>
        <item h="1" m="1" x="107"/>
        <item h="1" m="1" x="54"/>
        <item h="1" m="1" x="56"/>
        <item h="1" m="1" x="105"/>
        <item h="1" m="1" x="18"/>
        <item h="1" m="1" x="83"/>
        <item h="1" m="1" x="99"/>
        <item h="1" m="1" x="103"/>
        <item h="1" m="1" x="45"/>
        <item h="1" m="1" x="97"/>
        <item h="1" m="1" x="59"/>
        <item h="1" m="1" x="70"/>
        <item h="1" m="1" x="95"/>
        <item h="1" m="1" x="60"/>
        <item h="1" m="1" x="57"/>
        <item h="1" m="1" x="69"/>
        <item h="1" m="1" x="94"/>
        <item h="1" m="1" x="44"/>
        <item h="1" m="1" x="82"/>
        <item h="1" m="1" x="42"/>
        <item h="1" m="1" x="43"/>
        <item h="1" m="1" x="41"/>
        <item h="1" m="1" x="61"/>
        <item h="1" m="1" x="92"/>
        <item h="1" m="1" x="111"/>
        <item h="1" m="1" x="58"/>
        <item h="1" m="1" x="71"/>
        <item h="1" m="1" x="90"/>
        <item h="1" m="1" x="31"/>
        <item h="1" m="1" x="33"/>
        <item t="default"/>
      </items>
    </pivotField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x="0"/>
        <item n="Janeiro" sd="0" x="1"/>
        <item n="Fevereiro" sd="0" x="2"/>
        <item n="Março" sd="0" x="3"/>
        <item n="Abril" sd="0" x="4"/>
        <item n="Maio" sd="0" x="5"/>
        <item n="Junho" sd="0"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24"/>
    <field x="23"/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1" hier="-1"/>
  </pageFields>
  <dataFields count="1">
    <dataField name="Contagem de hash" fld="0" subtotal="count" baseField="0" baseItem="0"/>
  </dataField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5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2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E5B8AA-723B-4262-AAB1-660B413A7722}" name="Tabela dinâmica7" cacheId="1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8" firstHeaderRow="1" firstDataRow="1" firstDataCol="1" rowPageCount="1" colPageCount="1"/>
  <pivotFields count="25">
    <pivotField dataField="1" showAll="0"/>
    <pivotField numFmtId="14" showAll="0">
      <items count="182">
        <item x="0"/>
        <item m="1" x="141"/>
        <item x="1"/>
        <item m="1" x="142"/>
        <item x="2"/>
        <item x="3"/>
        <item m="1" x="143"/>
        <item x="4"/>
        <item x="5"/>
        <item x="6"/>
        <item x="7"/>
        <item x="8"/>
        <item x="9"/>
        <item m="1" x="144"/>
        <item x="10"/>
        <item x="11"/>
        <item x="12"/>
        <item x="13"/>
        <item m="1" x="145"/>
        <item x="14"/>
        <item x="15"/>
        <item x="16"/>
        <item x="17"/>
        <item x="18"/>
        <item x="19"/>
        <item m="1" x="146"/>
        <item x="20"/>
        <item x="21"/>
        <item x="22"/>
        <item x="23"/>
        <item x="24"/>
        <item x="25"/>
        <item m="1" x="147"/>
        <item x="26"/>
        <item x="27"/>
        <item x="28"/>
        <item x="29"/>
        <item x="30"/>
        <item x="31"/>
        <item x="32"/>
        <item m="1" x="148"/>
        <item x="33"/>
        <item x="34"/>
        <item x="35"/>
        <item m="1" x="149"/>
        <item x="36"/>
        <item x="37"/>
        <item m="1" x="150"/>
        <item x="38"/>
        <item x="39"/>
        <item x="40"/>
        <item x="41"/>
        <item m="1" x="151"/>
        <item x="42"/>
        <item x="43"/>
        <item x="44"/>
        <item x="45"/>
        <item m="1" x="152"/>
        <item m="1" x="153"/>
        <item m="1" x="154"/>
        <item x="46"/>
        <item x="47"/>
        <item m="1" x="155"/>
        <item m="1" x="156"/>
        <item x="48"/>
        <item x="49"/>
        <item m="1" x="157"/>
        <item m="1" x="158"/>
        <item m="1" x="159"/>
        <item x="50"/>
        <item m="1" x="160"/>
        <item m="1" x="161"/>
        <item x="51"/>
        <item x="52"/>
        <item m="1" x="162"/>
        <item x="53"/>
        <item x="54"/>
        <item m="1" x="163"/>
        <item x="55"/>
        <item m="1" x="16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m="1" x="165"/>
        <item x="71"/>
        <item x="72"/>
        <item x="73"/>
        <item m="1" x="166"/>
        <item x="74"/>
        <item x="75"/>
        <item x="76"/>
        <item x="77"/>
        <item x="78"/>
        <item x="79"/>
        <item x="80"/>
        <item x="81"/>
        <item m="1" x="167"/>
        <item x="82"/>
        <item x="83"/>
        <item x="84"/>
        <item m="1" x="168"/>
        <item x="85"/>
        <item x="86"/>
        <item x="87"/>
        <item m="1" x="169"/>
        <item x="88"/>
        <item x="89"/>
        <item x="90"/>
        <item m="1" x="170"/>
        <item x="91"/>
        <item m="1" x="171"/>
        <item m="1" x="172"/>
        <item x="92"/>
        <item x="93"/>
        <item x="94"/>
        <item x="95"/>
        <item x="96"/>
        <item x="97"/>
        <item x="98"/>
        <item x="99"/>
        <item x="100"/>
        <item x="101"/>
        <item x="102"/>
        <item m="1" x="173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m="1" x="174"/>
        <item m="1" x="175"/>
        <item m="1" x="176"/>
        <item x="116"/>
        <item m="1" x="177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m="1" x="178"/>
        <item x="133"/>
        <item m="1" x="179"/>
        <item x="134"/>
        <item m="1" x="180"/>
        <item x="135"/>
        <item x="136"/>
        <item x="137"/>
        <item x="138"/>
        <item x="139"/>
        <item x="140"/>
        <item t="default"/>
      </items>
    </pivotField>
    <pivotField showAll="0"/>
    <pivotField axis="axisRow" showAll="0">
      <items count="32">
        <item m="1" x="26"/>
        <item x="22"/>
        <item x="20"/>
        <item m="1" x="25"/>
        <item m="1" x="30"/>
        <item x="3"/>
        <item x="10"/>
        <item m="1" x="28"/>
        <item x="0"/>
        <item x="7"/>
        <item x="6"/>
        <item x="18"/>
        <item x="4"/>
        <item x="5"/>
        <item m="1" x="24"/>
        <item m="1" x="29"/>
        <item x="17"/>
        <item x="19"/>
        <item x="13"/>
        <item x="21"/>
        <item x="15"/>
        <item x="2"/>
        <item x="14"/>
        <item x="8"/>
        <item m="1" x="27"/>
        <item x="16"/>
        <item x="9"/>
        <item x="23"/>
        <item x="1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m="1" x="64"/>
        <item h="1" m="1" x="96"/>
        <item h="1" m="1" x="28"/>
        <item h="1" m="1" x="77"/>
        <item h="1" m="1" x="109"/>
        <item h="1" m="1" x="100"/>
        <item h="1" m="1" x="91"/>
        <item h="1" m="1" x="63"/>
        <item h="1" m="1" x="67"/>
        <item h="1" m="1" x="101"/>
        <item h="1" m="1" x="98"/>
        <item h="1" m="1" x="108"/>
        <item h="1" m="1" x="48"/>
        <item h="1" m="1" x="26"/>
        <item h="1" m="1" x="85"/>
        <item h="1" m="1" x="51"/>
        <item h="1" m="1" x="68"/>
        <item h="1" m="1" x="50"/>
        <item h="1" m="1" x="84"/>
        <item h="1" m="1" x="30"/>
        <item h="1" m="1" x="32"/>
        <item h="1" m="1" x="49"/>
        <item h="1" m="1" x="15"/>
        <item h="1" m="1" x="79"/>
        <item h="1" m="1" x="106"/>
        <item h="1" m="1" x="46"/>
        <item h="1" m="1" x="93"/>
        <item h="1" m="1" x="74"/>
        <item h="1" m="1" x="65"/>
        <item h="1" m="1" x="66"/>
        <item h="1" m="1" x="88"/>
        <item h="1" m="1" x="13"/>
        <item h="1" m="1" x="53"/>
        <item h="1" m="1" x="52"/>
        <item h="1" m="1" x="29"/>
        <item h="1" m="1" x="6"/>
        <item h="1" m="1" x="12"/>
        <item h="1" m="1" x="62"/>
        <item h="1" m="1" x="25"/>
        <item h="1" m="1" x="19"/>
        <item h="1" m="1" x="4"/>
        <item h="1" m="1" x="23"/>
        <item h="1" m="1" x="76"/>
        <item h="1" m="1" x="16"/>
        <item h="1" m="1" x="3"/>
        <item h="1" m="1" x="34"/>
        <item h="1" m="1" x="81"/>
        <item h="1" m="1" x="9"/>
        <item h="1" m="1" x="86"/>
        <item h="1" m="1" x="7"/>
        <item h="1" m="1" x="20"/>
        <item h="1" m="1" x="35"/>
        <item h="1" m="1" x="11"/>
        <item h="1" m="1" x="5"/>
        <item h="1" m="1" x="8"/>
        <item h="1" m="1" x="17"/>
        <item h="1" m="1" x="72"/>
        <item h="1" m="1" x="10"/>
        <item h="1" m="1" x="27"/>
        <item h="1" m="1" x="14"/>
        <item x="0"/>
        <item x="2"/>
        <item x="1"/>
        <item h="1" m="1" x="36"/>
        <item h="1" m="1" x="55"/>
        <item h="1" m="1" x="80"/>
        <item h="1" m="1" x="40"/>
        <item h="1" m="1" x="22"/>
        <item h="1" m="1" x="24"/>
        <item h="1" m="1" x="37"/>
        <item h="1" m="1" x="110"/>
        <item h="1" m="1" x="104"/>
        <item h="1" m="1" x="87"/>
        <item h="1" m="1" x="47"/>
        <item h="1" m="1" x="75"/>
        <item h="1" m="1" x="73"/>
        <item h="1" m="1" x="78"/>
        <item h="1" m="1" x="21"/>
        <item h="1" m="1" x="38"/>
        <item h="1" m="1" x="39"/>
        <item h="1" m="1" x="89"/>
        <item h="1" m="1" x="114"/>
        <item h="1" m="1" x="113"/>
        <item h="1" m="1" x="115"/>
        <item h="1" m="1" x="112"/>
        <item h="1" m="1" x="102"/>
        <item h="1" m="1" x="107"/>
        <item h="1" m="1" x="54"/>
        <item h="1" m="1" x="56"/>
        <item h="1" m="1" x="105"/>
        <item h="1" m="1" x="18"/>
        <item h="1" m="1" x="83"/>
        <item h="1" m="1" x="99"/>
        <item h="1" m="1" x="103"/>
        <item h="1" m="1" x="45"/>
        <item h="1" m="1" x="97"/>
        <item h="1" m="1" x="59"/>
        <item h="1" m="1" x="70"/>
        <item h="1" m="1" x="95"/>
        <item h="1" m="1" x="60"/>
        <item h="1" m="1" x="57"/>
        <item h="1" m="1" x="69"/>
        <item h="1" m="1" x="94"/>
        <item h="1" m="1" x="44"/>
        <item h="1" m="1" x="82"/>
        <item h="1" m="1" x="42"/>
        <item h="1" m="1" x="43"/>
        <item h="1" m="1" x="41"/>
        <item h="1" m="1" x="61"/>
        <item h="1" m="1" x="92"/>
        <item h="1" m="1" x="111"/>
        <item h="1" m="1" x="58"/>
        <item h="1" m="1" x="71"/>
        <item h="1" m="1" x="90"/>
        <item h="1" m="1" x="31"/>
        <item h="1" m="1" x="33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25">
    <i>
      <x v="1"/>
    </i>
    <i>
      <x v="2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pageFields count="1">
    <pageField fld="21" hier="-1"/>
  </pageFields>
  <dataFields count="1">
    <dataField name="Número de denúncia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E8249B-C06C-479D-828F-D8AC78D9DB6C}" name="Tabela dinâmica18" cacheId="1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2:B43" firstHeaderRow="1" firstDataRow="1" firstDataCol="1"/>
  <pivotFields count="25">
    <pivotField dataField="1" showAll="0"/>
    <pivotField numFmtId="14" showAll="0">
      <items count="182">
        <item x="0"/>
        <item m="1" x="141"/>
        <item x="1"/>
        <item m="1" x="142"/>
        <item x="2"/>
        <item x="3"/>
        <item m="1" x="143"/>
        <item x="4"/>
        <item x="5"/>
        <item x="6"/>
        <item x="7"/>
        <item x="8"/>
        <item x="9"/>
        <item m="1" x="144"/>
        <item x="10"/>
        <item x="11"/>
        <item x="12"/>
        <item x="13"/>
        <item m="1" x="145"/>
        <item x="14"/>
        <item x="15"/>
        <item x="16"/>
        <item x="17"/>
        <item x="18"/>
        <item x="19"/>
        <item m="1" x="146"/>
        <item x="20"/>
        <item x="21"/>
        <item x="22"/>
        <item x="23"/>
        <item x="24"/>
        <item x="25"/>
        <item m="1" x="147"/>
        <item x="26"/>
        <item x="27"/>
        <item x="28"/>
        <item x="29"/>
        <item x="30"/>
        <item x="31"/>
        <item x="32"/>
        <item m="1" x="148"/>
        <item x="33"/>
        <item x="34"/>
        <item x="35"/>
        <item m="1" x="149"/>
        <item x="36"/>
        <item x="37"/>
        <item m="1" x="150"/>
        <item x="38"/>
        <item x="39"/>
        <item x="40"/>
        <item x="41"/>
        <item m="1" x="151"/>
        <item x="42"/>
        <item x="43"/>
        <item x="44"/>
        <item x="45"/>
        <item m="1" x="152"/>
        <item m="1" x="153"/>
        <item m="1" x="154"/>
        <item x="46"/>
        <item x="47"/>
        <item m="1" x="155"/>
        <item m="1" x="156"/>
        <item x="48"/>
        <item x="49"/>
        <item m="1" x="157"/>
        <item m="1" x="158"/>
        <item m="1" x="159"/>
        <item x="50"/>
        <item m="1" x="160"/>
        <item m="1" x="161"/>
        <item x="51"/>
        <item x="52"/>
        <item m="1" x="162"/>
        <item x="53"/>
        <item x="54"/>
        <item m="1" x="163"/>
        <item x="55"/>
        <item m="1" x="16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m="1" x="165"/>
        <item x="71"/>
        <item x="72"/>
        <item x="73"/>
        <item m="1" x="166"/>
        <item x="74"/>
        <item x="75"/>
        <item x="76"/>
        <item x="77"/>
        <item x="78"/>
        <item x="79"/>
        <item x="80"/>
        <item x="81"/>
        <item m="1" x="167"/>
        <item x="82"/>
        <item x="83"/>
        <item x="84"/>
        <item m="1" x="168"/>
        <item x="85"/>
        <item x="86"/>
        <item x="87"/>
        <item m="1" x="169"/>
        <item x="88"/>
        <item x="89"/>
        <item x="90"/>
        <item m="1" x="170"/>
        <item x="91"/>
        <item m="1" x="171"/>
        <item m="1" x="172"/>
        <item x="92"/>
        <item x="93"/>
        <item x="94"/>
        <item x="95"/>
        <item x="96"/>
        <item x="97"/>
        <item x="98"/>
        <item x="99"/>
        <item x="100"/>
        <item x="101"/>
        <item x="102"/>
        <item m="1" x="173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m="1" x="174"/>
        <item m="1" x="175"/>
        <item m="1" x="176"/>
        <item x="116"/>
        <item m="1" x="177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m="1" x="178"/>
        <item x="133"/>
        <item m="1" x="179"/>
        <item x="134"/>
        <item m="1" x="180"/>
        <item x="135"/>
        <item x="136"/>
        <item x="137"/>
        <item x="138"/>
        <item x="139"/>
        <item x="1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4"/>
        <item x="9"/>
        <item x="1"/>
        <item x="3"/>
        <item x="6"/>
        <item x="5"/>
        <item x="0"/>
        <item x="8"/>
        <item x="7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ntagem de hash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D943CC-5C60-46E2-9284-0F7D8BBE86F8}" name="Tabela dinâmica17" cacheId="1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D18:E32" firstHeaderRow="1" firstDataRow="1" firstDataCol="1"/>
  <pivotFields count="25">
    <pivotField dataField="1" showAll="0"/>
    <pivotField numFmtId="14" showAll="0">
      <items count="182">
        <item x="0"/>
        <item m="1" x="141"/>
        <item x="1"/>
        <item m="1" x="142"/>
        <item x="2"/>
        <item x="3"/>
        <item m="1" x="143"/>
        <item x="4"/>
        <item x="5"/>
        <item x="6"/>
        <item x="7"/>
        <item x="8"/>
        <item x="9"/>
        <item m="1" x="144"/>
        <item x="10"/>
        <item x="11"/>
        <item x="12"/>
        <item x="13"/>
        <item m="1" x="145"/>
        <item x="14"/>
        <item x="15"/>
        <item x="16"/>
        <item x="17"/>
        <item x="18"/>
        <item x="19"/>
        <item m="1" x="146"/>
        <item x="20"/>
        <item x="21"/>
        <item x="22"/>
        <item x="23"/>
        <item x="24"/>
        <item x="25"/>
        <item m="1" x="147"/>
        <item x="26"/>
        <item x="27"/>
        <item x="28"/>
        <item x="29"/>
        <item x="30"/>
        <item x="31"/>
        <item x="32"/>
        <item m="1" x="148"/>
        <item x="33"/>
        <item x="34"/>
        <item x="35"/>
        <item m="1" x="149"/>
        <item x="36"/>
        <item x="37"/>
        <item m="1" x="150"/>
        <item x="38"/>
        <item x="39"/>
        <item x="40"/>
        <item x="41"/>
        <item m="1" x="151"/>
        <item x="42"/>
        <item x="43"/>
        <item x="44"/>
        <item x="45"/>
        <item m="1" x="152"/>
        <item m="1" x="153"/>
        <item m="1" x="154"/>
        <item x="46"/>
        <item x="47"/>
        <item m="1" x="155"/>
        <item m="1" x="156"/>
        <item x="48"/>
        <item x="49"/>
        <item m="1" x="157"/>
        <item m="1" x="158"/>
        <item m="1" x="159"/>
        <item x="50"/>
        <item m="1" x="160"/>
        <item m="1" x="161"/>
        <item x="51"/>
        <item x="52"/>
        <item m="1" x="162"/>
        <item x="53"/>
        <item x="54"/>
        <item m="1" x="163"/>
        <item x="55"/>
        <item m="1" x="16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m="1" x="165"/>
        <item x="71"/>
        <item x="72"/>
        <item x="73"/>
        <item m="1" x="166"/>
        <item x="74"/>
        <item x="75"/>
        <item x="76"/>
        <item x="77"/>
        <item x="78"/>
        <item x="79"/>
        <item x="80"/>
        <item x="81"/>
        <item m="1" x="167"/>
        <item x="82"/>
        <item x="83"/>
        <item x="84"/>
        <item m="1" x="168"/>
        <item x="85"/>
        <item x="86"/>
        <item x="87"/>
        <item m="1" x="169"/>
        <item x="88"/>
        <item x="89"/>
        <item x="90"/>
        <item m="1" x="170"/>
        <item x="91"/>
        <item m="1" x="171"/>
        <item m="1" x="172"/>
        <item x="92"/>
        <item x="93"/>
        <item x="94"/>
        <item x="95"/>
        <item x="96"/>
        <item x="97"/>
        <item x="98"/>
        <item x="99"/>
        <item x="100"/>
        <item x="101"/>
        <item x="102"/>
        <item m="1" x="173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m="1" x="174"/>
        <item m="1" x="175"/>
        <item m="1" x="176"/>
        <item x="116"/>
        <item m="1" x="177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m="1" x="178"/>
        <item x="133"/>
        <item m="1" x="179"/>
        <item x="134"/>
        <item m="1" x="180"/>
        <item x="135"/>
        <item x="136"/>
        <item x="137"/>
        <item x="138"/>
        <item x="139"/>
        <item x="1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1">
        <item x="11"/>
        <item x="12"/>
        <item x="10"/>
        <item x="3"/>
        <item x="9"/>
        <item x="5"/>
        <item x="6"/>
        <item x="4"/>
        <item x="7"/>
        <item x="2"/>
        <item x="8"/>
        <item m="1" x="15"/>
        <item m="1" x="17"/>
        <item m="1" x="16"/>
        <item m="1" x="13"/>
        <item m="1" x="18"/>
        <item m="1" x="14"/>
        <item m="1" x="19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8"/>
    </i>
    <i>
      <x v="19"/>
    </i>
    <i t="grand">
      <x/>
    </i>
  </rowItems>
  <colItems count="1">
    <i/>
  </colItems>
  <dataFields count="1">
    <dataField name="Contagem de hash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9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AA9677-5DC7-4527-97E0-F38EAE91F439}" name="Tabela dinâmica16" cacheId="1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D12:E16" firstHeaderRow="1" firstDataRow="1" firstDataCol="1"/>
  <pivotFields count="25">
    <pivotField dataField="1" showAll="0"/>
    <pivotField numFmtId="14" showAll="0">
      <items count="182">
        <item x="0"/>
        <item m="1" x="141"/>
        <item x="1"/>
        <item m="1" x="142"/>
        <item x="2"/>
        <item x="3"/>
        <item m="1" x="143"/>
        <item x="4"/>
        <item x="5"/>
        <item x="6"/>
        <item x="7"/>
        <item x="8"/>
        <item x="9"/>
        <item m="1" x="144"/>
        <item x="10"/>
        <item x="11"/>
        <item x="12"/>
        <item x="13"/>
        <item m="1" x="145"/>
        <item x="14"/>
        <item x="15"/>
        <item x="16"/>
        <item x="17"/>
        <item x="18"/>
        <item x="19"/>
        <item m="1" x="146"/>
        <item x="20"/>
        <item x="21"/>
        <item x="22"/>
        <item x="23"/>
        <item x="24"/>
        <item x="25"/>
        <item m="1" x="147"/>
        <item x="26"/>
        <item x="27"/>
        <item x="28"/>
        <item x="29"/>
        <item x="30"/>
        <item x="31"/>
        <item x="32"/>
        <item m="1" x="148"/>
        <item x="33"/>
        <item x="34"/>
        <item x="35"/>
        <item m="1" x="149"/>
        <item x="36"/>
        <item x="37"/>
        <item m="1" x="150"/>
        <item x="38"/>
        <item x="39"/>
        <item x="40"/>
        <item x="41"/>
        <item m="1" x="151"/>
        <item x="42"/>
        <item x="43"/>
        <item x="44"/>
        <item x="45"/>
        <item m="1" x="152"/>
        <item m="1" x="153"/>
        <item m="1" x="154"/>
        <item x="46"/>
        <item x="47"/>
        <item m="1" x="155"/>
        <item m="1" x="156"/>
        <item x="48"/>
        <item x="49"/>
        <item m="1" x="157"/>
        <item m="1" x="158"/>
        <item m="1" x="159"/>
        <item x="50"/>
        <item m="1" x="160"/>
        <item m="1" x="161"/>
        <item x="51"/>
        <item x="52"/>
        <item m="1" x="162"/>
        <item x="53"/>
        <item x="54"/>
        <item m="1" x="163"/>
        <item x="55"/>
        <item m="1" x="16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m="1" x="165"/>
        <item x="71"/>
        <item x="72"/>
        <item x="73"/>
        <item m="1" x="166"/>
        <item x="74"/>
        <item x="75"/>
        <item x="76"/>
        <item x="77"/>
        <item x="78"/>
        <item x="79"/>
        <item x="80"/>
        <item x="81"/>
        <item m="1" x="167"/>
        <item x="82"/>
        <item x="83"/>
        <item x="84"/>
        <item m="1" x="168"/>
        <item x="85"/>
        <item x="86"/>
        <item x="87"/>
        <item m="1" x="169"/>
        <item x="88"/>
        <item x="89"/>
        <item x="90"/>
        <item m="1" x="170"/>
        <item x="91"/>
        <item m="1" x="171"/>
        <item m="1" x="172"/>
        <item x="92"/>
        <item x="93"/>
        <item x="94"/>
        <item x="95"/>
        <item x="96"/>
        <item x="97"/>
        <item x="98"/>
        <item x="99"/>
        <item x="100"/>
        <item x="101"/>
        <item x="102"/>
        <item m="1" x="173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m="1" x="174"/>
        <item m="1" x="175"/>
        <item m="1" x="176"/>
        <item x="116"/>
        <item m="1" x="177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m="1" x="178"/>
        <item x="133"/>
        <item m="1" x="179"/>
        <item x="134"/>
        <item m="1" x="180"/>
        <item x="135"/>
        <item x="136"/>
        <item x="137"/>
        <item x="138"/>
        <item x="139"/>
        <item x="1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hash" fld="0" subtotal="count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6D681C-9573-4657-965E-4D09A671573B}" name="Tabela dinâmica15" cacheId="1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D3:E9" firstHeaderRow="1" firstDataRow="1" firstDataCol="1"/>
  <pivotFields count="25">
    <pivotField dataField="1" showAll="0"/>
    <pivotField numFmtId="14" showAll="0">
      <items count="182">
        <item x="0"/>
        <item m="1" x="141"/>
        <item x="1"/>
        <item m="1" x="142"/>
        <item x="2"/>
        <item x="3"/>
        <item m="1" x="143"/>
        <item x="4"/>
        <item x="5"/>
        <item x="6"/>
        <item x="7"/>
        <item x="8"/>
        <item x="9"/>
        <item m="1" x="144"/>
        <item x="10"/>
        <item x="11"/>
        <item x="12"/>
        <item x="13"/>
        <item m="1" x="145"/>
        <item x="14"/>
        <item x="15"/>
        <item x="16"/>
        <item x="17"/>
        <item x="18"/>
        <item x="19"/>
        <item m="1" x="146"/>
        <item x="20"/>
        <item x="21"/>
        <item x="22"/>
        <item x="23"/>
        <item x="24"/>
        <item x="25"/>
        <item m="1" x="147"/>
        <item x="26"/>
        <item x="27"/>
        <item x="28"/>
        <item x="29"/>
        <item x="30"/>
        <item x="31"/>
        <item x="32"/>
        <item m="1" x="148"/>
        <item x="33"/>
        <item x="34"/>
        <item x="35"/>
        <item m="1" x="149"/>
        <item x="36"/>
        <item x="37"/>
        <item m="1" x="150"/>
        <item x="38"/>
        <item x="39"/>
        <item x="40"/>
        <item x="41"/>
        <item m="1" x="151"/>
        <item x="42"/>
        <item x="43"/>
        <item x="44"/>
        <item x="45"/>
        <item m="1" x="152"/>
        <item m="1" x="153"/>
        <item m="1" x="154"/>
        <item x="46"/>
        <item x="47"/>
        <item m="1" x="155"/>
        <item m="1" x="156"/>
        <item x="48"/>
        <item x="49"/>
        <item m="1" x="157"/>
        <item m="1" x="158"/>
        <item m="1" x="159"/>
        <item x="50"/>
        <item m="1" x="160"/>
        <item m="1" x="161"/>
        <item x="51"/>
        <item x="52"/>
        <item m="1" x="162"/>
        <item x="53"/>
        <item x="54"/>
        <item m="1" x="163"/>
        <item x="55"/>
        <item m="1" x="16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m="1" x="165"/>
        <item x="71"/>
        <item x="72"/>
        <item x="73"/>
        <item m="1" x="166"/>
        <item x="74"/>
        <item x="75"/>
        <item x="76"/>
        <item x="77"/>
        <item x="78"/>
        <item x="79"/>
        <item x="80"/>
        <item x="81"/>
        <item m="1" x="167"/>
        <item x="82"/>
        <item x="83"/>
        <item x="84"/>
        <item m="1" x="168"/>
        <item x="85"/>
        <item x="86"/>
        <item x="87"/>
        <item m="1" x="169"/>
        <item x="88"/>
        <item x="89"/>
        <item x="90"/>
        <item m="1" x="170"/>
        <item x="91"/>
        <item m="1" x="171"/>
        <item m="1" x="172"/>
        <item x="92"/>
        <item x="93"/>
        <item x="94"/>
        <item x="95"/>
        <item x="96"/>
        <item x="97"/>
        <item x="98"/>
        <item x="99"/>
        <item x="100"/>
        <item x="101"/>
        <item x="102"/>
        <item m="1" x="173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m="1" x="174"/>
        <item m="1" x="175"/>
        <item m="1" x="176"/>
        <item x="116"/>
        <item m="1" x="177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m="1" x="178"/>
        <item x="133"/>
        <item m="1" x="179"/>
        <item x="134"/>
        <item m="1" x="180"/>
        <item x="135"/>
        <item x="136"/>
        <item x="137"/>
        <item x="138"/>
        <item x="139"/>
        <item x="1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4"/>
        <item x="1"/>
        <item x="2"/>
        <item x="3"/>
        <item t="default"/>
      </items>
    </pivotField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agem de hash" fld="0" subtotal="count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3D2AA3-675B-4F25-AFF9-033BE6445586}" name="Tabela dinâmica14" cacheId="1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18:B29" firstHeaderRow="1" firstDataRow="1" firstDataCol="1"/>
  <pivotFields count="25">
    <pivotField dataField="1" showAll="0"/>
    <pivotField numFmtId="14" showAll="0">
      <items count="182">
        <item x="0"/>
        <item m="1" x="141"/>
        <item x="1"/>
        <item m="1" x="142"/>
        <item x="2"/>
        <item x="3"/>
        <item m="1" x="143"/>
        <item x="4"/>
        <item x="5"/>
        <item x="6"/>
        <item x="7"/>
        <item x="8"/>
        <item x="9"/>
        <item m="1" x="144"/>
        <item x="10"/>
        <item x="11"/>
        <item x="12"/>
        <item x="13"/>
        <item m="1" x="145"/>
        <item x="14"/>
        <item x="15"/>
        <item x="16"/>
        <item x="17"/>
        <item x="18"/>
        <item x="19"/>
        <item m="1" x="146"/>
        <item x="20"/>
        <item x="21"/>
        <item x="22"/>
        <item x="23"/>
        <item x="24"/>
        <item x="25"/>
        <item m="1" x="147"/>
        <item x="26"/>
        <item x="27"/>
        <item x="28"/>
        <item x="29"/>
        <item x="30"/>
        <item x="31"/>
        <item x="32"/>
        <item m="1" x="148"/>
        <item x="33"/>
        <item x="34"/>
        <item x="35"/>
        <item m="1" x="149"/>
        <item x="36"/>
        <item x="37"/>
        <item m="1" x="150"/>
        <item x="38"/>
        <item x="39"/>
        <item x="40"/>
        <item x="41"/>
        <item m="1" x="151"/>
        <item x="42"/>
        <item x="43"/>
        <item x="44"/>
        <item x="45"/>
        <item m="1" x="152"/>
        <item m="1" x="153"/>
        <item m="1" x="154"/>
        <item x="46"/>
        <item x="47"/>
        <item m="1" x="155"/>
        <item m="1" x="156"/>
        <item x="48"/>
        <item x="49"/>
        <item m="1" x="157"/>
        <item m="1" x="158"/>
        <item m="1" x="159"/>
        <item x="50"/>
        <item m="1" x="160"/>
        <item m="1" x="161"/>
        <item x="51"/>
        <item x="52"/>
        <item m="1" x="162"/>
        <item x="53"/>
        <item x="54"/>
        <item m="1" x="163"/>
        <item x="55"/>
        <item m="1" x="16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m="1" x="165"/>
        <item x="71"/>
        <item x="72"/>
        <item x="73"/>
        <item m="1" x="166"/>
        <item x="74"/>
        <item x="75"/>
        <item x="76"/>
        <item x="77"/>
        <item x="78"/>
        <item x="79"/>
        <item x="80"/>
        <item x="81"/>
        <item m="1" x="167"/>
        <item x="82"/>
        <item x="83"/>
        <item x="84"/>
        <item m="1" x="168"/>
        <item x="85"/>
        <item x="86"/>
        <item x="87"/>
        <item m="1" x="169"/>
        <item x="88"/>
        <item x="89"/>
        <item x="90"/>
        <item m="1" x="170"/>
        <item x="91"/>
        <item m="1" x="171"/>
        <item m="1" x="172"/>
        <item x="92"/>
        <item x="93"/>
        <item x="94"/>
        <item x="95"/>
        <item x="96"/>
        <item x="97"/>
        <item x="98"/>
        <item x="99"/>
        <item x="100"/>
        <item x="101"/>
        <item x="102"/>
        <item m="1" x="173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m="1" x="174"/>
        <item m="1" x="175"/>
        <item m="1" x="176"/>
        <item x="116"/>
        <item m="1" x="177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m="1" x="178"/>
        <item x="133"/>
        <item m="1" x="179"/>
        <item x="134"/>
        <item m="1" x="180"/>
        <item x="135"/>
        <item x="136"/>
        <item x="137"/>
        <item x="138"/>
        <item x="139"/>
        <item x="14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1">
        <item x="1"/>
        <item x="4"/>
        <item x="2"/>
        <item x="7"/>
        <item x="3"/>
        <item x="0"/>
        <item x="5"/>
        <item x="6"/>
        <item x="9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ntagem de hash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A6CD97-E72C-452E-91B1-D0E21088BBFD}" name="Tabela dinâmica13" cacheId="1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12:B16" firstHeaderRow="1" firstDataRow="1" firstDataCol="1"/>
  <pivotFields count="25">
    <pivotField dataField="1" showAll="0"/>
    <pivotField numFmtId="14" showAll="0">
      <items count="182">
        <item x="0"/>
        <item m="1" x="141"/>
        <item x="1"/>
        <item m="1" x="142"/>
        <item x="2"/>
        <item x="3"/>
        <item m="1" x="143"/>
        <item x="4"/>
        <item x="5"/>
        <item x="6"/>
        <item x="7"/>
        <item x="8"/>
        <item x="9"/>
        <item m="1" x="144"/>
        <item x="10"/>
        <item x="11"/>
        <item x="12"/>
        <item x="13"/>
        <item m="1" x="145"/>
        <item x="14"/>
        <item x="15"/>
        <item x="16"/>
        <item x="17"/>
        <item x="18"/>
        <item x="19"/>
        <item m="1" x="146"/>
        <item x="20"/>
        <item x="21"/>
        <item x="22"/>
        <item x="23"/>
        <item x="24"/>
        <item x="25"/>
        <item m="1" x="147"/>
        <item x="26"/>
        <item x="27"/>
        <item x="28"/>
        <item x="29"/>
        <item x="30"/>
        <item x="31"/>
        <item x="32"/>
        <item m="1" x="148"/>
        <item x="33"/>
        <item x="34"/>
        <item x="35"/>
        <item m="1" x="149"/>
        <item x="36"/>
        <item x="37"/>
        <item m="1" x="150"/>
        <item x="38"/>
        <item x="39"/>
        <item x="40"/>
        <item x="41"/>
        <item m="1" x="151"/>
        <item x="42"/>
        <item x="43"/>
        <item x="44"/>
        <item x="45"/>
        <item m="1" x="152"/>
        <item m="1" x="153"/>
        <item m="1" x="154"/>
        <item x="46"/>
        <item x="47"/>
        <item m="1" x="155"/>
        <item m="1" x="156"/>
        <item x="48"/>
        <item x="49"/>
        <item m="1" x="157"/>
        <item m="1" x="158"/>
        <item m="1" x="159"/>
        <item x="50"/>
        <item m="1" x="160"/>
        <item m="1" x="161"/>
        <item x="51"/>
        <item x="52"/>
        <item m="1" x="162"/>
        <item x="53"/>
        <item x="54"/>
        <item m="1" x="163"/>
        <item x="55"/>
        <item m="1" x="16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m="1" x="165"/>
        <item x="71"/>
        <item x="72"/>
        <item x="73"/>
        <item m="1" x="166"/>
        <item x="74"/>
        <item x="75"/>
        <item x="76"/>
        <item x="77"/>
        <item x="78"/>
        <item x="79"/>
        <item x="80"/>
        <item x="81"/>
        <item m="1" x="167"/>
        <item x="82"/>
        <item x="83"/>
        <item x="84"/>
        <item m="1" x="168"/>
        <item x="85"/>
        <item x="86"/>
        <item x="87"/>
        <item m="1" x="169"/>
        <item x="88"/>
        <item x="89"/>
        <item x="90"/>
        <item m="1" x="170"/>
        <item x="91"/>
        <item m="1" x="171"/>
        <item m="1" x="172"/>
        <item x="92"/>
        <item x="93"/>
        <item x="94"/>
        <item x="95"/>
        <item x="96"/>
        <item x="97"/>
        <item x="98"/>
        <item x="99"/>
        <item x="100"/>
        <item x="101"/>
        <item x="102"/>
        <item m="1" x="173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m="1" x="174"/>
        <item m="1" x="175"/>
        <item m="1" x="176"/>
        <item x="116"/>
        <item m="1" x="177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m="1" x="178"/>
        <item x="133"/>
        <item m="1" x="179"/>
        <item x="134"/>
        <item m="1" x="180"/>
        <item x="135"/>
        <item x="136"/>
        <item x="137"/>
        <item x="138"/>
        <item x="139"/>
        <item x="14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hash" fld="0" subtotal="count" baseField="0" baseItem="0"/>
  </dataField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DDFF86-E0E2-4C65-8BDC-BC916653DDBD}" name="Tabela dinâmica8" cacheId="1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3:B10" firstHeaderRow="1" firstDataRow="1" firstDataCol="1" rowPageCount="1" colPageCount="1"/>
  <pivotFields count="25">
    <pivotField dataField="1" showAll="0"/>
    <pivotField numFmtId="14" showAll="0">
      <items count="182">
        <item x="0"/>
        <item m="1" x="141"/>
        <item x="1"/>
        <item m="1" x="142"/>
        <item x="2"/>
        <item x="3"/>
        <item m="1" x="143"/>
        <item x="4"/>
        <item x="5"/>
        <item x="6"/>
        <item x="7"/>
        <item x="8"/>
        <item x="9"/>
        <item m="1" x="144"/>
        <item x="10"/>
        <item x="11"/>
        <item x="12"/>
        <item x="13"/>
        <item m="1" x="145"/>
        <item x="14"/>
        <item x="15"/>
        <item x="16"/>
        <item x="17"/>
        <item x="18"/>
        <item x="19"/>
        <item m="1" x="146"/>
        <item x="20"/>
        <item x="21"/>
        <item x="22"/>
        <item x="23"/>
        <item x="24"/>
        <item x="25"/>
        <item m="1" x="147"/>
        <item x="26"/>
        <item x="27"/>
        <item x="28"/>
        <item x="29"/>
        <item x="30"/>
        <item x="31"/>
        <item x="32"/>
        <item m="1" x="148"/>
        <item x="33"/>
        <item x="34"/>
        <item x="35"/>
        <item m="1" x="149"/>
        <item x="36"/>
        <item x="37"/>
        <item m="1" x="150"/>
        <item x="38"/>
        <item x="39"/>
        <item x="40"/>
        <item x="41"/>
        <item m="1" x="151"/>
        <item x="42"/>
        <item x="43"/>
        <item x="44"/>
        <item x="45"/>
        <item m="1" x="152"/>
        <item m="1" x="153"/>
        <item m="1" x="154"/>
        <item x="46"/>
        <item x="47"/>
        <item m="1" x="155"/>
        <item m="1" x="156"/>
        <item x="48"/>
        <item x="49"/>
        <item m="1" x="157"/>
        <item m="1" x="158"/>
        <item m="1" x="159"/>
        <item x="50"/>
        <item m="1" x="160"/>
        <item m="1" x="161"/>
        <item x="51"/>
        <item x="52"/>
        <item m="1" x="162"/>
        <item x="53"/>
        <item x="54"/>
        <item m="1" x="163"/>
        <item x="55"/>
        <item m="1" x="16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m="1" x="165"/>
        <item x="71"/>
        <item x="72"/>
        <item x="73"/>
        <item m="1" x="166"/>
        <item x="74"/>
        <item x="75"/>
        <item x="76"/>
        <item x="77"/>
        <item x="78"/>
        <item x="79"/>
        <item x="80"/>
        <item x="81"/>
        <item m="1" x="167"/>
        <item x="82"/>
        <item x="83"/>
        <item x="84"/>
        <item m="1" x="168"/>
        <item x="85"/>
        <item x="86"/>
        <item x="87"/>
        <item m="1" x="169"/>
        <item x="88"/>
        <item x="89"/>
        <item x="90"/>
        <item m="1" x="170"/>
        <item x="91"/>
        <item m="1" x="171"/>
        <item m="1" x="172"/>
        <item x="92"/>
        <item x="93"/>
        <item x="94"/>
        <item x="95"/>
        <item x="96"/>
        <item x="97"/>
        <item x="98"/>
        <item x="99"/>
        <item x="100"/>
        <item x="101"/>
        <item x="102"/>
        <item m="1" x="173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m="1" x="174"/>
        <item m="1" x="175"/>
        <item m="1" x="176"/>
        <item x="116"/>
        <item m="1" x="177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m="1" x="178"/>
        <item x="133"/>
        <item m="1" x="179"/>
        <item x="134"/>
        <item m="1" x="180"/>
        <item x="135"/>
        <item x="136"/>
        <item x="137"/>
        <item x="138"/>
        <item x="139"/>
        <item x="1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2"/>
        <item x="5"/>
        <item x="1"/>
        <item m="1" x="6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17">
        <item m="1" x="64"/>
        <item m="1" x="96"/>
        <item m="1" x="28"/>
        <item m="1" x="77"/>
        <item m="1" x="109"/>
        <item m="1" x="100"/>
        <item m="1" x="91"/>
        <item m="1" x="63"/>
        <item m="1" x="67"/>
        <item m="1" x="101"/>
        <item m="1" x="98"/>
        <item m="1" x="108"/>
        <item m="1" x="48"/>
        <item m="1" x="26"/>
        <item m="1" x="85"/>
        <item m="1" x="51"/>
        <item m="1" x="68"/>
        <item m="1" x="50"/>
        <item m="1" x="84"/>
        <item m="1" x="30"/>
        <item m="1" x="32"/>
        <item m="1" x="49"/>
        <item m="1" x="15"/>
        <item m="1" x="79"/>
        <item m="1" x="106"/>
        <item m="1" x="46"/>
        <item m="1" x="93"/>
        <item m="1" x="74"/>
        <item m="1" x="65"/>
        <item m="1" x="66"/>
        <item m="1" x="88"/>
        <item m="1" x="13"/>
        <item m="1" x="53"/>
        <item m="1" x="52"/>
        <item m="1" x="29"/>
        <item m="1" x="6"/>
        <item m="1" x="12"/>
        <item m="1" x="62"/>
        <item m="1" x="25"/>
        <item m="1" x="19"/>
        <item m="1" x="4"/>
        <item m="1" x="23"/>
        <item m="1" x="76"/>
        <item m="1" x="16"/>
        <item m="1" x="3"/>
        <item m="1" x="34"/>
        <item m="1" x="81"/>
        <item m="1" x="9"/>
        <item m="1" x="86"/>
        <item m="1" x="7"/>
        <item m="1" x="20"/>
        <item m="1" x="35"/>
        <item m="1" x="11"/>
        <item m="1" x="5"/>
        <item m="1" x="8"/>
        <item m="1" x="17"/>
        <item m="1" x="72"/>
        <item m="1" x="10"/>
        <item m="1" x="27"/>
        <item m="1" x="14"/>
        <item x="0"/>
        <item x="2"/>
        <item x="1"/>
        <item m="1" x="36"/>
        <item m="1" x="55"/>
        <item m="1" x="80"/>
        <item m="1" x="40"/>
        <item m="1" x="22"/>
        <item m="1" x="24"/>
        <item m="1" x="37"/>
        <item m="1" x="110"/>
        <item m="1" x="104"/>
        <item m="1" x="87"/>
        <item m="1" x="47"/>
        <item m="1" x="75"/>
        <item m="1" x="73"/>
        <item m="1" x="78"/>
        <item m="1" x="21"/>
        <item m="1" x="38"/>
        <item m="1" x="39"/>
        <item m="1" x="89"/>
        <item m="1" x="114"/>
        <item m="1" x="113"/>
        <item m="1" x="115"/>
        <item m="1" x="112"/>
        <item m="1" x="102"/>
        <item m="1" x="107"/>
        <item m="1" x="54"/>
        <item m="1" x="56"/>
        <item m="1" x="105"/>
        <item m="1" x="18"/>
        <item m="1" x="83"/>
        <item m="1" x="99"/>
        <item m="1" x="103"/>
        <item m="1" x="45"/>
        <item m="1" x="97"/>
        <item m="1" x="59"/>
        <item m="1" x="70"/>
        <item m="1" x="95"/>
        <item m="1" x="60"/>
        <item m="1" x="57"/>
        <item m="1" x="69"/>
        <item m="1" x="94"/>
        <item m="1" x="44"/>
        <item m="1" x="82"/>
        <item m="1" x="42"/>
        <item m="1" x="43"/>
        <item m="1" x="41"/>
        <item m="1" x="61"/>
        <item m="1" x="92"/>
        <item m="1" x="111"/>
        <item m="1" x="58"/>
        <item m="1" x="71"/>
        <item m="1" x="90"/>
        <item m="1" x="31"/>
        <item m="1" x="33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2"/>
  </rowFields>
  <rowItems count="7">
    <i>
      <x/>
    </i>
    <i>
      <x v="1"/>
    </i>
    <i>
      <x v="2"/>
    </i>
    <i>
      <x v="3"/>
    </i>
    <i>
      <x v="5"/>
    </i>
    <i>
      <x v="6"/>
    </i>
    <i t="grand">
      <x/>
    </i>
  </rowItems>
  <colItems count="1">
    <i/>
  </colItems>
  <pageFields count="1">
    <pageField fld="21" hier="-1"/>
  </pageFields>
  <dataFields count="1">
    <dataField name="Contagem de hash" fld="0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5F92FB-C661-441E-855C-B1C1FFE817CB}" name="Tabela dinâmica9" cacheId="1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1:B5" firstHeaderRow="1" firstDataRow="1" firstDataCol="1"/>
  <pivotFields count="25">
    <pivotField dataField="1" showAll="0"/>
    <pivotField numFmtId="14" showAll="0">
      <items count="182">
        <item x="0"/>
        <item m="1" x="141"/>
        <item x="1"/>
        <item m="1" x="142"/>
        <item x="2"/>
        <item x="3"/>
        <item m="1" x="143"/>
        <item x="4"/>
        <item x="5"/>
        <item x="6"/>
        <item x="7"/>
        <item x="8"/>
        <item x="9"/>
        <item m="1" x="144"/>
        <item x="10"/>
        <item x="11"/>
        <item x="12"/>
        <item x="13"/>
        <item m="1" x="145"/>
        <item x="14"/>
        <item x="15"/>
        <item x="16"/>
        <item x="17"/>
        <item x="18"/>
        <item x="19"/>
        <item m="1" x="146"/>
        <item x="20"/>
        <item x="21"/>
        <item x="22"/>
        <item x="23"/>
        <item x="24"/>
        <item x="25"/>
        <item m="1" x="147"/>
        <item x="26"/>
        <item x="27"/>
        <item x="28"/>
        <item x="29"/>
        <item x="30"/>
        <item x="31"/>
        <item x="32"/>
        <item m="1" x="148"/>
        <item x="33"/>
        <item x="34"/>
        <item x="35"/>
        <item m="1" x="149"/>
        <item x="36"/>
        <item x="37"/>
        <item m="1" x="150"/>
        <item x="38"/>
        <item x="39"/>
        <item x="40"/>
        <item x="41"/>
        <item m="1" x="151"/>
        <item x="42"/>
        <item x="43"/>
        <item x="44"/>
        <item x="45"/>
        <item m="1" x="152"/>
        <item m="1" x="153"/>
        <item m="1" x="154"/>
        <item x="46"/>
        <item x="47"/>
        <item m="1" x="155"/>
        <item m="1" x="156"/>
        <item x="48"/>
        <item x="49"/>
        <item m="1" x="157"/>
        <item m="1" x="158"/>
        <item m="1" x="159"/>
        <item x="50"/>
        <item m="1" x="160"/>
        <item m="1" x="161"/>
        <item x="51"/>
        <item x="52"/>
        <item m="1" x="162"/>
        <item x="53"/>
        <item x="54"/>
        <item m="1" x="163"/>
        <item x="55"/>
        <item m="1" x="16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m="1" x="165"/>
        <item x="71"/>
        <item x="72"/>
        <item x="73"/>
        <item m="1" x="166"/>
        <item x="74"/>
        <item x="75"/>
        <item x="76"/>
        <item x="77"/>
        <item x="78"/>
        <item x="79"/>
        <item x="80"/>
        <item x="81"/>
        <item m="1" x="167"/>
        <item x="82"/>
        <item x="83"/>
        <item x="84"/>
        <item m="1" x="168"/>
        <item x="85"/>
        <item x="86"/>
        <item x="87"/>
        <item m="1" x="169"/>
        <item x="88"/>
        <item x="89"/>
        <item x="90"/>
        <item m="1" x="170"/>
        <item x="91"/>
        <item m="1" x="171"/>
        <item m="1" x="172"/>
        <item x="92"/>
        <item x="93"/>
        <item x="94"/>
        <item x="95"/>
        <item x="96"/>
        <item x="97"/>
        <item x="98"/>
        <item x="99"/>
        <item x="100"/>
        <item x="101"/>
        <item x="102"/>
        <item m="1" x="173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m="1" x="174"/>
        <item m="1" x="175"/>
        <item m="1" x="176"/>
        <item x="116"/>
        <item m="1" x="177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m="1" x="178"/>
        <item x="133"/>
        <item m="1" x="179"/>
        <item x="134"/>
        <item m="1" x="180"/>
        <item x="135"/>
        <item x="136"/>
        <item x="137"/>
        <item x="138"/>
        <item x="139"/>
        <item x="1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7">
        <item h="1" m="1" x="64"/>
        <item h="1" m="1" x="96"/>
        <item h="1" m="1" x="28"/>
        <item h="1" m="1" x="77"/>
        <item h="1" m="1" x="109"/>
        <item h="1" m="1" x="100"/>
        <item h="1" m="1" x="91"/>
        <item h="1" m="1" x="63"/>
        <item h="1" m="1" x="67"/>
        <item h="1" m="1" x="101"/>
        <item h="1" m="1" x="98"/>
        <item h="1" m="1" x="108"/>
        <item h="1" m="1" x="48"/>
        <item h="1" m="1" x="26"/>
        <item h="1" m="1" x="85"/>
        <item h="1" m="1" x="51"/>
        <item h="1" m="1" x="68"/>
        <item h="1" m="1" x="50"/>
        <item h="1" m="1" x="84"/>
        <item h="1" m="1" x="30"/>
        <item h="1" m="1" x="32"/>
        <item h="1" m="1" x="49"/>
        <item h="1" m="1" x="15"/>
        <item h="1" m="1" x="79"/>
        <item h="1" m="1" x="106"/>
        <item h="1" m="1" x="46"/>
        <item h="1" m="1" x="93"/>
        <item h="1" m="1" x="74"/>
        <item h="1" m="1" x="65"/>
        <item h="1" m="1" x="66"/>
        <item h="1" m="1" x="88"/>
        <item h="1" m="1" x="13"/>
        <item h="1" m="1" x="53"/>
        <item h="1" m="1" x="52"/>
        <item h="1" m="1" x="29"/>
        <item h="1" m="1" x="6"/>
        <item h="1" m="1" x="12"/>
        <item h="1" m="1" x="62"/>
        <item h="1" m="1" x="25"/>
        <item h="1" m="1" x="19"/>
        <item h="1" m="1" x="4"/>
        <item h="1" m="1" x="23"/>
        <item h="1" m="1" x="76"/>
        <item h="1" m="1" x="16"/>
        <item h="1" m="1" x="3"/>
        <item h="1" m="1" x="34"/>
        <item h="1" m="1" x="81"/>
        <item h="1" m="1" x="9"/>
        <item h="1" m="1" x="86"/>
        <item h="1" m="1" x="7"/>
        <item h="1" m="1" x="20"/>
        <item h="1" m="1" x="35"/>
        <item h="1" m="1" x="11"/>
        <item h="1" m="1" x="5"/>
        <item h="1" m="1" x="8"/>
        <item h="1" m="1" x="17"/>
        <item h="1" m="1" x="72"/>
        <item h="1" m="1" x="10"/>
        <item h="1" m="1" x="27"/>
        <item h="1" m="1" x="14"/>
        <item x="0"/>
        <item x="2"/>
        <item x="1"/>
        <item h="1" m="1" x="36"/>
        <item h="1" m="1" x="55"/>
        <item h="1" m="1" x="80"/>
        <item h="1" m="1" x="40"/>
        <item h="1" m="1" x="22"/>
        <item h="1" m="1" x="24"/>
        <item h="1" m="1" x="37"/>
        <item h="1" m="1" x="110"/>
        <item h="1" m="1" x="104"/>
        <item h="1" m="1" x="87"/>
        <item h="1" m="1" x="47"/>
        <item h="1" m="1" x="75"/>
        <item h="1" m="1" x="73"/>
        <item h="1" m="1" x="78"/>
        <item h="1" m="1" x="21"/>
        <item h="1" m="1" x="38"/>
        <item h="1" m="1" x="39"/>
        <item h="1" m="1" x="89"/>
        <item h="1" m="1" x="114"/>
        <item h="1" m="1" x="113"/>
        <item h="1" m="1" x="115"/>
        <item h="1" m="1" x="112"/>
        <item h="1" m="1" x="102"/>
        <item h="1" m="1" x="107"/>
        <item h="1" m="1" x="54"/>
        <item h="1" m="1" x="56"/>
        <item h="1" m="1" x="105"/>
        <item h="1" m="1" x="18"/>
        <item h="1" m="1" x="83"/>
        <item h="1" m="1" x="99"/>
        <item h="1" m="1" x="103"/>
        <item h="1" m="1" x="45"/>
        <item h="1" m="1" x="97"/>
        <item h="1" m="1" x="59"/>
        <item h="1" m="1" x="70"/>
        <item h="1" m="1" x="95"/>
        <item h="1" m="1" x="60"/>
        <item h="1" m="1" x="57"/>
        <item h="1" m="1" x="69"/>
        <item h="1" m="1" x="94"/>
        <item h="1" m="1" x="44"/>
        <item h="1" m="1" x="82"/>
        <item h="1" m="1" x="42"/>
        <item h="1" m="1" x="43"/>
        <item h="1" m="1" x="41"/>
        <item h="1" m="1" x="61"/>
        <item h="1" m="1" x="92"/>
        <item h="1" m="1" x="111"/>
        <item h="1" m="1" x="58"/>
        <item h="1" m="1" x="71"/>
        <item h="1" m="1" x="90"/>
        <item h="1" m="1" x="31"/>
        <item h="1" m="1" x="33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1"/>
  </rowFields>
  <rowItems count="4">
    <i>
      <x v="60"/>
    </i>
    <i>
      <x v="61"/>
    </i>
    <i>
      <x v="62"/>
    </i>
    <i t="grand">
      <x/>
    </i>
  </rowItems>
  <colItems count="1">
    <i/>
  </colItems>
  <dataFields count="1">
    <dataField name="Contagem de hash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04FB4D6-AFC2-43C0-A0B3-97D0EDF98F00}" autoFormatId="16" applyNumberFormats="0" applyBorderFormats="0" applyFontFormats="0" applyPatternFormats="0" applyAlignmentFormats="0" applyWidthHeightFormats="0">
  <queryTableRefresh nextId="25">
    <queryTableFields count="23">
      <queryTableField id="22" name="hash" tableColumnId="22"/>
      <queryTableField id="1" name="Data_de_cadastro" tableColumnId="1"/>
      <queryTableField id="2" name="Cenário_da_violação" tableColumnId="2"/>
      <queryTableField id="3" name="UF" tableColumnId="3"/>
      <queryTableField id="4" name="Início_das_violações" tableColumnId="4"/>
      <queryTableField id="5" name="Grupo_vulnerável" tableColumnId="5"/>
      <queryTableField id="6" name="Relação_vítima_suspeito" tableColumnId="6"/>
      <queryTableField id="7" name="Genero_da_vítima" tableColumnId="7"/>
      <queryTableField id="8" name="Faixa_etária_da_vítima" tableColumnId="8"/>
      <queryTableField id="9" name="UF_da_vítima" tableColumnId="9"/>
      <queryTableField id="10" name="Grau_de_instrução_da_vítima" tableColumnId="10"/>
      <queryTableField id="11" name="Religião_da_vítima" tableColumnId="11"/>
      <queryTableField id="12" name="Raça_Cor_da_vítima" tableColumnId="12"/>
      <queryTableField id="13" name="Etnia_da_vítima" tableColumnId="13"/>
      <queryTableField id="14" name="Genero_do_suspeito" tableColumnId="14"/>
      <queryTableField id="15" name="Faixa_etária_do_suspeito" tableColumnId="15"/>
      <queryTableField id="16" name="Suspeito_preso" tableColumnId="16"/>
      <queryTableField id="17" name="UF_do_suspeito" tableColumnId="17"/>
      <queryTableField id="18" name="Religião_do_suspeito" tableColumnId="18"/>
      <queryTableField id="19" name="Raça_Cor_do_suspeito" tableColumnId="19"/>
      <queryTableField id="20" name="sl_suspeito_ramo" tableColumnId="20"/>
      <queryTableField id="21" name="violacao" tableColumnId="21"/>
      <queryTableField id="24" name="Data_de_cadastro - Mês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7E95D3-F537-40A9-AF28-7C2057A79F8B}" name="disque100_primeiro_semestre_2025__1" displayName="disque100_primeiro_semestre_2025__1" ref="A1:W1279" tableType="queryTable" totalsRowShown="0">
  <autoFilter ref="A1:W1279" xr:uid="{507E95D3-F537-40A9-AF28-7C2057A79F8B}"/>
  <tableColumns count="23">
    <tableColumn id="22" xr3:uid="{1B6BEF08-B323-431E-814D-9268C87235BE}" uniqueName="22" name="hash" queryTableFieldId="22" dataDxfId="22"/>
    <tableColumn id="1" xr3:uid="{58465197-4E82-442A-9C6F-F05D0FD83242}" uniqueName="1" name="Data_de_cadastro" queryTableFieldId="1" dataDxfId="21"/>
    <tableColumn id="2" xr3:uid="{30DA1C8F-1C0E-4CE6-948D-9778B94FB4A2}" uniqueName="2" name="Cenário_da_violação" queryTableFieldId="2" dataDxfId="20"/>
    <tableColumn id="3" xr3:uid="{0638CC85-A84B-46E7-BBFF-039C573DB65E}" uniqueName="3" name="UF" queryTableFieldId="3" dataDxfId="19"/>
    <tableColumn id="4" xr3:uid="{DEB149A8-1C9C-45D8-BEC2-4EC93E3BAB26}" uniqueName="4" name="Início_das_violações" queryTableFieldId="4" dataDxfId="18"/>
    <tableColumn id="5" xr3:uid="{5214CF77-87B2-4793-BE69-0E4FAF7A1972}" uniqueName="5" name="Grupo_vulnerável" queryTableFieldId="5" dataDxfId="17"/>
    <tableColumn id="6" xr3:uid="{A7B8724A-E104-4923-8BF7-70D6370C1CD1}" uniqueName="6" name="Relação_vítima_suspeito" queryTableFieldId="6" dataDxfId="16"/>
    <tableColumn id="7" xr3:uid="{4792C1DF-3506-4FA3-B2F4-7027E8BA0696}" uniqueName="7" name="Genero_da_vítima" queryTableFieldId="7" dataDxfId="15"/>
    <tableColumn id="8" xr3:uid="{842FE759-71D1-4CDE-B0CA-60E0D2E2701D}" uniqueName="8" name="Faixa_etária_da_vítima" queryTableFieldId="8" dataDxfId="14"/>
    <tableColumn id="9" xr3:uid="{FA162C32-97F1-45C7-BA01-ABBD4D2DBFD6}" uniqueName="9" name="UF_da_vítima" queryTableFieldId="9" dataDxfId="13"/>
    <tableColumn id="10" xr3:uid="{7EB66596-1D47-4270-8494-0578F1B0573D}" uniqueName="10" name="Grau_de_instrução_da_vítima" queryTableFieldId="10" dataDxfId="12"/>
    <tableColumn id="11" xr3:uid="{6713516C-9A95-4FE6-A303-ABE949BEBA8A}" uniqueName="11" name="Religião_da_vítima" queryTableFieldId="11" dataDxfId="11"/>
    <tableColumn id="12" xr3:uid="{64E3A85A-1C6A-499C-9D41-79A320E7CEB9}" uniqueName="12" name="Raça_Cor_da_vítima" queryTableFieldId="12" dataDxfId="10"/>
    <tableColumn id="13" xr3:uid="{8E77C6C0-1575-46FC-AAF2-B65A70507A98}" uniqueName="13" name="Etnia_da_vítima" queryTableFieldId="13" dataDxfId="9"/>
    <tableColumn id="14" xr3:uid="{26549C25-B8C9-4B05-B754-9E050D36B2A4}" uniqueName="14" name="Genero_do_suspeito" queryTableFieldId="14" dataDxfId="8"/>
    <tableColumn id="15" xr3:uid="{26132B09-5DF2-4A71-96E5-3416E60951B0}" uniqueName="15" name="Faixa_etária_do_suspeito" queryTableFieldId="15" dataDxfId="7"/>
    <tableColumn id="16" xr3:uid="{80E4D0A5-21A1-4737-9CDE-3D0E398AD26E}" uniqueName="16" name="Suspeito_preso" queryTableFieldId="16" dataDxfId="6"/>
    <tableColumn id="17" xr3:uid="{F0EC29B9-D70D-4E4A-B363-4A4AB2497C74}" uniqueName="17" name="UF_do_suspeito" queryTableFieldId="17" dataDxfId="5"/>
    <tableColumn id="18" xr3:uid="{33BED228-7D76-4E4C-BBE5-DF7DEFD63CC6}" uniqueName="18" name="Religião_do_suspeito" queryTableFieldId="18" dataDxfId="4"/>
    <tableColumn id="19" xr3:uid="{9AD1A246-5853-4F0B-B0F2-9B39FB3CB0EB}" uniqueName="19" name="Raça_Cor_do_suspeito" queryTableFieldId="19" dataDxfId="3"/>
    <tableColumn id="20" xr3:uid="{1C3B06AD-722B-4DDD-86AE-505E9591FC14}" uniqueName="20" name="sl_suspeito_ramo" queryTableFieldId="20" dataDxfId="2"/>
    <tableColumn id="21" xr3:uid="{23CDEBD1-C11E-47B2-BA72-FA27818634C6}" uniqueName="21" name="violacao" queryTableFieldId="21" dataDxfId="1"/>
    <tableColumn id="23" xr3:uid="{42FD88F4-ADD9-44D3-9DE3-CECA15E8ABBD}" uniqueName="23" name="Data_de_cadastro - Mês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5.xml"/><Relationship Id="rId3" Type="http://schemas.openxmlformats.org/officeDocument/2006/relationships/pivotTable" Target="../pivotTables/pivotTable8.xml"/><Relationship Id="rId7" Type="http://schemas.openxmlformats.org/officeDocument/2006/relationships/pivotTable" Target="../pivotTables/pivotTable1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0B16-286E-4754-ABD9-2BB00F55C243}">
  <dimension ref="A1:W1279"/>
  <sheetViews>
    <sheetView workbookViewId="0">
      <selection activeCell="A10" sqref="A10"/>
    </sheetView>
  </sheetViews>
  <sheetFormatPr defaultRowHeight="14.4" x14ac:dyDescent="0.3"/>
  <cols>
    <col min="1" max="1" width="71.109375" bestFit="1" customWidth="1"/>
    <col min="2" max="2" width="18.21875" bestFit="1" customWidth="1"/>
    <col min="3" max="3" width="39" bestFit="1" customWidth="1"/>
    <col min="4" max="4" width="15.5546875" bestFit="1" customWidth="1"/>
    <col min="5" max="5" width="21.6640625" bestFit="1" customWidth="1"/>
    <col min="6" max="6" width="48.33203125" bestFit="1" customWidth="1"/>
    <col min="7" max="7" width="64.6640625" bestFit="1" customWidth="1"/>
    <col min="8" max="8" width="18.33203125" bestFit="1" customWidth="1"/>
    <col min="9" max="9" width="22.5546875" bestFit="1" customWidth="1"/>
    <col min="10" max="10" width="33" bestFit="1" customWidth="1"/>
    <col min="11" max="11" width="32.21875" bestFit="1" customWidth="1"/>
    <col min="12" max="12" width="42.21875" bestFit="1" customWidth="1"/>
    <col min="13" max="13" width="20.21875" bestFit="1" customWidth="1"/>
    <col min="14" max="14" width="42.6640625" bestFit="1" customWidth="1"/>
    <col min="15" max="15" width="20.21875" bestFit="1" customWidth="1"/>
    <col min="16" max="16" width="24.44140625" bestFit="1" customWidth="1"/>
    <col min="17" max="17" width="16.109375" bestFit="1" customWidth="1"/>
    <col min="18" max="18" width="33" bestFit="1" customWidth="1"/>
    <col min="19" max="19" width="29.109375" bestFit="1" customWidth="1"/>
    <col min="20" max="20" width="22" bestFit="1" customWidth="1"/>
    <col min="21" max="21" width="80.88671875" bestFit="1" customWidth="1"/>
    <col min="22" max="22" width="44" bestFit="1" customWidth="1"/>
    <col min="23" max="23" width="23" bestFit="1" customWidth="1"/>
  </cols>
  <sheetData>
    <row r="1" spans="1:23" x14ac:dyDescent="0.3">
      <c r="A1" t="s">
        <v>160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355</v>
      </c>
    </row>
    <row r="2" spans="1:23" x14ac:dyDescent="0.3">
      <c r="A2" s="6" t="s">
        <v>161</v>
      </c>
      <c r="B2" s="1">
        <v>45658</v>
      </c>
      <c r="C2" s="6" t="s">
        <v>33</v>
      </c>
      <c r="D2" s="6" t="s">
        <v>81</v>
      </c>
      <c r="E2" s="6" t="s">
        <v>68</v>
      </c>
      <c r="F2" s="6" t="s">
        <v>24</v>
      </c>
      <c r="G2" s="6" t="s">
        <v>61</v>
      </c>
      <c r="H2" s="6" t="s">
        <v>26</v>
      </c>
      <c r="I2" s="6" t="s">
        <v>52</v>
      </c>
      <c r="J2" s="6" t="s">
        <v>81</v>
      </c>
      <c r="K2" s="6" t="s">
        <v>48</v>
      </c>
      <c r="L2" s="6" t="s">
        <v>54</v>
      </c>
      <c r="M2" s="6" t="s">
        <v>29</v>
      </c>
      <c r="N2" s="6" t="s">
        <v>28</v>
      </c>
      <c r="O2" s="6" t="s">
        <v>26</v>
      </c>
      <c r="P2" s="6" t="s">
        <v>48</v>
      </c>
      <c r="Q2" s="6" t="s">
        <v>48</v>
      </c>
      <c r="R2" s="6" t="s">
        <v>40</v>
      </c>
      <c r="S2" s="6" t="s">
        <v>54</v>
      </c>
      <c r="T2" s="6" t="s">
        <v>32</v>
      </c>
      <c r="U2" s="6" t="s">
        <v>28</v>
      </c>
      <c r="V2" s="6" t="s">
        <v>82</v>
      </c>
      <c r="W2" t="s">
        <v>352</v>
      </c>
    </row>
    <row r="3" spans="1:23" x14ac:dyDescent="0.3">
      <c r="A3" s="6" t="s">
        <v>162</v>
      </c>
      <c r="B3" s="1">
        <v>45660</v>
      </c>
      <c r="C3" s="6" t="s">
        <v>343</v>
      </c>
      <c r="D3" s="6" t="s">
        <v>22</v>
      </c>
      <c r="E3" s="6" t="s">
        <v>35</v>
      </c>
      <c r="F3" s="6" t="s">
        <v>24</v>
      </c>
      <c r="G3" s="6" t="s">
        <v>68</v>
      </c>
      <c r="H3" s="6" t="s">
        <v>48</v>
      </c>
      <c r="I3" s="6" t="s">
        <v>100</v>
      </c>
      <c r="J3" s="6" t="s">
        <v>22</v>
      </c>
      <c r="K3" s="6" t="s">
        <v>48</v>
      </c>
      <c r="L3" s="6" t="s">
        <v>54</v>
      </c>
      <c r="M3" s="6" t="s">
        <v>48</v>
      </c>
      <c r="N3" s="6" t="s">
        <v>28</v>
      </c>
      <c r="O3" s="6" t="s">
        <v>48</v>
      </c>
      <c r="P3" s="6" t="s">
        <v>48</v>
      </c>
      <c r="Q3" s="6" t="s">
        <v>48</v>
      </c>
      <c r="R3" s="6" t="s">
        <v>22</v>
      </c>
      <c r="S3" s="6" t="s">
        <v>54</v>
      </c>
      <c r="T3" s="6" t="s">
        <v>48</v>
      </c>
      <c r="U3" s="6" t="s">
        <v>121</v>
      </c>
      <c r="V3" s="6" t="s">
        <v>82</v>
      </c>
      <c r="W3" t="s">
        <v>352</v>
      </c>
    </row>
    <row r="4" spans="1:23" x14ac:dyDescent="0.3">
      <c r="A4" s="6" t="s">
        <v>163</v>
      </c>
      <c r="B4" s="1">
        <v>45660</v>
      </c>
      <c r="C4" s="6" t="s">
        <v>343</v>
      </c>
      <c r="D4" s="6" t="s">
        <v>43</v>
      </c>
      <c r="E4" s="6" t="s">
        <v>23</v>
      </c>
      <c r="F4" s="6" t="s">
        <v>24</v>
      </c>
      <c r="G4" s="6" t="s">
        <v>61</v>
      </c>
      <c r="H4" s="6" t="s">
        <v>48</v>
      </c>
      <c r="I4" s="6" t="s">
        <v>42</v>
      </c>
      <c r="J4" s="6" t="s">
        <v>43</v>
      </c>
      <c r="K4" s="6" t="s">
        <v>48</v>
      </c>
      <c r="L4" s="6" t="s">
        <v>705</v>
      </c>
      <c r="M4" s="6" t="s">
        <v>48</v>
      </c>
      <c r="N4" s="6" t="s">
        <v>28</v>
      </c>
      <c r="O4" s="6" t="s">
        <v>30</v>
      </c>
      <c r="P4" s="6" t="s">
        <v>48</v>
      </c>
      <c r="Q4" s="6" t="s">
        <v>48</v>
      </c>
      <c r="R4" s="6" t="s">
        <v>43</v>
      </c>
      <c r="S4" s="6" t="s">
        <v>54</v>
      </c>
      <c r="T4" s="6" t="s">
        <v>48</v>
      </c>
      <c r="U4" s="6" t="s">
        <v>28</v>
      </c>
      <c r="V4" s="6" t="s">
        <v>137</v>
      </c>
      <c r="W4" t="s">
        <v>352</v>
      </c>
    </row>
    <row r="5" spans="1:23" x14ac:dyDescent="0.3">
      <c r="A5" s="6" t="s">
        <v>163</v>
      </c>
      <c r="B5" s="1">
        <v>45660</v>
      </c>
      <c r="C5" s="6" t="s">
        <v>343</v>
      </c>
      <c r="D5" s="6" t="s">
        <v>43</v>
      </c>
      <c r="E5" s="6" t="s">
        <v>23</v>
      </c>
      <c r="F5" s="6" t="s">
        <v>24</v>
      </c>
      <c r="G5" s="6" t="s">
        <v>61</v>
      </c>
      <c r="H5" s="6" t="s">
        <v>48</v>
      </c>
      <c r="I5" s="6" t="s">
        <v>42</v>
      </c>
      <c r="J5" s="6" t="s">
        <v>43</v>
      </c>
      <c r="K5" s="6" t="s">
        <v>48</v>
      </c>
      <c r="L5" s="6" t="s">
        <v>705</v>
      </c>
      <c r="M5" s="6" t="s">
        <v>48</v>
      </c>
      <c r="N5" s="6" t="s">
        <v>28</v>
      </c>
      <c r="O5" s="6" t="s">
        <v>30</v>
      </c>
      <c r="P5" s="6" t="s">
        <v>48</v>
      </c>
      <c r="Q5" s="6" t="s">
        <v>48</v>
      </c>
      <c r="R5" s="6" t="s">
        <v>43</v>
      </c>
      <c r="S5" s="6" t="s">
        <v>54</v>
      </c>
      <c r="T5" s="6" t="s">
        <v>48</v>
      </c>
      <c r="U5" s="6" t="s">
        <v>28</v>
      </c>
      <c r="V5" s="6" t="s">
        <v>82</v>
      </c>
      <c r="W5" t="s">
        <v>352</v>
      </c>
    </row>
    <row r="6" spans="1:23" x14ac:dyDescent="0.3">
      <c r="A6" s="6" t="s">
        <v>164</v>
      </c>
      <c r="B6" s="1">
        <v>45662</v>
      </c>
      <c r="C6" s="6" t="s">
        <v>343</v>
      </c>
      <c r="D6" s="6" t="s">
        <v>60</v>
      </c>
      <c r="E6" s="6" t="s">
        <v>41</v>
      </c>
      <c r="F6" s="6" t="s">
        <v>24</v>
      </c>
      <c r="G6" s="6" t="s">
        <v>71</v>
      </c>
      <c r="H6" s="6" t="s">
        <v>26</v>
      </c>
      <c r="I6" s="6" t="s">
        <v>38</v>
      </c>
      <c r="J6" s="6" t="s">
        <v>60</v>
      </c>
      <c r="K6" s="6" t="s">
        <v>53</v>
      </c>
      <c r="L6" s="6" t="s">
        <v>54</v>
      </c>
      <c r="M6" s="6" t="s">
        <v>32</v>
      </c>
      <c r="N6" s="6" t="s">
        <v>28</v>
      </c>
      <c r="O6" s="6" t="s">
        <v>26</v>
      </c>
      <c r="P6" s="6" t="s">
        <v>788</v>
      </c>
      <c r="Q6" s="6" t="s">
        <v>31</v>
      </c>
      <c r="R6" s="6" t="s">
        <v>60</v>
      </c>
      <c r="S6" s="6" t="s">
        <v>54</v>
      </c>
      <c r="T6" s="6" t="s">
        <v>32</v>
      </c>
      <c r="U6" s="6" t="s">
        <v>28</v>
      </c>
      <c r="V6" s="6" t="s">
        <v>146</v>
      </c>
      <c r="W6" t="s">
        <v>352</v>
      </c>
    </row>
    <row r="7" spans="1:23" x14ac:dyDescent="0.3">
      <c r="A7" s="6" t="s">
        <v>165</v>
      </c>
      <c r="B7" s="1">
        <v>45663</v>
      </c>
      <c r="C7" s="6" t="s">
        <v>33</v>
      </c>
      <c r="D7" s="6" t="s">
        <v>40</v>
      </c>
      <c r="E7" s="6" t="s">
        <v>46</v>
      </c>
      <c r="F7" s="6" t="s">
        <v>24</v>
      </c>
      <c r="G7" s="6" t="s">
        <v>86</v>
      </c>
      <c r="H7" s="6" t="s">
        <v>48</v>
      </c>
      <c r="I7" s="6" t="s">
        <v>58</v>
      </c>
      <c r="J7" s="6" t="s">
        <v>40</v>
      </c>
      <c r="K7" s="6" t="s">
        <v>48</v>
      </c>
      <c r="L7" s="6" t="s">
        <v>54</v>
      </c>
      <c r="M7" s="6" t="s">
        <v>48</v>
      </c>
      <c r="N7" s="6" t="s">
        <v>28</v>
      </c>
      <c r="O7" s="6" t="s">
        <v>48</v>
      </c>
      <c r="P7" s="6" t="s">
        <v>48</v>
      </c>
      <c r="Q7" s="6" t="s">
        <v>48</v>
      </c>
      <c r="R7" s="6" t="s">
        <v>40</v>
      </c>
      <c r="S7" s="6" t="s">
        <v>54</v>
      </c>
      <c r="T7" s="6" t="s">
        <v>48</v>
      </c>
      <c r="U7" s="6" t="s">
        <v>116</v>
      </c>
      <c r="V7" s="6" t="s">
        <v>82</v>
      </c>
      <c r="W7" t="s">
        <v>352</v>
      </c>
    </row>
    <row r="8" spans="1:23" x14ac:dyDescent="0.3">
      <c r="A8" s="6" t="s">
        <v>166</v>
      </c>
      <c r="B8" s="1">
        <v>45663</v>
      </c>
      <c r="C8" s="6" t="s">
        <v>33</v>
      </c>
      <c r="D8" s="6" t="s">
        <v>91</v>
      </c>
      <c r="E8" s="6" t="s">
        <v>41</v>
      </c>
      <c r="F8" s="6" t="s">
        <v>24</v>
      </c>
      <c r="G8" s="6" t="s">
        <v>36</v>
      </c>
      <c r="H8" s="6" t="s">
        <v>26</v>
      </c>
      <c r="I8" s="6" t="s">
        <v>37</v>
      </c>
      <c r="J8" s="6" t="s">
        <v>91</v>
      </c>
      <c r="K8" s="6" t="s">
        <v>48</v>
      </c>
      <c r="L8" s="6" t="s">
        <v>704</v>
      </c>
      <c r="M8" s="6" t="s">
        <v>29</v>
      </c>
      <c r="N8" s="6" t="s">
        <v>28</v>
      </c>
      <c r="O8" s="6" t="s">
        <v>30</v>
      </c>
      <c r="P8" s="6" t="s">
        <v>45</v>
      </c>
      <c r="Q8" s="6" t="s">
        <v>31</v>
      </c>
      <c r="R8" s="6" t="s">
        <v>91</v>
      </c>
      <c r="S8" s="6" t="s">
        <v>128</v>
      </c>
      <c r="T8" s="6" t="s">
        <v>48</v>
      </c>
      <c r="U8" s="6" t="s">
        <v>28</v>
      </c>
      <c r="V8" s="6" t="s">
        <v>82</v>
      </c>
      <c r="W8" t="s">
        <v>352</v>
      </c>
    </row>
    <row r="9" spans="1:23" x14ac:dyDescent="0.3">
      <c r="A9" s="6" t="s">
        <v>167</v>
      </c>
      <c r="B9" s="1">
        <v>45665</v>
      </c>
      <c r="C9" s="6" t="s">
        <v>144</v>
      </c>
      <c r="D9" s="6" t="s">
        <v>22</v>
      </c>
      <c r="E9" s="6" t="s">
        <v>68</v>
      </c>
      <c r="F9" s="6" t="s">
        <v>24</v>
      </c>
      <c r="G9" s="6" t="s">
        <v>61</v>
      </c>
      <c r="H9" s="6" t="s">
        <v>48</v>
      </c>
      <c r="I9" s="6" t="s">
        <v>45</v>
      </c>
      <c r="J9" s="6" t="s">
        <v>49</v>
      </c>
      <c r="K9" s="6" t="s">
        <v>48</v>
      </c>
      <c r="L9" s="6" t="s">
        <v>54</v>
      </c>
      <c r="M9" s="6" t="s">
        <v>48</v>
      </c>
      <c r="N9" s="6" t="s">
        <v>28</v>
      </c>
      <c r="O9" s="6" t="s">
        <v>48</v>
      </c>
      <c r="P9" s="6" t="s">
        <v>58</v>
      </c>
      <c r="Q9" s="6" t="s">
        <v>31</v>
      </c>
      <c r="R9" s="6" t="s">
        <v>49</v>
      </c>
      <c r="S9" s="6" t="s">
        <v>54</v>
      </c>
      <c r="T9" s="6" t="s">
        <v>48</v>
      </c>
      <c r="U9" s="6" t="s">
        <v>28</v>
      </c>
      <c r="V9" s="6" t="s">
        <v>146</v>
      </c>
      <c r="W9" t="s">
        <v>352</v>
      </c>
    </row>
    <row r="10" spans="1:23" x14ac:dyDescent="0.3">
      <c r="A10" s="6" t="s">
        <v>167</v>
      </c>
      <c r="B10" s="1">
        <v>45665</v>
      </c>
      <c r="C10" s="6" t="s">
        <v>144</v>
      </c>
      <c r="D10" s="6" t="s">
        <v>22</v>
      </c>
      <c r="E10" s="6" t="s">
        <v>68</v>
      </c>
      <c r="F10" s="6" t="s">
        <v>24</v>
      </c>
      <c r="G10" s="6" t="s">
        <v>61</v>
      </c>
      <c r="H10" s="6" t="s">
        <v>48</v>
      </c>
      <c r="I10" s="6" t="s">
        <v>45</v>
      </c>
      <c r="J10" s="6" t="s">
        <v>49</v>
      </c>
      <c r="K10" s="6" t="s">
        <v>48</v>
      </c>
      <c r="L10" s="6" t="s">
        <v>54</v>
      </c>
      <c r="M10" s="6" t="s">
        <v>48</v>
      </c>
      <c r="N10" s="6" t="s">
        <v>28</v>
      </c>
      <c r="O10" s="6" t="s">
        <v>48</v>
      </c>
      <c r="P10" s="6" t="s">
        <v>58</v>
      </c>
      <c r="Q10" s="6" t="s">
        <v>31</v>
      </c>
      <c r="R10" s="6" t="s">
        <v>49</v>
      </c>
      <c r="S10" s="6" t="s">
        <v>54</v>
      </c>
      <c r="T10" s="6" t="s">
        <v>48</v>
      </c>
      <c r="U10" s="6" t="s">
        <v>28</v>
      </c>
      <c r="V10" s="6" t="s">
        <v>82</v>
      </c>
      <c r="W10" t="s">
        <v>352</v>
      </c>
    </row>
    <row r="11" spans="1:23" x14ac:dyDescent="0.3">
      <c r="A11" s="6" t="s">
        <v>168</v>
      </c>
      <c r="B11" s="1">
        <v>45666</v>
      </c>
      <c r="C11" s="6" t="s">
        <v>39</v>
      </c>
      <c r="D11" s="6" t="s">
        <v>60</v>
      </c>
      <c r="E11" s="6" t="s">
        <v>35</v>
      </c>
      <c r="F11" s="6" t="s">
        <v>24</v>
      </c>
      <c r="G11" s="6" t="s">
        <v>61</v>
      </c>
      <c r="H11" s="6" t="s">
        <v>26</v>
      </c>
      <c r="I11" s="6" t="s">
        <v>38</v>
      </c>
      <c r="J11" s="6" t="s">
        <v>60</v>
      </c>
      <c r="K11" s="6" t="s">
        <v>53</v>
      </c>
      <c r="L11" s="6" t="s">
        <v>54</v>
      </c>
      <c r="M11" s="6" t="s">
        <v>32</v>
      </c>
      <c r="N11" s="6" t="s">
        <v>28</v>
      </c>
      <c r="O11" s="6" t="s">
        <v>48</v>
      </c>
      <c r="P11" s="6" t="s">
        <v>48</v>
      </c>
      <c r="Q11" s="6" t="s">
        <v>48</v>
      </c>
      <c r="R11" s="6" t="s">
        <v>60</v>
      </c>
      <c r="S11" s="6" t="s">
        <v>54</v>
      </c>
      <c r="T11" s="6" t="s">
        <v>48</v>
      </c>
      <c r="U11" s="6" t="s">
        <v>59</v>
      </c>
      <c r="V11" s="6" t="s">
        <v>82</v>
      </c>
      <c r="W11" t="s">
        <v>352</v>
      </c>
    </row>
    <row r="12" spans="1:23" x14ac:dyDescent="0.3">
      <c r="A12" s="6" t="s">
        <v>169</v>
      </c>
      <c r="B12" s="1">
        <v>45667</v>
      </c>
      <c r="C12" s="6" t="s">
        <v>84</v>
      </c>
      <c r="D12" s="6" t="s">
        <v>22</v>
      </c>
      <c r="E12" s="6" t="s">
        <v>68</v>
      </c>
      <c r="F12" s="6" t="s">
        <v>24</v>
      </c>
      <c r="G12" s="6" t="s">
        <v>97</v>
      </c>
      <c r="H12" s="6" t="s">
        <v>26</v>
      </c>
      <c r="I12" s="6" t="s">
        <v>38</v>
      </c>
      <c r="J12" s="6" t="s">
        <v>22</v>
      </c>
      <c r="K12" s="6" t="s">
        <v>48</v>
      </c>
      <c r="L12" s="6" t="s">
        <v>54</v>
      </c>
      <c r="M12" s="6" t="s">
        <v>32</v>
      </c>
      <c r="N12" s="6" t="s">
        <v>28</v>
      </c>
      <c r="O12" s="6" t="s">
        <v>30</v>
      </c>
      <c r="P12" s="6" t="s">
        <v>48</v>
      </c>
      <c r="Q12" s="6" t="s">
        <v>48</v>
      </c>
      <c r="R12" s="6" t="s">
        <v>22</v>
      </c>
      <c r="S12" s="6" t="s">
        <v>54</v>
      </c>
      <c r="T12" s="6" t="s">
        <v>48</v>
      </c>
      <c r="U12" s="6" t="s">
        <v>28</v>
      </c>
      <c r="V12" s="6" t="s">
        <v>146</v>
      </c>
      <c r="W12" t="s">
        <v>352</v>
      </c>
    </row>
    <row r="13" spans="1:23" x14ac:dyDescent="0.3">
      <c r="A13" s="6" t="s">
        <v>169</v>
      </c>
      <c r="B13" s="1">
        <v>45667</v>
      </c>
      <c r="C13" s="6" t="s">
        <v>84</v>
      </c>
      <c r="D13" s="6" t="s">
        <v>22</v>
      </c>
      <c r="E13" s="6" t="s">
        <v>68</v>
      </c>
      <c r="F13" s="6" t="s">
        <v>24</v>
      </c>
      <c r="G13" s="6" t="s">
        <v>97</v>
      </c>
      <c r="H13" s="6" t="s">
        <v>26</v>
      </c>
      <c r="I13" s="6" t="s">
        <v>38</v>
      </c>
      <c r="J13" s="6" t="s">
        <v>22</v>
      </c>
      <c r="K13" s="6" t="s">
        <v>48</v>
      </c>
      <c r="L13" s="6" t="s">
        <v>54</v>
      </c>
      <c r="M13" s="6" t="s">
        <v>32</v>
      </c>
      <c r="N13" s="6" t="s">
        <v>28</v>
      </c>
      <c r="O13" s="6" t="s">
        <v>30</v>
      </c>
      <c r="P13" s="6" t="s">
        <v>48</v>
      </c>
      <c r="Q13" s="6" t="s">
        <v>48</v>
      </c>
      <c r="R13" s="6" t="s">
        <v>22</v>
      </c>
      <c r="S13" s="6" t="s">
        <v>54</v>
      </c>
      <c r="T13" s="6" t="s">
        <v>48</v>
      </c>
      <c r="U13" s="6" t="s">
        <v>28</v>
      </c>
      <c r="V13" s="6" t="s">
        <v>82</v>
      </c>
      <c r="W13" t="s">
        <v>352</v>
      </c>
    </row>
    <row r="14" spans="1:23" x14ac:dyDescent="0.3">
      <c r="A14" s="6" t="s">
        <v>170</v>
      </c>
      <c r="B14" s="1">
        <v>45667</v>
      </c>
      <c r="C14" s="6" t="s">
        <v>33</v>
      </c>
      <c r="D14" s="6" t="s">
        <v>83</v>
      </c>
      <c r="E14" s="6" t="s">
        <v>23</v>
      </c>
      <c r="F14" s="6" t="s">
        <v>24</v>
      </c>
      <c r="G14" s="6" t="s">
        <v>69</v>
      </c>
      <c r="H14" s="6" t="s">
        <v>26</v>
      </c>
      <c r="I14" s="6" t="s">
        <v>37</v>
      </c>
      <c r="J14" s="6" t="s">
        <v>83</v>
      </c>
      <c r="K14" s="6" t="s">
        <v>48</v>
      </c>
      <c r="L14" s="6" t="s">
        <v>152</v>
      </c>
      <c r="M14" s="6" t="s">
        <v>29</v>
      </c>
      <c r="N14" s="6" t="s">
        <v>28</v>
      </c>
      <c r="O14" s="6" t="s">
        <v>26</v>
      </c>
      <c r="P14" s="6" t="s">
        <v>52</v>
      </c>
      <c r="Q14" s="6" t="s">
        <v>31</v>
      </c>
      <c r="R14" s="6" t="s">
        <v>83</v>
      </c>
      <c r="S14" s="6" t="s">
        <v>128</v>
      </c>
      <c r="T14" s="6" t="s">
        <v>29</v>
      </c>
      <c r="U14" s="6" t="s">
        <v>28</v>
      </c>
      <c r="V14" s="6" t="s">
        <v>146</v>
      </c>
      <c r="W14" t="s">
        <v>352</v>
      </c>
    </row>
    <row r="15" spans="1:23" x14ac:dyDescent="0.3">
      <c r="A15" s="6" t="s">
        <v>170</v>
      </c>
      <c r="B15" s="1">
        <v>45667</v>
      </c>
      <c r="C15" s="6" t="s">
        <v>33</v>
      </c>
      <c r="D15" s="6" t="s">
        <v>83</v>
      </c>
      <c r="E15" s="6" t="s">
        <v>23</v>
      </c>
      <c r="F15" s="6" t="s">
        <v>24</v>
      </c>
      <c r="G15" s="6" t="s">
        <v>69</v>
      </c>
      <c r="H15" s="6" t="s">
        <v>26</v>
      </c>
      <c r="I15" s="6" t="s">
        <v>37</v>
      </c>
      <c r="J15" s="6" t="s">
        <v>83</v>
      </c>
      <c r="K15" s="6" t="s">
        <v>48</v>
      </c>
      <c r="L15" s="6" t="s">
        <v>152</v>
      </c>
      <c r="M15" s="6" t="s">
        <v>29</v>
      </c>
      <c r="N15" s="6" t="s">
        <v>28</v>
      </c>
      <c r="O15" s="6" t="s">
        <v>26</v>
      </c>
      <c r="P15" s="6" t="s">
        <v>52</v>
      </c>
      <c r="Q15" s="6" t="s">
        <v>31</v>
      </c>
      <c r="R15" s="6" t="s">
        <v>83</v>
      </c>
      <c r="S15" s="6" t="s">
        <v>128</v>
      </c>
      <c r="T15" s="6" t="s">
        <v>29</v>
      </c>
      <c r="U15" s="6" t="s">
        <v>28</v>
      </c>
      <c r="V15" s="6" t="s">
        <v>82</v>
      </c>
      <c r="W15" t="s">
        <v>352</v>
      </c>
    </row>
    <row r="16" spans="1:23" x14ac:dyDescent="0.3">
      <c r="A16" s="6" t="s">
        <v>171</v>
      </c>
      <c r="B16" s="1">
        <v>45667</v>
      </c>
      <c r="C16" s="6" t="s">
        <v>33</v>
      </c>
      <c r="D16" s="6" t="s">
        <v>60</v>
      </c>
      <c r="E16" s="6" t="s">
        <v>23</v>
      </c>
      <c r="F16" s="6" t="s">
        <v>24</v>
      </c>
      <c r="G16" s="6" t="s">
        <v>72</v>
      </c>
      <c r="H16" s="6" t="s">
        <v>26</v>
      </c>
      <c r="I16" s="6" t="s">
        <v>37</v>
      </c>
      <c r="J16" s="6" t="s">
        <v>60</v>
      </c>
      <c r="K16" s="6" t="s">
        <v>106</v>
      </c>
      <c r="L16" s="6" t="s">
        <v>152</v>
      </c>
      <c r="M16" s="6" t="s">
        <v>29</v>
      </c>
      <c r="N16" s="6" t="s">
        <v>28</v>
      </c>
      <c r="O16" s="6" t="s">
        <v>30</v>
      </c>
      <c r="P16" s="6" t="s">
        <v>27</v>
      </c>
      <c r="Q16" s="6" t="s">
        <v>31</v>
      </c>
      <c r="R16" s="6" t="s">
        <v>60</v>
      </c>
      <c r="S16" s="6" t="s">
        <v>54</v>
      </c>
      <c r="T16" s="6" t="s">
        <v>29</v>
      </c>
      <c r="U16" s="6" t="s">
        <v>28</v>
      </c>
      <c r="V16" s="6" t="s">
        <v>82</v>
      </c>
      <c r="W16" t="s">
        <v>352</v>
      </c>
    </row>
    <row r="17" spans="1:23" x14ac:dyDescent="0.3">
      <c r="A17" s="6" t="s">
        <v>172</v>
      </c>
      <c r="B17" s="1">
        <v>45668</v>
      </c>
      <c r="C17" s="6" t="s">
        <v>33</v>
      </c>
      <c r="D17" s="6" t="s">
        <v>122</v>
      </c>
      <c r="E17" s="6" t="s">
        <v>35</v>
      </c>
      <c r="F17" s="6" t="s">
        <v>24</v>
      </c>
      <c r="G17" s="6" t="s">
        <v>69</v>
      </c>
      <c r="H17" s="6" t="s">
        <v>26</v>
      </c>
      <c r="I17" s="6" t="s">
        <v>38</v>
      </c>
      <c r="J17" s="6" t="s">
        <v>122</v>
      </c>
      <c r="K17" s="6" t="s">
        <v>76</v>
      </c>
      <c r="L17" s="6" t="s">
        <v>54</v>
      </c>
      <c r="M17" s="6" t="s">
        <v>29</v>
      </c>
      <c r="N17" s="6" t="s">
        <v>28</v>
      </c>
      <c r="O17" s="6" t="s">
        <v>30</v>
      </c>
      <c r="P17" s="6" t="s">
        <v>45</v>
      </c>
      <c r="Q17" s="6" t="s">
        <v>31</v>
      </c>
      <c r="R17" s="6" t="s">
        <v>122</v>
      </c>
      <c r="S17" s="6" t="s">
        <v>54</v>
      </c>
      <c r="T17" s="6" t="s">
        <v>29</v>
      </c>
      <c r="U17" s="6" t="s">
        <v>28</v>
      </c>
      <c r="V17" s="6" t="s">
        <v>82</v>
      </c>
      <c r="W17" t="s">
        <v>352</v>
      </c>
    </row>
    <row r="18" spans="1:23" x14ac:dyDescent="0.3">
      <c r="A18" s="6" t="s">
        <v>173</v>
      </c>
      <c r="B18" s="1">
        <v>45669</v>
      </c>
      <c r="C18" s="6" t="s">
        <v>84</v>
      </c>
      <c r="D18" s="6" t="s">
        <v>113</v>
      </c>
      <c r="E18" s="6" t="s">
        <v>46</v>
      </c>
      <c r="F18" s="6" t="s">
        <v>24</v>
      </c>
      <c r="G18" s="6" t="s">
        <v>61</v>
      </c>
      <c r="H18" s="6" t="s">
        <v>48</v>
      </c>
      <c r="I18" s="6" t="s">
        <v>58</v>
      </c>
      <c r="J18" s="6" t="s">
        <v>113</v>
      </c>
      <c r="K18" s="6" t="s">
        <v>48</v>
      </c>
      <c r="L18" s="6" t="s">
        <v>54</v>
      </c>
      <c r="M18" s="6" t="s">
        <v>48</v>
      </c>
      <c r="N18" s="6" t="s">
        <v>28</v>
      </c>
      <c r="O18" s="6" t="s">
        <v>26</v>
      </c>
      <c r="P18" s="6" t="s">
        <v>48</v>
      </c>
      <c r="Q18" s="6" t="s">
        <v>48</v>
      </c>
      <c r="R18" s="6" t="s">
        <v>113</v>
      </c>
      <c r="S18" s="6" t="s">
        <v>54</v>
      </c>
      <c r="T18" s="6" t="s">
        <v>48</v>
      </c>
      <c r="U18" s="6" t="s">
        <v>28</v>
      </c>
      <c r="V18" s="6" t="s">
        <v>146</v>
      </c>
      <c r="W18" t="s">
        <v>352</v>
      </c>
    </row>
    <row r="19" spans="1:23" x14ac:dyDescent="0.3">
      <c r="A19" s="6" t="s">
        <v>173</v>
      </c>
      <c r="B19" s="1">
        <v>45669</v>
      </c>
      <c r="C19" s="6" t="s">
        <v>84</v>
      </c>
      <c r="D19" s="6" t="s">
        <v>113</v>
      </c>
      <c r="E19" s="6" t="s">
        <v>46</v>
      </c>
      <c r="F19" s="6" t="s">
        <v>24</v>
      </c>
      <c r="G19" s="6" t="s">
        <v>61</v>
      </c>
      <c r="H19" s="6" t="s">
        <v>48</v>
      </c>
      <c r="I19" s="6" t="s">
        <v>58</v>
      </c>
      <c r="J19" s="6" t="s">
        <v>113</v>
      </c>
      <c r="K19" s="6" t="s">
        <v>48</v>
      </c>
      <c r="L19" s="6" t="s">
        <v>54</v>
      </c>
      <c r="M19" s="6" t="s">
        <v>48</v>
      </c>
      <c r="N19" s="6" t="s">
        <v>28</v>
      </c>
      <c r="O19" s="6" t="s">
        <v>26</v>
      </c>
      <c r="P19" s="6" t="s">
        <v>48</v>
      </c>
      <c r="Q19" s="6" t="s">
        <v>48</v>
      </c>
      <c r="R19" s="6" t="s">
        <v>113</v>
      </c>
      <c r="S19" s="6" t="s">
        <v>54</v>
      </c>
      <c r="T19" s="6" t="s">
        <v>48</v>
      </c>
      <c r="U19" s="6" t="s">
        <v>28</v>
      </c>
      <c r="V19" s="6" t="s">
        <v>82</v>
      </c>
      <c r="W19" t="s">
        <v>352</v>
      </c>
    </row>
    <row r="20" spans="1:23" x14ac:dyDescent="0.3">
      <c r="A20" s="6" t="s">
        <v>174</v>
      </c>
      <c r="B20" s="1">
        <v>45670</v>
      </c>
      <c r="C20" s="6" t="s">
        <v>39</v>
      </c>
      <c r="D20" s="6" t="s">
        <v>83</v>
      </c>
      <c r="E20" s="6" t="s">
        <v>68</v>
      </c>
      <c r="F20" s="6" t="s">
        <v>24</v>
      </c>
      <c r="G20" s="6" t="s">
        <v>61</v>
      </c>
      <c r="H20" s="6" t="s">
        <v>48</v>
      </c>
      <c r="I20" s="6" t="s">
        <v>58</v>
      </c>
      <c r="J20" s="6" t="s">
        <v>83</v>
      </c>
      <c r="K20" s="6" t="s">
        <v>48</v>
      </c>
      <c r="L20" s="6" t="s">
        <v>54</v>
      </c>
      <c r="M20" s="6" t="s">
        <v>48</v>
      </c>
      <c r="N20" s="6" t="s">
        <v>28</v>
      </c>
      <c r="O20" s="6" t="s">
        <v>26</v>
      </c>
      <c r="P20" s="6" t="s">
        <v>45</v>
      </c>
      <c r="Q20" s="6" t="s">
        <v>31</v>
      </c>
      <c r="R20" s="6" t="s">
        <v>83</v>
      </c>
      <c r="S20" s="6" t="s">
        <v>54</v>
      </c>
      <c r="T20" s="6" t="s">
        <v>29</v>
      </c>
      <c r="U20" s="6" t="s">
        <v>28</v>
      </c>
      <c r="V20" s="6" t="s">
        <v>146</v>
      </c>
      <c r="W20" t="s">
        <v>352</v>
      </c>
    </row>
    <row r="21" spans="1:23" x14ac:dyDescent="0.3">
      <c r="A21" s="6" t="s">
        <v>175</v>
      </c>
      <c r="B21" s="1">
        <v>45670</v>
      </c>
      <c r="C21" s="6" t="s">
        <v>33</v>
      </c>
      <c r="D21" s="6" t="s">
        <v>93</v>
      </c>
      <c r="E21" s="6" t="s">
        <v>68</v>
      </c>
      <c r="F21" s="6" t="s">
        <v>24</v>
      </c>
      <c r="G21" s="6" t="s">
        <v>61</v>
      </c>
      <c r="H21" s="6" t="s">
        <v>48</v>
      </c>
      <c r="I21" s="6" t="s">
        <v>37</v>
      </c>
      <c r="J21" s="6" t="s">
        <v>93</v>
      </c>
      <c r="K21" s="6" t="s">
        <v>48</v>
      </c>
      <c r="L21" s="6" t="s">
        <v>54</v>
      </c>
      <c r="M21" s="6" t="s">
        <v>48</v>
      </c>
      <c r="N21" s="6" t="s">
        <v>28</v>
      </c>
      <c r="O21" s="6" t="s">
        <v>48</v>
      </c>
      <c r="P21" s="6" t="s">
        <v>48</v>
      </c>
      <c r="Q21" s="6" t="s">
        <v>48</v>
      </c>
      <c r="R21" s="6" t="s">
        <v>93</v>
      </c>
      <c r="S21" s="6" t="s">
        <v>54</v>
      </c>
      <c r="T21" s="6" t="s">
        <v>48</v>
      </c>
      <c r="U21" s="6" t="s">
        <v>28</v>
      </c>
      <c r="V21" s="6" t="s">
        <v>82</v>
      </c>
      <c r="W21" t="s">
        <v>352</v>
      </c>
    </row>
    <row r="22" spans="1:23" x14ac:dyDescent="0.3">
      <c r="A22" s="6" t="s">
        <v>175</v>
      </c>
      <c r="B22" s="1">
        <v>45670</v>
      </c>
      <c r="C22" s="6" t="s">
        <v>33</v>
      </c>
      <c r="D22" s="6" t="s">
        <v>93</v>
      </c>
      <c r="E22" s="6" t="s">
        <v>68</v>
      </c>
      <c r="F22" s="6" t="s">
        <v>24</v>
      </c>
      <c r="G22" s="6" t="s">
        <v>61</v>
      </c>
      <c r="H22" s="6" t="s">
        <v>48</v>
      </c>
      <c r="I22" s="6" t="s">
        <v>37</v>
      </c>
      <c r="J22" s="6" t="s">
        <v>93</v>
      </c>
      <c r="K22" s="6" t="s">
        <v>48</v>
      </c>
      <c r="L22" s="6" t="s">
        <v>54</v>
      </c>
      <c r="M22" s="6" t="s">
        <v>48</v>
      </c>
      <c r="N22" s="6" t="s">
        <v>28</v>
      </c>
      <c r="O22" s="6" t="s">
        <v>48</v>
      </c>
      <c r="P22" s="6" t="s">
        <v>48</v>
      </c>
      <c r="Q22" s="6" t="s">
        <v>48</v>
      </c>
      <c r="R22" s="6" t="s">
        <v>93</v>
      </c>
      <c r="S22" s="6" t="s">
        <v>54</v>
      </c>
      <c r="T22" s="6" t="s">
        <v>48</v>
      </c>
      <c r="U22" s="6" t="s">
        <v>28</v>
      </c>
      <c r="V22" s="6" t="s">
        <v>146</v>
      </c>
      <c r="W22" t="s">
        <v>352</v>
      </c>
    </row>
    <row r="23" spans="1:23" x14ac:dyDescent="0.3">
      <c r="A23" s="6" t="s">
        <v>175</v>
      </c>
      <c r="B23" s="1">
        <v>45670</v>
      </c>
      <c r="C23" s="6" t="s">
        <v>33</v>
      </c>
      <c r="D23" s="6" t="s">
        <v>93</v>
      </c>
      <c r="E23" s="6" t="s">
        <v>68</v>
      </c>
      <c r="F23" s="6" t="s">
        <v>24</v>
      </c>
      <c r="G23" s="6" t="s">
        <v>61</v>
      </c>
      <c r="H23" s="6" t="s">
        <v>48</v>
      </c>
      <c r="I23" s="6" t="s">
        <v>37</v>
      </c>
      <c r="J23" s="6" t="s">
        <v>93</v>
      </c>
      <c r="K23" s="6" t="s">
        <v>48</v>
      </c>
      <c r="L23" s="6" t="s">
        <v>54</v>
      </c>
      <c r="M23" s="6" t="s">
        <v>48</v>
      </c>
      <c r="N23" s="6" t="s">
        <v>28</v>
      </c>
      <c r="O23" s="6" t="s">
        <v>48</v>
      </c>
      <c r="P23" s="6" t="s">
        <v>48</v>
      </c>
      <c r="Q23" s="6" t="s">
        <v>48</v>
      </c>
      <c r="R23" s="6" t="s">
        <v>93</v>
      </c>
      <c r="S23" s="6" t="s">
        <v>54</v>
      </c>
      <c r="T23" s="6" t="s">
        <v>48</v>
      </c>
      <c r="U23" s="6" t="s">
        <v>28</v>
      </c>
      <c r="V23" s="6" t="s">
        <v>137</v>
      </c>
      <c r="W23" t="s">
        <v>352</v>
      </c>
    </row>
    <row r="24" spans="1:23" x14ac:dyDescent="0.3">
      <c r="A24" s="6" t="s">
        <v>176</v>
      </c>
      <c r="B24" s="1">
        <v>45672</v>
      </c>
      <c r="C24" s="6" t="s">
        <v>343</v>
      </c>
      <c r="D24" s="6" t="s">
        <v>22</v>
      </c>
      <c r="E24" s="6" t="s">
        <v>68</v>
      </c>
      <c r="F24" s="6" t="s">
        <v>24</v>
      </c>
      <c r="G24" s="6" t="s">
        <v>61</v>
      </c>
      <c r="H24" s="6" t="s">
        <v>26</v>
      </c>
      <c r="I24" s="6" t="s">
        <v>38</v>
      </c>
      <c r="J24" s="6" t="s">
        <v>22</v>
      </c>
      <c r="K24" s="6" t="s">
        <v>48</v>
      </c>
      <c r="L24" s="6" t="s">
        <v>54</v>
      </c>
      <c r="M24" s="6" t="s">
        <v>48</v>
      </c>
      <c r="N24" s="6" t="s">
        <v>28</v>
      </c>
      <c r="O24" s="6" t="s">
        <v>48</v>
      </c>
      <c r="P24" s="6" t="s">
        <v>48</v>
      </c>
      <c r="Q24" s="6" t="s">
        <v>48</v>
      </c>
      <c r="R24" s="6" t="s">
        <v>22</v>
      </c>
      <c r="S24" s="6" t="s">
        <v>54</v>
      </c>
      <c r="T24" s="6" t="s">
        <v>48</v>
      </c>
      <c r="U24" s="6" t="s">
        <v>150</v>
      </c>
      <c r="V24" s="6" t="s">
        <v>82</v>
      </c>
      <c r="W24" t="s">
        <v>352</v>
      </c>
    </row>
    <row r="25" spans="1:23" x14ac:dyDescent="0.3">
      <c r="A25" s="6" t="s">
        <v>177</v>
      </c>
      <c r="B25" s="1">
        <v>45672</v>
      </c>
      <c r="C25" s="6" t="s">
        <v>343</v>
      </c>
      <c r="D25" s="6" t="s">
        <v>22</v>
      </c>
      <c r="E25" s="6" t="s">
        <v>68</v>
      </c>
      <c r="F25" s="6" t="s">
        <v>24</v>
      </c>
      <c r="G25" s="6" t="s">
        <v>61</v>
      </c>
      <c r="H25" s="6" t="s">
        <v>26</v>
      </c>
      <c r="I25" s="6" t="s">
        <v>27</v>
      </c>
      <c r="J25" s="6" t="s">
        <v>22</v>
      </c>
      <c r="K25" s="6" t="s">
        <v>48</v>
      </c>
      <c r="L25" s="6" t="s">
        <v>54</v>
      </c>
      <c r="M25" s="6" t="s">
        <v>29</v>
      </c>
      <c r="N25" s="6" t="s">
        <v>28</v>
      </c>
      <c r="O25" s="6" t="s">
        <v>48</v>
      </c>
      <c r="P25" s="6" t="s">
        <v>48</v>
      </c>
      <c r="Q25" s="6" t="s">
        <v>48</v>
      </c>
      <c r="R25" s="6" t="s">
        <v>22</v>
      </c>
      <c r="S25" s="6" t="s">
        <v>54</v>
      </c>
      <c r="T25" s="6" t="s">
        <v>48</v>
      </c>
      <c r="U25" s="6" t="s">
        <v>126</v>
      </c>
      <c r="V25" s="6" t="s">
        <v>82</v>
      </c>
      <c r="W25" t="s">
        <v>352</v>
      </c>
    </row>
    <row r="26" spans="1:23" x14ac:dyDescent="0.3">
      <c r="A26" s="6" t="s">
        <v>178</v>
      </c>
      <c r="B26" s="1">
        <v>45672</v>
      </c>
      <c r="C26" s="6" t="s">
        <v>343</v>
      </c>
      <c r="D26" s="6" t="s">
        <v>22</v>
      </c>
      <c r="E26" s="6" t="s">
        <v>64</v>
      </c>
      <c r="F26" s="6" t="s">
        <v>24</v>
      </c>
      <c r="G26" s="6" t="s">
        <v>51</v>
      </c>
      <c r="H26" s="6" t="s">
        <v>26</v>
      </c>
      <c r="I26" s="6" t="s">
        <v>38</v>
      </c>
      <c r="J26" s="6" t="s">
        <v>22</v>
      </c>
      <c r="K26" s="6" t="s">
        <v>80</v>
      </c>
      <c r="L26" s="6" t="s">
        <v>54</v>
      </c>
      <c r="M26" s="6" t="s">
        <v>48</v>
      </c>
      <c r="N26" s="6" t="s">
        <v>28</v>
      </c>
      <c r="O26" s="6" t="s">
        <v>48</v>
      </c>
      <c r="P26" s="6" t="s">
        <v>48</v>
      </c>
      <c r="Q26" s="6" t="s">
        <v>48</v>
      </c>
      <c r="R26" s="6" t="s">
        <v>22</v>
      </c>
      <c r="S26" s="6" t="s">
        <v>54</v>
      </c>
      <c r="T26" s="6" t="s">
        <v>48</v>
      </c>
      <c r="U26" s="6" t="s">
        <v>74</v>
      </c>
      <c r="V26" s="6" t="s">
        <v>137</v>
      </c>
      <c r="W26" t="s">
        <v>352</v>
      </c>
    </row>
    <row r="27" spans="1:23" x14ac:dyDescent="0.3">
      <c r="A27" s="6" t="s">
        <v>179</v>
      </c>
      <c r="B27" s="1">
        <v>45672</v>
      </c>
      <c r="C27" s="6" t="s">
        <v>343</v>
      </c>
      <c r="D27" s="6" t="s">
        <v>22</v>
      </c>
      <c r="E27" s="6" t="s">
        <v>35</v>
      </c>
      <c r="F27" s="6" t="s">
        <v>24</v>
      </c>
      <c r="G27" s="6" t="s">
        <v>72</v>
      </c>
      <c r="H27" s="6" t="s">
        <v>26</v>
      </c>
      <c r="I27" s="6" t="s">
        <v>27</v>
      </c>
      <c r="J27" s="6" t="s">
        <v>22</v>
      </c>
      <c r="K27" s="6" t="s">
        <v>48</v>
      </c>
      <c r="L27" s="6" t="s">
        <v>54</v>
      </c>
      <c r="M27" s="6" t="s">
        <v>48</v>
      </c>
      <c r="N27" s="6" t="s">
        <v>28</v>
      </c>
      <c r="O27" s="6" t="s">
        <v>30</v>
      </c>
      <c r="P27" s="6" t="s">
        <v>38</v>
      </c>
      <c r="Q27" s="6" t="s">
        <v>31</v>
      </c>
      <c r="R27" s="6" t="s">
        <v>22</v>
      </c>
      <c r="S27" s="6" t="s">
        <v>54</v>
      </c>
      <c r="T27" s="6" t="s">
        <v>32</v>
      </c>
      <c r="U27" s="6" t="s">
        <v>28</v>
      </c>
      <c r="V27" s="6" t="s">
        <v>82</v>
      </c>
      <c r="W27" t="s">
        <v>352</v>
      </c>
    </row>
    <row r="28" spans="1:23" x14ac:dyDescent="0.3">
      <c r="A28" s="6" t="s">
        <v>180</v>
      </c>
      <c r="B28" s="1">
        <v>45673</v>
      </c>
      <c r="C28" s="6" t="s">
        <v>343</v>
      </c>
      <c r="D28" s="6" t="s">
        <v>60</v>
      </c>
      <c r="E28" s="6" t="s">
        <v>23</v>
      </c>
      <c r="F28" s="6" t="s">
        <v>24</v>
      </c>
      <c r="G28" s="6" t="s">
        <v>69</v>
      </c>
      <c r="H28" s="6" t="s">
        <v>48</v>
      </c>
      <c r="I28" s="6" t="s">
        <v>27</v>
      </c>
      <c r="J28" s="6" t="s">
        <v>60</v>
      </c>
      <c r="K28" s="6" t="s">
        <v>48</v>
      </c>
      <c r="L28" s="6" t="s">
        <v>54</v>
      </c>
      <c r="M28" s="6" t="s">
        <v>48</v>
      </c>
      <c r="N28" s="6" t="s">
        <v>28</v>
      </c>
      <c r="O28" s="6" t="s">
        <v>26</v>
      </c>
      <c r="P28" s="6" t="s">
        <v>52</v>
      </c>
      <c r="Q28" s="6" t="s">
        <v>31</v>
      </c>
      <c r="R28" s="6" t="s">
        <v>60</v>
      </c>
      <c r="S28" s="6" t="s">
        <v>54</v>
      </c>
      <c r="T28" s="6" t="s">
        <v>29</v>
      </c>
      <c r="U28" s="6" t="s">
        <v>28</v>
      </c>
      <c r="V28" s="6" t="s">
        <v>146</v>
      </c>
      <c r="W28" t="s">
        <v>352</v>
      </c>
    </row>
    <row r="29" spans="1:23" x14ac:dyDescent="0.3">
      <c r="A29" s="6" t="s">
        <v>181</v>
      </c>
      <c r="B29" s="1">
        <v>45674</v>
      </c>
      <c r="C29" s="6" t="s">
        <v>33</v>
      </c>
      <c r="D29" s="6" t="s">
        <v>50</v>
      </c>
      <c r="E29" s="6" t="s">
        <v>35</v>
      </c>
      <c r="F29" s="6" t="s">
        <v>24</v>
      </c>
      <c r="G29" s="6" t="s">
        <v>69</v>
      </c>
      <c r="H29" s="6" t="s">
        <v>26</v>
      </c>
      <c r="I29" s="6" t="s">
        <v>45</v>
      </c>
      <c r="J29" s="6" t="s">
        <v>50</v>
      </c>
      <c r="K29" s="6" t="s">
        <v>80</v>
      </c>
      <c r="L29" s="6" t="s">
        <v>128</v>
      </c>
      <c r="M29" s="6" t="s">
        <v>29</v>
      </c>
      <c r="N29" s="6" t="s">
        <v>63</v>
      </c>
      <c r="O29" s="6" t="s">
        <v>26</v>
      </c>
      <c r="P29" s="6" t="s">
        <v>788</v>
      </c>
      <c r="Q29" s="6" t="s">
        <v>31</v>
      </c>
      <c r="R29" s="6" t="s">
        <v>50</v>
      </c>
      <c r="S29" s="6" t="s">
        <v>54</v>
      </c>
      <c r="T29" s="6" t="s">
        <v>48</v>
      </c>
      <c r="U29" s="6" t="s">
        <v>28</v>
      </c>
      <c r="V29" s="6" t="s">
        <v>146</v>
      </c>
      <c r="W29" t="s">
        <v>352</v>
      </c>
    </row>
    <row r="30" spans="1:23" x14ac:dyDescent="0.3">
      <c r="A30" s="6" t="s">
        <v>183</v>
      </c>
      <c r="B30" s="1">
        <v>45674</v>
      </c>
      <c r="C30" s="6" t="s">
        <v>33</v>
      </c>
      <c r="D30" s="6" t="s">
        <v>79</v>
      </c>
      <c r="E30" s="6" t="s">
        <v>35</v>
      </c>
      <c r="F30" s="6" t="s">
        <v>24</v>
      </c>
      <c r="G30" s="6" t="s">
        <v>69</v>
      </c>
      <c r="H30" s="6" t="s">
        <v>26</v>
      </c>
      <c r="I30" s="6" t="s">
        <v>38</v>
      </c>
      <c r="J30" s="6" t="s">
        <v>79</v>
      </c>
      <c r="K30" s="6" t="s">
        <v>141</v>
      </c>
      <c r="L30" s="6" t="s">
        <v>152</v>
      </c>
      <c r="M30" s="6" t="s">
        <v>32</v>
      </c>
      <c r="N30" s="6" t="s">
        <v>28</v>
      </c>
      <c r="O30" s="6" t="s">
        <v>30</v>
      </c>
      <c r="P30" s="6" t="s">
        <v>45</v>
      </c>
      <c r="Q30" s="6" t="s">
        <v>31</v>
      </c>
      <c r="R30" s="6" t="s">
        <v>79</v>
      </c>
      <c r="S30" s="6" t="s">
        <v>128</v>
      </c>
      <c r="T30" s="6" t="s">
        <v>32</v>
      </c>
      <c r="U30" s="6" t="s">
        <v>28</v>
      </c>
      <c r="V30" s="6" t="s">
        <v>146</v>
      </c>
      <c r="W30" t="s">
        <v>352</v>
      </c>
    </row>
    <row r="31" spans="1:23" x14ac:dyDescent="0.3">
      <c r="A31" s="6" t="s">
        <v>184</v>
      </c>
      <c r="B31" s="1">
        <v>45674</v>
      </c>
      <c r="C31" s="6" t="s">
        <v>33</v>
      </c>
      <c r="D31" s="6" t="s">
        <v>79</v>
      </c>
      <c r="E31" s="6" t="s">
        <v>35</v>
      </c>
      <c r="F31" s="6" t="s">
        <v>24</v>
      </c>
      <c r="G31" s="6" t="s">
        <v>69</v>
      </c>
      <c r="H31" s="6" t="s">
        <v>26</v>
      </c>
      <c r="I31" s="6" t="s">
        <v>38</v>
      </c>
      <c r="J31" s="6" t="s">
        <v>79</v>
      </c>
      <c r="K31" s="6" t="s">
        <v>141</v>
      </c>
      <c r="L31" s="6" t="s">
        <v>152</v>
      </c>
      <c r="M31" s="6" t="s">
        <v>32</v>
      </c>
      <c r="N31" s="6" t="s">
        <v>28</v>
      </c>
      <c r="O31" s="6" t="s">
        <v>26</v>
      </c>
      <c r="P31" s="6" t="s">
        <v>788</v>
      </c>
      <c r="Q31" s="6" t="s">
        <v>31</v>
      </c>
      <c r="R31" s="6" t="s">
        <v>79</v>
      </c>
      <c r="S31" s="6" t="s">
        <v>128</v>
      </c>
      <c r="T31" s="6" t="s">
        <v>32</v>
      </c>
      <c r="U31" s="6" t="s">
        <v>28</v>
      </c>
      <c r="V31" s="6" t="s">
        <v>146</v>
      </c>
      <c r="W31" t="s">
        <v>352</v>
      </c>
    </row>
    <row r="32" spans="1:23" x14ac:dyDescent="0.3">
      <c r="A32" s="6" t="s">
        <v>182</v>
      </c>
      <c r="B32" s="1">
        <v>45674</v>
      </c>
      <c r="C32" s="6" t="s">
        <v>33</v>
      </c>
      <c r="D32" s="6" t="s">
        <v>79</v>
      </c>
      <c r="E32" s="6" t="s">
        <v>35</v>
      </c>
      <c r="F32" s="6" t="s">
        <v>24</v>
      </c>
      <c r="G32" s="6" t="s">
        <v>69</v>
      </c>
      <c r="H32" s="6" t="s">
        <v>26</v>
      </c>
      <c r="I32" s="6" t="s">
        <v>38</v>
      </c>
      <c r="J32" s="6" t="s">
        <v>79</v>
      </c>
      <c r="K32" s="6" t="s">
        <v>141</v>
      </c>
      <c r="L32" s="6" t="s">
        <v>152</v>
      </c>
      <c r="M32" s="6" t="s">
        <v>32</v>
      </c>
      <c r="N32" s="6" t="s">
        <v>28</v>
      </c>
      <c r="O32" s="6" t="s">
        <v>26</v>
      </c>
      <c r="P32" s="6" t="s">
        <v>52</v>
      </c>
      <c r="Q32" s="6" t="s">
        <v>31</v>
      </c>
      <c r="R32" s="6" t="s">
        <v>79</v>
      </c>
      <c r="S32" s="6" t="s">
        <v>128</v>
      </c>
      <c r="T32" s="6" t="s">
        <v>32</v>
      </c>
      <c r="U32" s="6" t="s">
        <v>28</v>
      </c>
      <c r="V32" s="6" t="s">
        <v>146</v>
      </c>
      <c r="W32" t="s">
        <v>352</v>
      </c>
    </row>
    <row r="33" spans="1:23" x14ac:dyDescent="0.3">
      <c r="A33" s="6" t="s">
        <v>185</v>
      </c>
      <c r="B33" s="1">
        <v>45674</v>
      </c>
      <c r="C33" s="6" t="s">
        <v>33</v>
      </c>
      <c r="D33" s="6" t="s">
        <v>79</v>
      </c>
      <c r="E33" s="6" t="s">
        <v>35</v>
      </c>
      <c r="F33" s="6" t="s">
        <v>24</v>
      </c>
      <c r="G33" s="6" t="s">
        <v>69</v>
      </c>
      <c r="H33" s="6" t="s">
        <v>26</v>
      </c>
      <c r="I33" s="6" t="s">
        <v>38</v>
      </c>
      <c r="J33" s="6" t="s">
        <v>79</v>
      </c>
      <c r="K33" s="6" t="s">
        <v>141</v>
      </c>
      <c r="L33" s="6" t="s">
        <v>152</v>
      </c>
      <c r="M33" s="6" t="s">
        <v>32</v>
      </c>
      <c r="N33" s="6" t="s">
        <v>28</v>
      </c>
      <c r="O33" s="6" t="s">
        <v>30</v>
      </c>
      <c r="P33" s="6" t="s">
        <v>38</v>
      </c>
      <c r="Q33" s="6" t="s">
        <v>31</v>
      </c>
      <c r="R33" s="6" t="s">
        <v>79</v>
      </c>
      <c r="S33" s="6" t="s">
        <v>128</v>
      </c>
      <c r="T33" s="6" t="s">
        <v>32</v>
      </c>
      <c r="U33" s="6" t="s">
        <v>28</v>
      </c>
      <c r="V33" s="6" t="s">
        <v>146</v>
      </c>
      <c r="W33" t="s">
        <v>352</v>
      </c>
    </row>
    <row r="34" spans="1:23" x14ac:dyDescent="0.3">
      <c r="A34" s="6" t="s">
        <v>186</v>
      </c>
      <c r="B34" s="1">
        <v>45674</v>
      </c>
      <c r="C34" s="6" t="s">
        <v>57</v>
      </c>
      <c r="D34" s="6" t="s">
        <v>43</v>
      </c>
      <c r="E34" s="6" t="s">
        <v>64</v>
      </c>
      <c r="F34" s="6" t="s">
        <v>24</v>
      </c>
      <c r="G34" s="6" t="s">
        <v>61</v>
      </c>
      <c r="H34" s="6" t="s">
        <v>26</v>
      </c>
      <c r="I34" s="6" t="s">
        <v>42</v>
      </c>
      <c r="J34" s="6" t="s">
        <v>43</v>
      </c>
      <c r="K34" s="6" t="s">
        <v>48</v>
      </c>
      <c r="L34" s="6" t="s">
        <v>54</v>
      </c>
      <c r="M34" s="6" t="s">
        <v>29</v>
      </c>
      <c r="N34" s="6" t="s">
        <v>28</v>
      </c>
      <c r="O34" s="6" t="s">
        <v>30</v>
      </c>
      <c r="P34" s="6" t="s">
        <v>27</v>
      </c>
      <c r="Q34" s="6" t="s">
        <v>31</v>
      </c>
      <c r="R34" s="6" t="s">
        <v>43</v>
      </c>
      <c r="S34" s="6" t="s">
        <v>54</v>
      </c>
      <c r="T34" s="6" t="s">
        <v>55</v>
      </c>
      <c r="U34" s="6" t="s">
        <v>28</v>
      </c>
      <c r="V34" s="6" t="s">
        <v>82</v>
      </c>
      <c r="W34" t="s">
        <v>352</v>
      </c>
    </row>
    <row r="35" spans="1:23" x14ac:dyDescent="0.3">
      <c r="A35" s="6" t="s">
        <v>187</v>
      </c>
      <c r="B35" s="1">
        <v>45674</v>
      </c>
      <c r="C35" s="6" t="s">
        <v>33</v>
      </c>
      <c r="D35" s="6" t="s">
        <v>40</v>
      </c>
      <c r="E35" s="6" t="s">
        <v>68</v>
      </c>
      <c r="F35" s="6" t="s">
        <v>24</v>
      </c>
      <c r="G35" s="6" t="s">
        <v>61</v>
      </c>
      <c r="H35" s="6" t="s">
        <v>26</v>
      </c>
      <c r="I35" s="6" t="s">
        <v>45</v>
      </c>
      <c r="J35" s="6" t="s">
        <v>40</v>
      </c>
      <c r="K35" s="6" t="s">
        <v>48</v>
      </c>
      <c r="L35" s="6" t="s">
        <v>153</v>
      </c>
      <c r="M35" s="6" t="s">
        <v>29</v>
      </c>
      <c r="N35" s="6" t="s">
        <v>28</v>
      </c>
      <c r="O35" s="6" t="s">
        <v>48</v>
      </c>
      <c r="P35" s="6" t="s">
        <v>48</v>
      </c>
      <c r="Q35" s="6" t="s">
        <v>48</v>
      </c>
      <c r="R35" s="6" t="s">
        <v>40</v>
      </c>
      <c r="S35" s="6" t="s">
        <v>54</v>
      </c>
      <c r="T35" s="6" t="s">
        <v>48</v>
      </c>
      <c r="U35" s="6" t="s">
        <v>28</v>
      </c>
      <c r="V35" s="6" t="s">
        <v>82</v>
      </c>
      <c r="W35" t="s">
        <v>352</v>
      </c>
    </row>
    <row r="36" spans="1:23" x14ac:dyDescent="0.3">
      <c r="A36" s="6" t="s">
        <v>188</v>
      </c>
      <c r="B36" s="1">
        <v>45674</v>
      </c>
      <c r="C36" s="6" t="s">
        <v>84</v>
      </c>
      <c r="D36" s="6" t="s">
        <v>48</v>
      </c>
      <c r="E36" s="6" t="s">
        <v>35</v>
      </c>
      <c r="F36" s="6" t="s">
        <v>24</v>
      </c>
      <c r="G36" s="6" t="s">
        <v>72</v>
      </c>
      <c r="H36" s="6" t="s">
        <v>26</v>
      </c>
      <c r="I36" s="6" t="s">
        <v>37</v>
      </c>
      <c r="J36" s="6" t="s">
        <v>60</v>
      </c>
      <c r="K36" s="6" t="s">
        <v>76</v>
      </c>
      <c r="L36" s="6" t="s">
        <v>152</v>
      </c>
      <c r="M36" s="6" t="s">
        <v>55</v>
      </c>
      <c r="N36" s="6" t="s">
        <v>28</v>
      </c>
      <c r="O36" s="6" t="s">
        <v>30</v>
      </c>
      <c r="P36" s="6" t="s">
        <v>38</v>
      </c>
      <c r="Q36" s="6" t="s">
        <v>31</v>
      </c>
      <c r="R36" s="6" t="s">
        <v>60</v>
      </c>
      <c r="S36" s="6" t="s">
        <v>54</v>
      </c>
      <c r="T36" s="6" t="s">
        <v>55</v>
      </c>
      <c r="U36" s="6" t="s">
        <v>28</v>
      </c>
      <c r="V36" s="6" t="s">
        <v>82</v>
      </c>
      <c r="W36" t="s">
        <v>352</v>
      </c>
    </row>
    <row r="37" spans="1:23" x14ac:dyDescent="0.3">
      <c r="A37" s="6" t="s">
        <v>189</v>
      </c>
      <c r="B37" s="1">
        <v>45674</v>
      </c>
      <c r="C37" s="6" t="s">
        <v>343</v>
      </c>
      <c r="D37" s="6" t="s">
        <v>83</v>
      </c>
      <c r="E37" s="6" t="s">
        <v>35</v>
      </c>
      <c r="F37" s="6" t="s">
        <v>24</v>
      </c>
      <c r="G37" s="6" t="s">
        <v>135</v>
      </c>
      <c r="H37" s="6" t="s">
        <v>48</v>
      </c>
      <c r="I37" s="6" t="s">
        <v>52</v>
      </c>
      <c r="J37" s="6" t="s">
        <v>49</v>
      </c>
      <c r="K37" s="6" t="s">
        <v>48</v>
      </c>
      <c r="L37" s="6" t="s">
        <v>54</v>
      </c>
      <c r="M37" s="6" t="s">
        <v>29</v>
      </c>
      <c r="N37" s="6" t="s">
        <v>28</v>
      </c>
      <c r="O37" s="6" t="s">
        <v>48</v>
      </c>
      <c r="P37" s="6" t="s">
        <v>48</v>
      </c>
      <c r="Q37" s="6" t="s">
        <v>48</v>
      </c>
      <c r="R37" s="6" t="s">
        <v>83</v>
      </c>
      <c r="S37" s="6" t="s">
        <v>54</v>
      </c>
      <c r="T37" s="6" t="s">
        <v>48</v>
      </c>
      <c r="U37" s="6" t="s">
        <v>74</v>
      </c>
      <c r="V37" s="6" t="s">
        <v>82</v>
      </c>
      <c r="W37" t="s">
        <v>352</v>
      </c>
    </row>
    <row r="38" spans="1:23" x14ac:dyDescent="0.3">
      <c r="A38" s="6" t="s">
        <v>190</v>
      </c>
      <c r="B38" s="1">
        <v>45675</v>
      </c>
      <c r="C38" s="6" t="s">
        <v>343</v>
      </c>
      <c r="D38" s="6" t="s">
        <v>22</v>
      </c>
      <c r="E38" s="6" t="s">
        <v>23</v>
      </c>
      <c r="F38" s="6" t="s">
        <v>24</v>
      </c>
      <c r="G38" s="6" t="s">
        <v>97</v>
      </c>
      <c r="H38" s="6" t="s">
        <v>48</v>
      </c>
      <c r="I38" s="6" t="s">
        <v>52</v>
      </c>
      <c r="J38" s="6" t="s">
        <v>22</v>
      </c>
      <c r="K38" s="6" t="s">
        <v>48</v>
      </c>
      <c r="L38" s="6" t="s">
        <v>54</v>
      </c>
      <c r="M38" s="6" t="s">
        <v>48</v>
      </c>
      <c r="N38" s="6" t="s">
        <v>28</v>
      </c>
      <c r="O38" s="6" t="s">
        <v>30</v>
      </c>
      <c r="P38" s="6" t="s">
        <v>52</v>
      </c>
      <c r="Q38" s="6" t="s">
        <v>48</v>
      </c>
      <c r="R38" s="6" t="s">
        <v>22</v>
      </c>
      <c r="S38" s="6" t="s">
        <v>54</v>
      </c>
      <c r="T38" s="6" t="s">
        <v>32</v>
      </c>
      <c r="U38" s="6" t="s">
        <v>28</v>
      </c>
      <c r="V38" s="6" t="s">
        <v>82</v>
      </c>
      <c r="W38" t="s">
        <v>352</v>
      </c>
    </row>
    <row r="39" spans="1:23" x14ac:dyDescent="0.3">
      <c r="A39" s="6" t="s">
        <v>191</v>
      </c>
      <c r="B39" s="1">
        <v>45675</v>
      </c>
      <c r="C39" s="6" t="s">
        <v>33</v>
      </c>
      <c r="D39" s="6" t="s">
        <v>60</v>
      </c>
      <c r="E39" s="6" t="s">
        <v>35</v>
      </c>
      <c r="F39" s="6" t="s">
        <v>24</v>
      </c>
      <c r="G39" s="6" t="s">
        <v>69</v>
      </c>
      <c r="H39" s="6" t="s">
        <v>26</v>
      </c>
      <c r="I39" s="6" t="s">
        <v>58</v>
      </c>
      <c r="J39" s="6" t="s">
        <v>60</v>
      </c>
      <c r="K39" s="6" t="s">
        <v>48</v>
      </c>
      <c r="L39" s="6" t="s">
        <v>54</v>
      </c>
      <c r="M39" s="6" t="s">
        <v>55</v>
      </c>
      <c r="N39" s="6" t="s">
        <v>28</v>
      </c>
      <c r="O39" s="6" t="s">
        <v>26</v>
      </c>
      <c r="P39" s="6" t="s">
        <v>52</v>
      </c>
      <c r="Q39" s="6" t="s">
        <v>31</v>
      </c>
      <c r="R39" s="6" t="s">
        <v>60</v>
      </c>
      <c r="S39" s="6" t="s">
        <v>152</v>
      </c>
      <c r="T39" s="6" t="s">
        <v>55</v>
      </c>
      <c r="U39" s="6" t="s">
        <v>28</v>
      </c>
      <c r="V39" s="6" t="s">
        <v>146</v>
      </c>
      <c r="W39" t="s">
        <v>352</v>
      </c>
    </row>
    <row r="40" spans="1:23" x14ac:dyDescent="0.3">
      <c r="A40" s="6" t="s">
        <v>191</v>
      </c>
      <c r="B40" s="1">
        <v>45675</v>
      </c>
      <c r="C40" s="6" t="s">
        <v>33</v>
      </c>
      <c r="D40" s="6" t="s">
        <v>60</v>
      </c>
      <c r="E40" s="6" t="s">
        <v>35</v>
      </c>
      <c r="F40" s="6" t="s">
        <v>24</v>
      </c>
      <c r="G40" s="6" t="s">
        <v>69</v>
      </c>
      <c r="H40" s="6" t="s">
        <v>26</v>
      </c>
      <c r="I40" s="6" t="s">
        <v>58</v>
      </c>
      <c r="J40" s="6" t="s">
        <v>60</v>
      </c>
      <c r="K40" s="6" t="s">
        <v>48</v>
      </c>
      <c r="L40" s="6" t="s">
        <v>54</v>
      </c>
      <c r="M40" s="6" t="s">
        <v>55</v>
      </c>
      <c r="N40" s="6" t="s">
        <v>28</v>
      </c>
      <c r="O40" s="6" t="s">
        <v>26</v>
      </c>
      <c r="P40" s="6" t="s">
        <v>52</v>
      </c>
      <c r="Q40" s="6" t="s">
        <v>31</v>
      </c>
      <c r="R40" s="6" t="s">
        <v>60</v>
      </c>
      <c r="S40" s="6" t="s">
        <v>152</v>
      </c>
      <c r="T40" s="6" t="s">
        <v>55</v>
      </c>
      <c r="U40" s="6" t="s">
        <v>28</v>
      </c>
      <c r="V40" s="6" t="s">
        <v>82</v>
      </c>
      <c r="W40" t="s">
        <v>352</v>
      </c>
    </row>
    <row r="41" spans="1:23" x14ac:dyDescent="0.3">
      <c r="A41" s="6" t="s">
        <v>192</v>
      </c>
      <c r="B41" s="1">
        <v>45677</v>
      </c>
      <c r="C41" s="6" t="s">
        <v>343</v>
      </c>
      <c r="D41" s="6" t="s">
        <v>78</v>
      </c>
      <c r="E41" s="6" t="s">
        <v>46</v>
      </c>
      <c r="F41" s="6" t="s">
        <v>24</v>
      </c>
      <c r="G41" s="6" t="s">
        <v>71</v>
      </c>
      <c r="H41" s="6" t="s">
        <v>48</v>
      </c>
      <c r="I41" s="6" t="s">
        <v>42</v>
      </c>
      <c r="J41" s="6" t="s">
        <v>78</v>
      </c>
      <c r="K41" s="6" t="s">
        <v>48</v>
      </c>
      <c r="L41" s="6" t="s">
        <v>54</v>
      </c>
      <c r="M41" s="6" t="s">
        <v>48</v>
      </c>
      <c r="N41" s="6" t="s">
        <v>28</v>
      </c>
      <c r="O41" s="6" t="s">
        <v>26</v>
      </c>
      <c r="P41" s="6" t="s">
        <v>48</v>
      </c>
      <c r="Q41" s="6" t="s">
        <v>48</v>
      </c>
      <c r="R41" s="6" t="s">
        <v>78</v>
      </c>
      <c r="S41" s="6" t="s">
        <v>54</v>
      </c>
      <c r="T41" s="6" t="s">
        <v>48</v>
      </c>
      <c r="U41" s="6" t="s">
        <v>28</v>
      </c>
      <c r="V41" s="6" t="s">
        <v>146</v>
      </c>
      <c r="W41" t="s">
        <v>352</v>
      </c>
    </row>
    <row r="42" spans="1:23" x14ac:dyDescent="0.3">
      <c r="A42" s="6" t="s">
        <v>194</v>
      </c>
      <c r="B42" s="1">
        <v>45677</v>
      </c>
      <c r="C42" s="6" t="s">
        <v>343</v>
      </c>
      <c r="D42" s="6" t="s">
        <v>117</v>
      </c>
      <c r="E42" s="6" t="s">
        <v>68</v>
      </c>
      <c r="F42" s="6" t="s">
        <v>24</v>
      </c>
      <c r="G42" s="6" t="s">
        <v>25</v>
      </c>
      <c r="H42" s="6" t="s">
        <v>26</v>
      </c>
      <c r="I42" s="6" t="s">
        <v>58</v>
      </c>
      <c r="J42" s="6" t="s">
        <v>117</v>
      </c>
      <c r="K42" s="6" t="s">
        <v>48</v>
      </c>
      <c r="L42" s="6" t="s">
        <v>54</v>
      </c>
      <c r="M42" s="6" t="s">
        <v>29</v>
      </c>
      <c r="N42" s="6" t="s">
        <v>28</v>
      </c>
      <c r="O42" s="6" t="s">
        <v>30</v>
      </c>
      <c r="P42" s="6" t="s">
        <v>37</v>
      </c>
      <c r="Q42" s="6" t="s">
        <v>31</v>
      </c>
      <c r="R42" s="6" t="s">
        <v>117</v>
      </c>
      <c r="S42" s="6" t="s">
        <v>54</v>
      </c>
      <c r="T42" s="6" t="s">
        <v>32</v>
      </c>
      <c r="U42" s="6" t="s">
        <v>28</v>
      </c>
      <c r="V42" s="6" t="s">
        <v>146</v>
      </c>
      <c r="W42" t="s">
        <v>352</v>
      </c>
    </row>
    <row r="43" spans="1:23" x14ac:dyDescent="0.3">
      <c r="A43" s="6" t="s">
        <v>193</v>
      </c>
      <c r="B43" s="1">
        <v>45677</v>
      </c>
      <c r="C43" s="6" t="s">
        <v>343</v>
      </c>
      <c r="D43" s="6" t="s">
        <v>117</v>
      </c>
      <c r="E43" s="6" t="s">
        <v>68</v>
      </c>
      <c r="F43" s="6" t="s">
        <v>24</v>
      </c>
      <c r="G43" s="6" t="s">
        <v>25</v>
      </c>
      <c r="H43" s="6" t="s">
        <v>26</v>
      </c>
      <c r="I43" s="6" t="s">
        <v>58</v>
      </c>
      <c r="J43" s="6" t="s">
        <v>117</v>
      </c>
      <c r="K43" s="6" t="s">
        <v>48</v>
      </c>
      <c r="L43" s="6" t="s">
        <v>54</v>
      </c>
      <c r="M43" s="6" t="s">
        <v>29</v>
      </c>
      <c r="N43" s="6" t="s">
        <v>28</v>
      </c>
      <c r="O43" s="6" t="s">
        <v>26</v>
      </c>
      <c r="P43" s="6" t="s">
        <v>66</v>
      </c>
      <c r="Q43" s="6" t="s">
        <v>31</v>
      </c>
      <c r="R43" s="6" t="s">
        <v>117</v>
      </c>
      <c r="S43" s="6" t="s">
        <v>54</v>
      </c>
      <c r="T43" s="6" t="s">
        <v>29</v>
      </c>
      <c r="U43" s="6" t="s">
        <v>28</v>
      </c>
      <c r="V43" s="6" t="s">
        <v>146</v>
      </c>
      <c r="W43" t="s">
        <v>352</v>
      </c>
    </row>
    <row r="44" spans="1:23" x14ac:dyDescent="0.3">
      <c r="A44" s="6" t="s">
        <v>193</v>
      </c>
      <c r="B44" s="1">
        <v>45677</v>
      </c>
      <c r="C44" s="6" t="s">
        <v>343</v>
      </c>
      <c r="D44" s="6" t="s">
        <v>117</v>
      </c>
      <c r="E44" s="6" t="s">
        <v>68</v>
      </c>
      <c r="F44" s="6" t="s">
        <v>24</v>
      </c>
      <c r="G44" s="6" t="s">
        <v>25</v>
      </c>
      <c r="H44" s="6" t="s">
        <v>26</v>
      </c>
      <c r="I44" s="6" t="s">
        <v>58</v>
      </c>
      <c r="J44" s="6" t="s">
        <v>117</v>
      </c>
      <c r="K44" s="6" t="s">
        <v>48</v>
      </c>
      <c r="L44" s="6" t="s">
        <v>54</v>
      </c>
      <c r="M44" s="6" t="s">
        <v>29</v>
      </c>
      <c r="N44" s="6" t="s">
        <v>28</v>
      </c>
      <c r="O44" s="6" t="s">
        <v>26</v>
      </c>
      <c r="P44" s="6" t="s">
        <v>66</v>
      </c>
      <c r="Q44" s="6" t="s">
        <v>31</v>
      </c>
      <c r="R44" s="6" t="s">
        <v>117</v>
      </c>
      <c r="S44" s="6" t="s">
        <v>54</v>
      </c>
      <c r="T44" s="6" t="s">
        <v>29</v>
      </c>
      <c r="U44" s="6" t="s">
        <v>28</v>
      </c>
      <c r="V44" s="6" t="s">
        <v>137</v>
      </c>
      <c r="W44" t="s">
        <v>352</v>
      </c>
    </row>
    <row r="45" spans="1:23" x14ac:dyDescent="0.3">
      <c r="A45" s="6" t="s">
        <v>194</v>
      </c>
      <c r="B45" s="1">
        <v>45677</v>
      </c>
      <c r="C45" s="6" t="s">
        <v>343</v>
      </c>
      <c r="D45" s="6" t="s">
        <v>117</v>
      </c>
      <c r="E45" s="6" t="s">
        <v>68</v>
      </c>
      <c r="F45" s="6" t="s">
        <v>24</v>
      </c>
      <c r="G45" s="6" t="s">
        <v>25</v>
      </c>
      <c r="H45" s="6" t="s">
        <v>26</v>
      </c>
      <c r="I45" s="6" t="s">
        <v>58</v>
      </c>
      <c r="J45" s="6" t="s">
        <v>117</v>
      </c>
      <c r="K45" s="6" t="s">
        <v>48</v>
      </c>
      <c r="L45" s="6" t="s">
        <v>54</v>
      </c>
      <c r="M45" s="6" t="s">
        <v>29</v>
      </c>
      <c r="N45" s="6" t="s">
        <v>28</v>
      </c>
      <c r="O45" s="6" t="s">
        <v>30</v>
      </c>
      <c r="P45" s="6" t="s">
        <v>37</v>
      </c>
      <c r="Q45" s="6" t="s">
        <v>31</v>
      </c>
      <c r="R45" s="6" t="s">
        <v>117</v>
      </c>
      <c r="S45" s="6" t="s">
        <v>54</v>
      </c>
      <c r="T45" s="6" t="s">
        <v>32</v>
      </c>
      <c r="U45" s="6" t="s">
        <v>28</v>
      </c>
      <c r="V45" s="6" t="s">
        <v>137</v>
      </c>
      <c r="W45" t="s">
        <v>352</v>
      </c>
    </row>
    <row r="46" spans="1:23" x14ac:dyDescent="0.3">
      <c r="A46" s="6" t="s">
        <v>195</v>
      </c>
      <c r="B46" s="1">
        <v>45678</v>
      </c>
      <c r="C46" s="6" t="s">
        <v>343</v>
      </c>
      <c r="D46" s="6" t="s">
        <v>60</v>
      </c>
      <c r="E46" s="6" t="s">
        <v>23</v>
      </c>
      <c r="F46" s="6" t="s">
        <v>24</v>
      </c>
      <c r="G46" s="6" t="s">
        <v>51</v>
      </c>
      <c r="H46" s="6" t="s">
        <v>26</v>
      </c>
      <c r="I46" s="6" t="s">
        <v>42</v>
      </c>
      <c r="J46" s="6" t="s">
        <v>60</v>
      </c>
      <c r="K46" s="6" t="s">
        <v>102</v>
      </c>
      <c r="L46" s="6" t="s">
        <v>54</v>
      </c>
      <c r="M46" s="6" t="s">
        <v>29</v>
      </c>
      <c r="N46" s="6" t="s">
        <v>28</v>
      </c>
      <c r="O46" s="6" t="s">
        <v>48</v>
      </c>
      <c r="P46" s="6" t="s">
        <v>48</v>
      </c>
      <c r="Q46" s="6" t="s">
        <v>48</v>
      </c>
      <c r="R46" s="6" t="s">
        <v>60</v>
      </c>
      <c r="S46" s="6" t="s">
        <v>54</v>
      </c>
      <c r="T46" s="6" t="s">
        <v>48</v>
      </c>
      <c r="U46" s="6" t="s">
        <v>87</v>
      </c>
      <c r="V46" s="6" t="s">
        <v>146</v>
      </c>
      <c r="W46" t="s">
        <v>352</v>
      </c>
    </row>
    <row r="47" spans="1:23" x14ac:dyDescent="0.3">
      <c r="A47" s="6" t="s">
        <v>196</v>
      </c>
      <c r="B47" s="1">
        <v>45678</v>
      </c>
      <c r="C47" s="6" t="s">
        <v>343</v>
      </c>
      <c r="D47" s="6" t="s">
        <v>43</v>
      </c>
      <c r="E47" s="6" t="s">
        <v>68</v>
      </c>
      <c r="F47" s="6" t="s">
        <v>24</v>
      </c>
      <c r="G47" s="6" t="s">
        <v>61</v>
      </c>
      <c r="H47" s="6" t="s">
        <v>26</v>
      </c>
      <c r="I47" s="6" t="s">
        <v>52</v>
      </c>
      <c r="J47" s="6" t="s">
        <v>43</v>
      </c>
      <c r="K47" s="6" t="s">
        <v>120</v>
      </c>
      <c r="L47" s="6" t="s">
        <v>54</v>
      </c>
      <c r="M47" s="6" t="s">
        <v>29</v>
      </c>
      <c r="N47" s="6" t="s">
        <v>28</v>
      </c>
      <c r="O47" s="6" t="s">
        <v>48</v>
      </c>
      <c r="P47" s="6" t="s">
        <v>48</v>
      </c>
      <c r="Q47" s="6" t="s">
        <v>48</v>
      </c>
      <c r="R47" s="6" t="s">
        <v>43</v>
      </c>
      <c r="S47" s="6" t="s">
        <v>54</v>
      </c>
      <c r="T47" s="6" t="s">
        <v>48</v>
      </c>
      <c r="U47" s="6" t="s">
        <v>59</v>
      </c>
      <c r="V47" s="6" t="s">
        <v>146</v>
      </c>
      <c r="W47" t="s">
        <v>352</v>
      </c>
    </row>
    <row r="48" spans="1:23" x14ac:dyDescent="0.3">
      <c r="A48" s="6" t="s">
        <v>197</v>
      </c>
      <c r="B48" s="1">
        <v>45678</v>
      </c>
      <c r="C48" s="6" t="s">
        <v>33</v>
      </c>
      <c r="D48" s="6" t="s">
        <v>22</v>
      </c>
      <c r="E48" s="6" t="s">
        <v>23</v>
      </c>
      <c r="F48" s="6" t="s">
        <v>24</v>
      </c>
      <c r="G48" s="6" t="s">
        <v>69</v>
      </c>
      <c r="H48" s="6" t="s">
        <v>48</v>
      </c>
      <c r="I48" s="6" t="s">
        <v>27</v>
      </c>
      <c r="J48" s="6" t="s">
        <v>22</v>
      </c>
      <c r="K48" s="6" t="s">
        <v>48</v>
      </c>
      <c r="L48" s="6" t="s">
        <v>152</v>
      </c>
      <c r="M48" s="6" t="s">
        <v>48</v>
      </c>
      <c r="N48" s="6" t="s">
        <v>28</v>
      </c>
      <c r="O48" s="6" t="s">
        <v>26</v>
      </c>
      <c r="P48" s="6" t="s">
        <v>38</v>
      </c>
      <c r="Q48" s="6" t="s">
        <v>31</v>
      </c>
      <c r="R48" s="6" t="s">
        <v>22</v>
      </c>
      <c r="S48" s="6" t="s">
        <v>54</v>
      </c>
      <c r="T48" s="6" t="s">
        <v>48</v>
      </c>
      <c r="U48" s="6" t="s">
        <v>28</v>
      </c>
      <c r="V48" s="6" t="s">
        <v>82</v>
      </c>
      <c r="W48" t="s">
        <v>352</v>
      </c>
    </row>
    <row r="49" spans="1:23" x14ac:dyDescent="0.3">
      <c r="A49" s="6" t="s">
        <v>197</v>
      </c>
      <c r="B49" s="1">
        <v>45678</v>
      </c>
      <c r="C49" s="6" t="s">
        <v>33</v>
      </c>
      <c r="D49" s="6" t="s">
        <v>22</v>
      </c>
      <c r="E49" s="6" t="s">
        <v>23</v>
      </c>
      <c r="F49" s="6" t="s">
        <v>24</v>
      </c>
      <c r="G49" s="6" t="s">
        <v>69</v>
      </c>
      <c r="H49" s="6" t="s">
        <v>48</v>
      </c>
      <c r="I49" s="6" t="s">
        <v>27</v>
      </c>
      <c r="J49" s="6" t="s">
        <v>22</v>
      </c>
      <c r="K49" s="6" t="s">
        <v>48</v>
      </c>
      <c r="L49" s="6" t="s">
        <v>152</v>
      </c>
      <c r="M49" s="6" t="s">
        <v>48</v>
      </c>
      <c r="N49" s="6" t="s">
        <v>28</v>
      </c>
      <c r="O49" s="6" t="s">
        <v>26</v>
      </c>
      <c r="P49" s="6" t="s">
        <v>38</v>
      </c>
      <c r="Q49" s="6" t="s">
        <v>31</v>
      </c>
      <c r="R49" s="6" t="s">
        <v>22</v>
      </c>
      <c r="S49" s="6" t="s">
        <v>54</v>
      </c>
      <c r="T49" s="6" t="s">
        <v>48</v>
      </c>
      <c r="U49" s="6" t="s">
        <v>28</v>
      </c>
      <c r="V49" s="6" t="s">
        <v>146</v>
      </c>
      <c r="W49" t="s">
        <v>352</v>
      </c>
    </row>
    <row r="50" spans="1:23" x14ac:dyDescent="0.3">
      <c r="A50" s="6" t="s">
        <v>198</v>
      </c>
      <c r="B50" s="1">
        <v>45679</v>
      </c>
      <c r="C50" s="6" t="s">
        <v>33</v>
      </c>
      <c r="D50" s="6" t="s">
        <v>43</v>
      </c>
      <c r="E50" s="6" t="s">
        <v>68</v>
      </c>
      <c r="F50" s="6" t="s">
        <v>24</v>
      </c>
      <c r="G50" s="6" t="s">
        <v>61</v>
      </c>
      <c r="H50" s="6" t="s">
        <v>26</v>
      </c>
      <c r="I50" s="6" t="s">
        <v>42</v>
      </c>
      <c r="J50" s="6" t="s">
        <v>43</v>
      </c>
      <c r="K50" s="6" t="s">
        <v>48</v>
      </c>
      <c r="L50" s="6" t="s">
        <v>54</v>
      </c>
      <c r="M50" s="6" t="s">
        <v>55</v>
      </c>
      <c r="N50" s="6" t="s">
        <v>28</v>
      </c>
      <c r="O50" s="6" t="s">
        <v>26</v>
      </c>
      <c r="P50" s="6" t="s">
        <v>48</v>
      </c>
      <c r="Q50" s="6" t="s">
        <v>48</v>
      </c>
      <c r="R50" s="6" t="s">
        <v>43</v>
      </c>
      <c r="S50" s="6" t="s">
        <v>54</v>
      </c>
      <c r="T50" s="6" t="s">
        <v>48</v>
      </c>
      <c r="U50" s="6" t="s">
        <v>28</v>
      </c>
      <c r="V50" s="6" t="s">
        <v>146</v>
      </c>
      <c r="W50" t="s">
        <v>352</v>
      </c>
    </row>
    <row r="51" spans="1:23" x14ac:dyDescent="0.3">
      <c r="A51" s="6" t="s">
        <v>199</v>
      </c>
      <c r="B51" s="1">
        <v>45680</v>
      </c>
      <c r="C51" s="6" t="s">
        <v>343</v>
      </c>
      <c r="D51" s="6" t="s">
        <v>81</v>
      </c>
      <c r="E51" s="6" t="s">
        <v>73</v>
      </c>
      <c r="F51" s="6" t="s">
        <v>24</v>
      </c>
      <c r="G51" s="6" t="s">
        <v>61</v>
      </c>
      <c r="H51" s="6" t="s">
        <v>48</v>
      </c>
      <c r="I51" s="6" t="s">
        <v>52</v>
      </c>
      <c r="J51" s="6" t="s">
        <v>81</v>
      </c>
      <c r="K51" s="6" t="s">
        <v>48</v>
      </c>
      <c r="L51" s="6" t="s">
        <v>54</v>
      </c>
      <c r="M51" s="6" t="s">
        <v>48</v>
      </c>
      <c r="N51" s="6" t="s">
        <v>63</v>
      </c>
      <c r="O51" s="6" t="s">
        <v>48</v>
      </c>
      <c r="P51" s="6" t="s">
        <v>48</v>
      </c>
      <c r="Q51" s="6" t="s">
        <v>48</v>
      </c>
      <c r="R51" s="6" t="s">
        <v>81</v>
      </c>
      <c r="S51" s="6" t="s">
        <v>54</v>
      </c>
      <c r="T51" s="6" t="s">
        <v>48</v>
      </c>
      <c r="U51" s="6" t="s">
        <v>59</v>
      </c>
      <c r="V51" s="6" t="s">
        <v>82</v>
      </c>
      <c r="W51" t="s">
        <v>352</v>
      </c>
    </row>
    <row r="52" spans="1:23" x14ac:dyDescent="0.3">
      <c r="A52" s="6" t="s">
        <v>202</v>
      </c>
      <c r="B52" s="1">
        <v>45680</v>
      </c>
      <c r="C52" s="6" t="s">
        <v>33</v>
      </c>
      <c r="D52" s="6" t="s">
        <v>43</v>
      </c>
      <c r="E52" s="6" t="s">
        <v>35</v>
      </c>
      <c r="F52" s="6" t="s">
        <v>24</v>
      </c>
      <c r="G52" s="6" t="s">
        <v>69</v>
      </c>
      <c r="H52" s="6" t="s">
        <v>26</v>
      </c>
      <c r="I52" s="6" t="s">
        <v>52</v>
      </c>
      <c r="J52" s="6" t="s">
        <v>43</v>
      </c>
      <c r="K52" s="6" t="s">
        <v>48</v>
      </c>
      <c r="L52" s="6" t="s">
        <v>54</v>
      </c>
      <c r="M52" s="6" t="s">
        <v>48</v>
      </c>
      <c r="N52" s="6" t="s">
        <v>28</v>
      </c>
      <c r="O52" s="6" t="s">
        <v>30</v>
      </c>
      <c r="P52" s="6" t="s">
        <v>48</v>
      </c>
      <c r="Q52" s="6" t="s">
        <v>48</v>
      </c>
      <c r="R52" s="6" t="s">
        <v>43</v>
      </c>
      <c r="S52" s="6" t="s">
        <v>54</v>
      </c>
      <c r="T52" s="6" t="s">
        <v>48</v>
      </c>
      <c r="U52" s="6" t="s">
        <v>28</v>
      </c>
      <c r="V52" s="6" t="s">
        <v>146</v>
      </c>
      <c r="W52" t="s">
        <v>352</v>
      </c>
    </row>
    <row r="53" spans="1:23" x14ac:dyDescent="0.3">
      <c r="A53" s="6" t="s">
        <v>200</v>
      </c>
      <c r="B53" s="1">
        <v>45680</v>
      </c>
      <c r="C53" s="6" t="s">
        <v>33</v>
      </c>
      <c r="D53" s="6" t="s">
        <v>43</v>
      </c>
      <c r="E53" s="6" t="s">
        <v>35</v>
      </c>
      <c r="F53" s="6" t="s">
        <v>24</v>
      </c>
      <c r="G53" s="6" t="s">
        <v>69</v>
      </c>
      <c r="H53" s="6" t="s">
        <v>26</v>
      </c>
      <c r="I53" s="6" t="s">
        <v>52</v>
      </c>
      <c r="J53" s="6" t="s">
        <v>43</v>
      </c>
      <c r="K53" s="6" t="s">
        <v>48</v>
      </c>
      <c r="L53" s="6" t="s">
        <v>54</v>
      </c>
      <c r="M53" s="6" t="s">
        <v>48</v>
      </c>
      <c r="N53" s="6" t="s">
        <v>28</v>
      </c>
      <c r="O53" s="6" t="s">
        <v>26</v>
      </c>
      <c r="P53" s="6" t="s">
        <v>48</v>
      </c>
      <c r="Q53" s="6" t="s">
        <v>48</v>
      </c>
      <c r="R53" s="6" t="s">
        <v>43</v>
      </c>
      <c r="S53" s="6" t="s">
        <v>54</v>
      </c>
      <c r="T53" s="6" t="s">
        <v>48</v>
      </c>
      <c r="U53" s="6" t="s">
        <v>28</v>
      </c>
      <c r="V53" s="6" t="s">
        <v>82</v>
      </c>
      <c r="W53" t="s">
        <v>352</v>
      </c>
    </row>
    <row r="54" spans="1:23" x14ac:dyDescent="0.3">
      <c r="A54" s="6" t="s">
        <v>201</v>
      </c>
      <c r="B54" s="1">
        <v>45680</v>
      </c>
      <c r="C54" s="6" t="s">
        <v>33</v>
      </c>
      <c r="D54" s="6" t="s">
        <v>43</v>
      </c>
      <c r="E54" s="6" t="s">
        <v>35</v>
      </c>
      <c r="F54" s="6" t="s">
        <v>24</v>
      </c>
      <c r="G54" s="6" t="s">
        <v>69</v>
      </c>
      <c r="H54" s="6" t="s">
        <v>26</v>
      </c>
      <c r="I54" s="6" t="s">
        <v>52</v>
      </c>
      <c r="J54" s="6" t="s">
        <v>43</v>
      </c>
      <c r="K54" s="6" t="s">
        <v>48</v>
      </c>
      <c r="L54" s="6" t="s">
        <v>54</v>
      </c>
      <c r="M54" s="6" t="s">
        <v>48</v>
      </c>
      <c r="N54" s="6" t="s">
        <v>28</v>
      </c>
      <c r="O54" s="6" t="s">
        <v>30</v>
      </c>
      <c r="P54" s="6" t="s">
        <v>48</v>
      </c>
      <c r="Q54" s="6" t="s">
        <v>48</v>
      </c>
      <c r="R54" s="6" t="s">
        <v>43</v>
      </c>
      <c r="S54" s="6" t="s">
        <v>54</v>
      </c>
      <c r="T54" s="6" t="s">
        <v>48</v>
      </c>
      <c r="U54" s="6" t="s">
        <v>28</v>
      </c>
      <c r="V54" s="6" t="s">
        <v>82</v>
      </c>
      <c r="W54" t="s">
        <v>352</v>
      </c>
    </row>
    <row r="55" spans="1:23" x14ac:dyDescent="0.3">
      <c r="A55" s="6" t="s">
        <v>200</v>
      </c>
      <c r="B55" s="1">
        <v>45680</v>
      </c>
      <c r="C55" s="6" t="s">
        <v>33</v>
      </c>
      <c r="D55" s="6" t="s">
        <v>43</v>
      </c>
      <c r="E55" s="6" t="s">
        <v>35</v>
      </c>
      <c r="F55" s="6" t="s">
        <v>24</v>
      </c>
      <c r="G55" s="6" t="s">
        <v>69</v>
      </c>
      <c r="H55" s="6" t="s">
        <v>26</v>
      </c>
      <c r="I55" s="6" t="s">
        <v>52</v>
      </c>
      <c r="J55" s="6" t="s">
        <v>43</v>
      </c>
      <c r="K55" s="6" t="s">
        <v>48</v>
      </c>
      <c r="L55" s="6" t="s">
        <v>54</v>
      </c>
      <c r="M55" s="6" t="s">
        <v>48</v>
      </c>
      <c r="N55" s="6" t="s">
        <v>28</v>
      </c>
      <c r="O55" s="6" t="s">
        <v>26</v>
      </c>
      <c r="P55" s="6" t="s">
        <v>48</v>
      </c>
      <c r="Q55" s="6" t="s">
        <v>48</v>
      </c>
      <c r="R55" s="6" t="s">
        <v>43</v>
      </c>
      <c r="S55" s="6" t="s">
        <v>54</v>
      </c>
      <c r="T55" s="6" t="s">
        <v>48</v>
      </c>
      <c r="U55" s="6" t="s">
        <v>28</v>
      </c>
      <c r="V55" s="6" t="s">
        <v>146</v>
      </c>
      <c r="W55" t="s">
        <v>352</v>
      </c>
    </row>
    <row r="56" spans="1:23" x14ac:dyDescent="0.3">
      <c r="A56" s="6" t="s">
        <v>202</v>
      </c>
      <c r="B56" s="1">
        <v>45680</v>
      </c>
      <c r="C56" s="6" t="s">
        <v>33</v>
      </c>
      <c r="D56" s="6" t="s">
        <v>43</v>
      </c>
      <c r="E56" s="6" t="s">
        <v>35</v>
      </c>
      <c r="F56" s="6" t="s">
        <v>24</v>
      </c>
      <c r="G56" s="6" t="s">
        <v>69</v>
      </c>
      <c r="H56" s="6" t="s">
        <v>26</v>
      </c>
      <c r="I56" s="6" t="s">
        <v>52</v>
      </c>
      <c r="J56" s="6" t="s">
        <v>43</v>
      </c>
      <c r="K56" s="6" t="s">
        <v>48</v>
      </c>
      <c r="L56" s="6" t="s">
        <v>54</v>
      </c>
      <c r="M56" s="6" t="s">
        <v>48</v>
      </c>
      <c r="N56" s="6" t="s">
        <v>28</v>
      </c>
      <c r="O56" s="6" t="s">
        <v>30</v>
      </c>
      <c r="P56" s="6" t="s">
        <v>48</v>
      </c>
      <c r="Q56" s="6" t="s">
        <v>48</v>
      </c>
      <c r="R56" s="6" t="s">
        <v>43</v>
      </c>
      <c r="S56" s="6" t="s">
        <v>54</v>
      </c>
      <c r="T56" s="6" t="s">
        <v>48</v>
      </c>
      <c r="U56" s="6" t="s">
        <v>28</v>
      </c>
      <c r="V56" s="6" t="s">
        <v>82</v>
      </c>
      <c r="W56" t="s">
        <v>352</v>
      </c>
    </row>
    <row r="57" spans="1:23" x14ac:dyDescent="0.3">
      <c r="A57" s="6" t="s">
        <v>201</v>
      </c>
      <c r="B57" s="1">
        <v>45680</v>
      </c>
      <c r="C57" s="6" t="s">
        <v>33</v>
      </c>
      <c r="D57" s="6" t="s">
        <v>43</v>
      </c>
      <c r="E57" s="6" t="s">
        <v>35</v>
      </c>
      <c r="F57" s="6" t="s">
        <v>24</v>
      </c>
      <c r="G57" s="6" t="s">
        <v>69</v>
      </c>
      <c r="H57" s="6" t="s">
        <v>26</v>
      </c>
      <c r="I57" s="6" t="s">
        <v>52</v>
      </c>
      <c r="J57" s="6" t="s">
        <v>43</v>
      </c>
      <c r="K57" s="6" t="s">
        <v>48</v>
      </c>
      <c r="L57" s="6" t="s">
        <v>54</v>
      </c>
      <c r="M57" s="6" t="s">
        <v>48</v>
      </c>
      <c r="N57" s="6" t="s">
        <v>28</v>
      </c>
      <c r="O57" s="6" t="s">
        <v>30</v>
      </c>
      <c r="P57" s="6" t="s">
        <v>48</v>
      </c>
      <c r="Q57" s="6" t="s">
        <v>48</v>
      </c>
      <c r="R57" s="6" t="s">
        <v>43</v>
      </c>
      <c r="S57" s="6" t="s">
        <v>54</v>
      </c>
      <c r="T57" s="6" t="s">
        <v>48</v>
      </c>
      <c r="U57" s="6" t="s">
        <v>28</v>
      </c>
      <c r="V57" s="6" t="s">
        <v>146</v>
      </c>
      <c r="W57" t="s">
        <v>352</v>
      </c>
    </row>
    <row r="58" spans="1:23" x14ac:dyDescent="0.3">
      <c r="A58" s="6" t="s">
        <v>203</v>
      </c>
      <c r="B58" s="1">
        <v>45680</v>
      </c>
      <c r="C58" s="6" t="s">
        <v>33</v>
      </c>
      <c r="D58" s="6" t="s">
        <v>91</v>
      </c>
      <c r="E58" s="6" t="s">
        <v>35</v>
      </c>
      <c r="F58" s="6" t="s">
        <v>24</v>
      </c>
      <c r="G58" s="6" t="s">
        <v>69</v>
      </c>
      <c r="H58" s="6" t="s">
        <v>26</v>
      </c>
      <c r="I58" s="6" t="s">
        <v>38</v>
      </c>
      <c r="J58" s="6" t="s">
        <v>91</v>
      </c>
      <c r="K58" s="6" t="s">
        <v>48</v>
      </c>
      <c r="L58" s="6" t="s">
        <v>54</v>
      </c>
      <c r="M58" s="6" t="s">
        <v>29</v>
      </c>
      <c r="N58" s="6" t="s">
        <v>28</v>
      </c>
      <c r="O58" s="6" t="s">
        <v>48</v>
      </c>
      <c r="P58" s="6" t="s">
        <v>48</v>
      </c>
      <c r="Q58" s="6" t="s">
        <v>48</v>
      </c>
      <c r="R58" s="6" t="s">
        <v>91</v>
      </c>
      <c r="S58" s="6" t="s">
        <v>54</v>
      </c>
      <c r="T58" s="6" t="s">
        <v>48</v>
      </c>
      <c r="U58" s="6" t="s">
        <v>28</v>
      </c>
      <c r="V58" s="6" t="s">
        <v>82</v>
      </c>
      <c r="W58" t="s">
        <v>352</v>
      </c>
    </row>
    <row r="59" spans="1:23" x14ac:dyDescent="0.3">
      <c r="A59" s="6" t="s">
        <v>203</v>
      </c>
      <c r="B59" s="1">
        <v>45680</v>
      </c>
      <c r="C59" s="6" t="s">
        <v>33</v>
      </c>
      <c r="D59" s="6" t="s">
        <v>91</v>
      </c>
      <c r="E59" s="6" t="s">
        <v>35</v>
      </c>
      <c r="F59" s="6" t="s">
        <v>24</v>
      </c>
      <c r="G59" s="6" t="s">
        <v>69</v>
      </c>
      <c r="H59" s="6" t="s">
        <v>26</v>
      </c>
      <c r="I59" s="6" t="s">
        <v>38</v>
      </c>
      <c r="J59" s="6" t="s">
        <v>91</v>
      </c>
      <c r="K59" s="6" t="s">
        <v>48</v>
      </c>
      <c r="L59" s="6" t="s">
        <v>54</v>
      </c>
      <c r="M59" s="6" t="s">
        <v>29</v>
      </c>
      <c r="N59" s="6" t="s">
        <v>28</v>
      </c>
      <c r="O59" s="6" t="s">
        <v>48</v>
      </c>
      <c r="P59" s="6" t="s">
        <v>48</v>
      </c>
      <c r="Q59" s="6" t="s">
        <v>48</v>
      </c>
      <c r="R59" s="6" t="s">
        <v>91</v>
      </c>
      <c r="S59" s="6" t="s">
        <v>54</v>
      </c>
      <c r="T59" s="6" t="s">
        <v>48</v>
      </c>
      <c r="U59" s="6" t="s">
        <v>28</v>
      </c>
      <c r="V59" s="6" t="s">
        <v>146</v>
      </c>
      <c r="W59" t="s">
        <v>352</v>
      </c>
    </row>
    <row r="60" spans="1:23" x14ac:dyDescent="0.3">
      <c r="A60" s="6" t="s">
        <v>204</v>
      </c>
      <c r="B60" s="1">
        <v>45681</v>
      </c>
      <c r="C60" s="6" t="s">
        <v>39</v>
      </c>
      <c r="D60" s="6" t="s">
        <v>81</v>
      </c>
      <c r="E60" s="6" t="s">
        <v>35</v>
      </c>
      <c r="F60" s="6" t="s">
        <v>24</v>
      </c>
      <c r="G60" s="6" t="s">
        <v>61</v>
      </c>
      <c r="H60" s="6" t="s">
        <v>48</v>
      </c>
      <c r="I60" s="6" t="s">
        <v>27</v>
      </c>
      <c r="J60" s="6" t="s">
        <v>81</v>
      </c>
      <c r="K60" s="6" t="s">
        <v>48</v>
      </c>
      <c r="L60" s="6" t="s">
        <v>54</v>
      </c>
      <c r="M60" s="6" t="s">
        <v>48</v>
      </c>
      <c r="N60" s="6" t="s">
        <v>28</v>
      </c>
      <c r="O60" s="6" t="s">
        <v>48</v>
      </c>
      <c r="P60" s="6" t="s">
        <v>48</v>
      </c>
      <c r="Q60" s="6" t="s">
        <v>48</v>
      </c>
      <c r="R60" s="6" t="s">
        <v>81</v>
      </c>
      <c r="S60" s="6" t="s">
        <v>54</v>
      </c>
      <c r="T60" s="6" t="s">
        <v>48</v>
      </c>
      <c r="U60" s="6" t="s">
        <v>139</v>
      </c>
      <c r="V60" s="6" t="s">
        <v>146</v>
      </c>
      <c r="W60" t="s">
        <v>352</v>
      </c>
    </row>
    <row r="61" spans="1:23" x14ac:dyDescent="0.3">
      <c r="A61" s="6" t="s">
        <v>204</v>
      </c>
      <c r="B61" s="1">
        <v>45681</v>
      </c>
      <c r="C61" s="6" t="s">
        <v>39</v>
      </c>
      <c r="D61" s="6" t="s">
        <v>81</v>
      </c>
      <c r="E61" s="6" t="s">
        <v>35</v>
      </c>
      <c r="F61" s="6" t="s">
        <v>24</v>
      </c>
      <c r="G61" s="6" t="s">
        <v>61</v>
      </c>
      <c r="H61" s="6" t="s">
        <v>48</v>
      </c>
      <c r="I61" s="6" t="s">
        <v>27</v>
      </c>
      <c r="J61" s="6" t="s">
        <v>81</v>
      </c>
      <c r="K61" s="6" t="s">
        <v>48</v>
      </c>
      <c r="L61" s="6" t="s">
        <v>54</v>
      </c>
      <c r="M61" s="6" t="s">
        <v>48</v>
      </c>
      <c r="N61" s="6" t="s">
        <v>28</v>
      </c>
      <c r="O61" s="6" t="s">
        <v>48</v>
      </c>
      <c r="P61" s="6" t="s">
        <v>48</v>
      </c>
      <c r="Q61" s="6" t="s">
        <v>48</v>
      </c>
      <c r="R61" s="6" t="s">
        <v>81</v>
      </c>
      <c r="S61" s="6" t="s">
        <v>54</v>
      </c>
      <c r="T61" s="6" t="s">
        <v>48</v>
      </c>
      <c r="U61" s="6" t="s">
        <v>139</v>
      </c>
      <c r="V61" s="6" t="s">
        <v>82</v>
      </c>
      <c r="W61" t="s">
        <v>352</v>
      </c>
    </row>
    <row r="62" spans="1:23" x14ac:dyDescent="0.3">
      <c r="A62" s="6" t="s">
        <v>205</v>
      </c>
      <c r="B62" s="1">
        <v>45682</v>
      </c>
      <c r="C62" s="6" t="s">
        <v>343</v>
      </c>
      <c r="D62" s="6" t="s">
        <v>40</v>
      </c>
      <c r="E62" s="6" t="s">
        <v>64</v>
      </c>
      <c r="F62" s="6" t="s">
        <v>24</v>
      </c>
      <c r="G62" s="6" t="s">
        <v>69</v>
      </c>
      <c r="H62" s="6" t="s">
        <v>26</v>
      </c>
      <c r="I62" s="6" t="s">
        <v>42</v>
      </c>
      <c r="J62" s="6" t="s">
        <v>40</v>
      </c>
      <c r="K62" s="6" t="s">
        <v>48</v>
      </c>
      <c r="L62" s="6" t="s">
        <v>54</v>
      </c>
      <c r="M62" s="6" t="s">
        <v>32</v>
      </c>
      <c r="N62" s="6" t="s">
        <v>28</v>
      </c>
      <c r="O62" s="6" t="s">
        <v>26</v>
      </c>
      <c r="P62" s="6" t="s">
        <v>48</v>
      </c>
      <c r="Q62" s="6" t="s">
        <v>48</v>
      </c>
      <c r="R62" s="6" t="s">
        <v>40</v>
      </c>
      <c r="S62" s="6" t="s">
        <v>54</v>
      </c>
      <c r="T62" s="6" t="s">
        <v>48</v>
      </c>
      <c r="U62" s="6" t="s">
        <v>28</v>
      </c>
      <c r="V62" s="6" t="s">
        <v>146</v>
      </c>
      <c r="W62" t="s">
        <v>352</v>
      </c>
    </row>
    <row r="63" spans="1:23" x14ac:dyDescent="0.3">
      <c r="A63" s="6" t="s">
        <v>205</v>
      </c>
      <c r="B63" s="1">
        <v>45682</v>
      </c>
      <c r="C63" s="6" t="s">
        <v>343</v>
      </c>
      <c r="D63" s="6" t="s">
        <v>40</v>
      </c>
      <c r="E63" s="6" t="s">
        <v>64</v>
      </c>
      <c r="F63" s="6" t="s">
        <v>24</v>
      </c>
      <c r="G63" s="6" t="s">
        <v>69</v>
      </c>
      <c r="H63" s="6" t="s">
        <v>26</v>
      </c>
      <c r="I63" s="6" t="s">
        <v>42</v>
      </c>
      <c r="J63" s="6" t="s">
        <v>40</v>
      </c>
      <c r="K63" s="6" t="s">
        <v>48</v>
      </c>
      <c r="L63" s="6" t="s">
        <v>54</v>
      </c>
      <c r="M63" s="6" t="s">
        <v>32</v>
      </c>
      <c r="N63" s="6" t="s">
        <v>28</v>
      </c>
      <c r="O63" s="6" t="s">
        <v>26</v>
      </c>
      <c r="P63" s="6" t="s">
        <v>48</v>
      </c>
      <c r="Q63" s="6" t="s">
        <v>48</v>
      </c>
      <c r="R63" s="6" t="s">
        <v>40</v>
      </c>
      <c r="S63" s="6" t="s">
        <v>54</v>
      </c>
      <c r="T63" s="6" t="s">
        <v>48</v>
      </c>
      <c r="U63" s="6" t="s">
        <v>28</v>
      </c>
      <c r="V63" s="6" t="s">
        <v>82</v>
      </c>
      <c r="W63" t="s">
        <v>352</v>
      </c>
    </row>
    <row r="64" spans="1:23" x14ac:dyDescent="0.3">
      <c r="A64" s="6" t="s">
        <v>205</v>
      </c>
      <c r="B64" s="1">
        <v>45682</v>
      </c>
      <c r="C64" s="6" t="s">
        <v>343</v>
      </c>
      <c r="D64" s="6" t="s">
        <v>40</v>
      </c>
      <c r="E64" s="6" t="s">
        <v>64</v>
      </c>
      <c r="F64" s="6" t="s">
        <v>24</v>
      </c>
      <c r="G64" s="6" t="s">
        <v>69</v>
      </c>
      <c r="H64" s="6" t="s">
        <v>26</v>
      </c>
      <c r="I64" s="6" t="s">
        <v>42</v>
      </c>
      <c r="J64" s="6" t="s">
        <v>40</v>
      </c>
      <c r="K64" s="6" t="s">
        <v>48</v>
      </c>
      <c r="L64" s="6" t="s">
        <v>54</v>
      </c>
      <c r="M64" s="6" t="s">
        <v>32</v>
      </c>
      <c r="N64" s="6" t="s">
        <v>28</v>
      </c>
      <c r="O64" s="6" t="s">
        <v>26</v>
      </c>
      <c r="P64" s="6" t="s">
        <v>48</v>
      </c>
      <c r="Q64" s="6" t="s">
        <v>48</v>
      </c>
      <c r="R64" s="6" t="s">
        <v>40</v>
      </c>
      <c r="S64" s="6" t="s">
        <v>54</v>
      </c>
      <c r="T64" s="6" t="s">
        <v>48</v>
      </c>
      <c r="U64" s="6" t="s">
        <v>28</v>
      </c>
      <c r="V64" s="6" t="s">
        <v>137</v>
      </c>
      <c r="W64" t="s">
        <v>352</v>
      </c>
    </row>
    <row r="65" spans="1:23" x14ac:dyDescent="0.3">
      <c r="A65" s="6" t="s">
        <v>206</v>
      </c>
      <c r="B65" s="1">
        <v>45684</v>
      </c>
      <c r="C65" s="6" t="s">
        <v>33</v>
      </c>
      <c r="D65" s="6" t="s">
        <v>78</v>
      </c>
      <c r="E65" s="6" t="s">
        <v>68</v>
      </c>
      <c r="F65" s="6" t="s">
        <v>24</v>
      </c>
      <c r="G65" s="6" t="s">
        <v>97</v>
      </c>
      <c r="H65" s="6" t="s">
        <v>26</v>
      </c>
      <c r="I65" s="6" t="s">
        <v>58</v>
      </c>
      <c r="J65" s="6" t="s">
        <v>78</v>
      </c>
      <c r="K65" s="6" t="s">
        <v>76</v>
      </c>
      <c r="L65" s="6" t="s">
        <v>54</v>
      </c>
      <c r="M65" s="6" t="s">
        <v>55</v>
      </c>
      <c r="N65" s="6" t="s">
        <v>28</v>
      </c>
      <c r="O65" s="6" t="s">
        <v>26</v>
      </c>
      <c r="P65" s="6" t="s">
        <v>27</v>
      </c>
      <c r="Q65" s="6" t="s">
        <v>48</v>
      </c>
      <c r="R65" s="6" t="s">
        <v>49</v>
      </c>
      <c r="S65" s="6" t="s">
        <v>54</v>
      </c>
      <c r="T65" s="6" t="s">
        <v>48</v>
      </c>
      <c r="U65" s="6" t="s">
        <v>28</v>
      </c>
      <c r="V65" s="6" t="s">
        <v>146</v>
      </c>
      <c r="W65" t="s">
        <v>352</v>
      </c>
    </row>
    <row r="66" spans="1:23" x14ac:dyDescent="0.3">
      <c r="A66" s="6" t="s">
        <v>207</v>
      </c>
      <c r="B66" s="1">
        <v>45684</v>
      </c>
      <c r="C66" s="6" t="s">
        <v>343</v>
      </c>
      <c r="D66" s="6" t="s">
        <v>43</v>
      </c>
      <c r="E66" s="6" t="s">
        <v>68</v>
      </c>
      <c r="F66" s="6" t="s">
        <v>24</v>
      </c>
      <c r="G66" s="6" t="s">
        <v>97</v>
      </c>
      <c r="H66" s="6" t="s">
        <v>48</v>
      </c>
      <c r="I66" s="6" t="s">
        <v>37</v>
      </c>
      <c r="J66" s="6" t="s">
        <v>43</v>
      </c>
      <c r="K66" s="6" t="s">
        <v>48</v>
      </c>
      <c r="L66" s="6" t="s">
        <v>54</v>
      </c>
      <c r="M66" s="6" t="s">
        <v>48</v>
      </c>
      <c r="N66" s="6" t="s">
        <v>28</v>
      </c>
      <c r="O66" s="6" t="s">
        <v>26</v>
      </c>
      <c r="P66" s="6" t="s">
        <v>52</v>
      </c>
      <c r="Q66" s="6" t="s">
        <v>48</v>
      </c>
      <c r="R66" s="6" t="s">
        <v>43</v>
      </c>
      <c r="S66" s="6" t="s">
        <v>54</v>
      </c>
      <c r="T66" s="6" t="s">
        <v>29</v>
      </c>
      <c r="U66" s="6" t="s">
        <v>28</v>
      </c>
      <c r="V66" s="6" t="s">
        <v>146</v>
      </c>
      <c r="W66" t="s">
        <v>352</v>
      </c>
    </row>
    <row r="67" spans="1:23" x14ac:dyDescent="0.3">
      <c r="A67" s="6" t="s">
        <v>208</v>
      </c>
      <c r="B67" s="1">
        <v>45684</v>
      </c>
      <c r="C67" s="6" t="s">
        <v>57</v>
      </c>
      <c r="D67" s="6" t="s">
        <v>22</v>
      </c>
      <c r="E67" s="6" t="s">
        <v>68</v>
      </c>
      <c r="F67" s="6" t="s">
        <v>24</v>
      </c>
      <c r="G67" s="6" t="s">
        <v>47</v>
      </c>
      <c r="H67" s="6" t="s">
        <v>26</v>
      </c>
      <c r="I67" s="6" t="s">
        <v>58</v>
      </c>
      <c r="J67" s="6" t="s">
        <v>22</v>
      </c>
      <c r="K67" s="6" t="s">
        <v>48</v>
      </c>
      <c r="L67" s="6" t="s">
        <v>54</v>
      </c>
      <c r="M67" s="6" t="s">
        <v>55</v>
      </c>
      <c r="N67" s="6" t="s">
        <v>28</v>
      </c>
      <c r="O67" s="6" t="s">
        <v>48</v>
      </c>
      <c r="P67" s="6" t="s">
        <v>48</v>
      </c>
      <c r="Q67" s="6" t="s">
        <v>48</v>
      </c>
      <c r="R67" s="6" t="s">
        <v>22</v>
      </c>
      <c r="S67" s="6" t="s">
        <v>54</v>
      </c>
      <c r="T67" s="6" t="s">
        <v>48</v>
      </c>
      <c r="U67" s="6" t="s">
        <v>126</v>
      </c>
      <c r="V67" s="6" t="s">
        <v>82</v>
      </c>
      <c r="W67" t="s">
        <v>352</v>
      </c>
    </row>
    <row r="68" spans="1:23" x14ac:dyDescent="0.3">
      <c r="A68" s="6" t="s">
        <v>209</v>
      </c>
      <c r="B68" s="1">
        <v>45684</v>
      </c>
      <c r="C68" s="6" t="s">
        <v>341</v>
      </c>
      <c r="D68" s="6" t="s">
        <v>22</v>
      </c>
      <c r="E68" s="6" t="s">
        <v>23</v>
      </c>
      <c r="F68" s="6" t="s">
        <v>24</v>
      </c>
      <c r="G68" s="6" t="s">
        <v>101</v>
      </c>
      <c r="H68" s="6" t="s">
        <v>26</v>
      </c>
      <c r="I68" s="6" t="s">
        <v>42</v>
      </c>
      <c r="J68" s="6" t="s">
        <v>22</v>
      </c>
      <c r="K68" s="6" t="s">
        <v>48</v>
      </c>
      <c r="L68" s="6" t="s">
        <v>54</v>
      </c>
      <c r="M68" s="6" t="s">
        <v>32</v>
      </c>
      <c r="N68" s="6" t="s">
        <v>28</v>
      </c>
      <c r="O68" s="6" t="s">
        <v>30</v>
      </c>
      <c r="P68" s="6" t="s">
        <v>52</v>
      </c>
      <c r="Q68" s="6" t="s">
        <v>31</v>
      </c>
      <c r="R68" s="6" t="s">
        <v>22</v>
      </c>
      <c r="S68" s="6" t="s">
        <v>128</v>
      </c>
      <c r="T68" s="6" t="s">
        <v>32</v>
      </c>
      <c r="U68" s="6" t="s">
        <v>28</v>
      </c>
      <c r="V68" s="6" t="s">
        <v>82</v>
      </c>
      <c r="W68" t="s">
        <v>352</v>
      </c>
    </row>
    <row r="69" spans="1:23" x14ac:dyDescent="0.3">
      <c r="A69" s="6" t="s">
        <v>210</v>
      </c>
      <c r="B69" s="1">
        <v>45684</v>
      </c>
      <c r="C69" s="6" t="s">
        <v>21</v>
      </c>
      <c r="D69" s="6" t="s">
        <v>117</v>
      </c>
      <c r="E69" s="6" t="s">
        <v>73</v>
      </c>
      <c r="F69" s="6" t="s">
        <v>24</v>
      </c>
      <c r="G69" s="6" t="s">
        <v>111</v>
      </c>
      <c r="H69" s="6" t="s">
        <v>26</v>
      </c>
      <c r="I69" s="6" t="s">
        <v>42</v>
      </c>
      <c r="J69" s="6" t="s">
        <v>117</v>
      </c>
      <c r="K69" s="6" t="s">
        <v>48</v>
      </c>
      <c r="L69" s="6" t="s">
        <v>54</v>
      </c>
      <c r="M69" s="6" t="s">
        <v>29</v>
      </c>
      <c r="N69" s="6" t="s">
        <v>28</v>
      </c>
      <c r="O69" s="6" t="s">
        <v>26</v>
      </c>
      <c r="P69" s="6" t="s">
        <v>66</v>
      </c>
      <c r="Q69" s="6" t="s">
        <v>31</v>
      </c>
      <c r="R69" s="6" t="s">
        <v>117</v>
      </c>
      <c r="S69" s="6" t="s">
        <v>54</v>
      </c>
      <c r="T69" s="6" t="s">
        <v>48</v>
      </c>
      <c r="U69" s="6" t="s">
        <v>28</v>
      </c>
      <c r="V69" s="6" t="s">
        <v>137</v>
      </c>
      <c r="W69" t="s">
        <v>352</v>
      </c>
    </row>
    <row r="70" spans="1:23" x14ac:dyDescent="0.3">
      <c r="A70" s="6" t="s">
        <v>211</v>
      </c>
      <c r="B70" s="1">
        <v>45684</v>
      </c>
      <c r="C70" s="6" t="s">
        <v>21</v>
      </c>
      <c r="D70" s="6" t="s">
        <v>117</v>
      </c>
      <c r="E70" s="6" t="s">
        <v>73</v>
      </c>
      <c r="F70" s="6" t="s">
        <v>24</v>
      </c>
      <c r="G70" s="6" t="s">
        <v>111</v>
      </c>
      <c r="H70" s="6" t="s">
        <v>26</v>
      </c>
      <c r="I70" s="6" t="s">
        <v>42</v>
      </c>
      <c r="J70" s="6" t="s">
        <v>117</v>
      </c>
      <c r="K70" s="6" t="s">
        <v>48</v>
      </c>
      <c r="L70" s="6" t="s">
        <v>54</v>
      </c>
      <c r="M70" s="6" t="s">
        <v>29</v>
      </c>
      <c r="N70" s="6" t="s">
        <v>28</v>
      </c>
      <c r="O70" s="6" t="s">
        <v>30</v>
      </c>
      <c r="P70" s="6" t="s">
        <v>48</v>
      </c>
      <c r="Q70" s="6" t="s">
        <v>48</v>
      </c>
      <c r="R70" s="6" t="s">
        <v>117</v>
      </c>
      <c r="S70" s="6" t="s">
        <v>54</v>
      </c>
      <c r="T70" s="6" t="s">
        <v>48</v>
      </c>
      <c r="U70" s="6" t="s">
        <v>28</v>
      </c>
      <c r="V70" s="6" t="s">
        <v>137</v>
      </c>
      <c r="W70" t="s">
        <v>352</v>
      </c>
    </row>
    <row r="71" spans="1:23" x14ac:dyDescent="0.3">
      <c r="A71" s="6" t="s">
        <v>212</v>
      </c>
      <c r="B71" s="1">
        <v>45685</v>
      </c>
      <c r="C71" s="6" t="s">
        <v>57</v>
      </c>
      <c r="D71" s="6" t="s">
        <v>50</v>
      </c>
      <c r="E71" s="6" t="s">
        <v>41</v>
      </c>
      <c r="F71" s="6" t="s">
        <v>24</v>
      </c>
      <c r="G71" s="6" t="s">
        <v>145</v>
      </c>
      <c r="H71" s="6" t="s">
        <v>26</v>
      </c>
      <c r="I71" s="6" t="s">
        <v>37</v>
      </c>
      <c r="J71" s="6" t="s">
        <v>50</v>
      </c>
      <c r="K71" s="6" t="s">
        <v>48</v>
      </c>
      <c r="L71" s="6" t="s">
        <v>54</v>
      </c>
      <c r="M71" s="6" t="s">
        <v>29</v>
      </c>
      <c r="N71" s="6" t="s">
        <v>28</v>
      </c>
      <c r="O71" s="6" t="s">
        <v>48</v>
      </c>
      <c r="P71" s="6" t="s">
        <v>48</v>
      </c>
      <c r="Q71" s="6" t="s">
        <v>48</v>
      </c>
      <c r="R71" s="6" t="s">
        <v>50</v>
      </c>
      <c r="S71" s="6" t="s">
        <v>54</v>
      </c>
      <c r="T71" s="6" t="s">
        <v>48</v>
      </c>
      <c r="U71" s="6" t="s">
        <v>59</v>
      </c>
      <c r="V71" s="6" t="s">
        <v>82</v>
      </c>
      <c r="W71" t="s">
        <v>352</v>
      </c>
    </row>
    <row r="72" spans="1:23" x14ac:dyDescent="0.3">
      <c r="A72" s="6" t="s">
        <v>213</v>
      </c>
      <c r="B72" s="1">
        <v>45685</v>
      </c>
      <c r="C72" s="6" t="s">
        <v>57</v>
      </c>
      <c r="D72" s="6" t="s">
        <v>50</v>
      </c>
      <c r="E72" s="6" t="s">
        <v>41</v>
      </c>
      <c r="F72" s="6" t="s">
        <v>24</v>
      </c>
      <c r="G72" s="6" t="s">
        <v>145</v>
      </c>
      <c r="H72" s="6" t="s">
        <v>26</v>
      </c>
      <c r="I72" s="6" t="s">
        <v>37</v>
      </c>
      <c r="J72" s="6" t="s">
        <v>50</v>
      </c>
      <c r="K72" s="6" t="s">
        <v>48</v>
      </c>
      <c r="L72" s="6" t="s">
        <v>54</v>
      </c>
      <c r="M72" s="6" t="s">
        <v>29</v>
      </c>
      <c r="N72" s="6" t="s">
        <v>28</v>
      </c>
      <c r="O72" s="6" t="s">
        <v>48</v>
      </c>
      <c r="P72" s="6" t="s">
        <v>48</v>
      </c>
      <c r="Q72" s="6" t="s">
        <v>48</v>
      </c>
      <c r="R72" s="6" t="s">
        <v>50</v>
      </c>
      <c r="S72" s="6" t="s">
        <v>54</v>
      </c>
      <c r="T72" s="6" t="s">
        <v>48</v>
      </c>
      <c r="U72" s="6" t="s">
        <v>59</v>
      </c>
      <c r="V72" s="6" t="s">
        <v>82</v>
      </c>
      <c r="W72" t="s">
        <v>352</v>
      </c>
    </row>
    <row r="73" spans="1:23" x14ac:dyDescent="0.3">
      <c r="A73" s="6" t="s">
        <v>214</v>
      </c>
      <c r="B73" s="1">
        <v>45685</v>
      </c>
      <c r="C73" s="6" t="s">
        <v>57</v>
      </c>
      <c r="D73" s="6" t="s">
        <v>50</v>
      </c>
      <c r="E73" s="6" t="s">
        <v>41</v>
      </c>
      <c r="F73" s="6" t="s">
        <v>24</v>
      </c>
      <c r="G73" s="6" t="s">
        <v>145</v>
      </c>
      <c r="H73" s="6" t="s">
        <v>26</v>
      </c>
      <c r="I73" s="6" t="s">
        <v>37</v>
      </c>
      <c r="J73" s="6" t="s">
        <v>50</v>
      </c>
      <c r="K73" s="6" t="s">
        <v>48</v>
      </c>
      <c r="L73" s="6" t="s">
        <v>54</v>
      </c>
      <c r="M73" s="6" t="s">
        <v>29</v>
      </c>
      <c r="N73" s="6" t="s">
        <v>28</v>
      </c>
      <c r="O73" s="6" t="s">
        <v>30</v>
      </c>
      <c r="P73" s="6" t="s">
        <v>38</v>
      </c>
      <c r="Q73" s="6" t="s">
        <v>48</v>
      </c>
      <c r="R73" s="6" t="s">
        <v>50</v>
      </c>
      <c r="S73" s="6" t="s">
        <v>54</v>
      </c>
      <c r="T73" s="6" t="s">
        <v>32</v>
      </c>
      <c r="U73" s="6" t="s">
        <v>28</v>
      </c>
      <c r="V73" s="6" t="s">
        <v>82</v>
      </c>
      <c r="W73" t="s">
        <v>352</v>
      </c>
    </row>
    <row r="74" spans="1:23" x14ac:dyDescent="0.3">
      <c r="A74" s="6" t="s">
        <v>215</v>
      </c>
      <c r="B74" s="1">
        <v>45686</v>
      </c>
      <c r="C74" s="6" t="s">
        <v>33</v>
      </c>
      <c r="D74" s="6" t="s">
        <v>43</v>
      </c>
      <c r="E74" s="6" t="s">
        <v>35</v>
      </c>
      <c r="F74" s="6" t="s">
        <v>24</v>
      </c>
      <c r="G74" s="6" t="s">
        <v>25</v>
      </c>
      <c r="H74" s="6" t="s">
        <v>26</v>
      </c>
      <c r="I74" s="6" t="s">
        <v>58</v>
      </c>
      <c r="J74" s="6" t="s">
        <v>43</v>
      </c>
      <c r="K74" s="6" t="s">
        <v>76</v>
      </c>
      <c r="L74" s="6" t="s">
        <v>152</v>
      </c>
      <c r="M74" s="6" t="s">
        <v>32</v>
      </c>
      <c r="N74" s="6" t="s">
        <v>28</v>
      </c>
      <c r="O74" s="6" t="s">
        <v>30</v>
      </c>
      <c r="P74" s="6" t="s">
        <v>66</v>
      </c>
      <c r="Q74" s="6" t="s">
        <v>31</v>
      </c>
      <c r="R74" s="6" t="s">
        <v>43</v>
      </c>
      <c r="S74" s="6" t="s">
        <v>54</v>
      </c>
      <c r="T74" s="6" t="s">
        <v>32</v>
      </c>
      <c r="U74" s="6" t="s">
        <v>28</v>
      </c>
      <c r="V74" s="6" t="s">
        <v>82</v>
      </c>
      <c r="W74" t="s">
        <v>352</v>
      </c>
    </row>
    <row r="75" spans="1:23" x14ac:dyDescent="0.3">
      <c r="A75" s="6" t="s">
        <v>216</v>
      </c>
      <c r="B75" s="1">
        <v>45686</v>
      </c>
      <c r="C75" s="6" t="s">
        <v>343</v>
      </c>
      <c r="D75" s="6" t="s">
        <v>95</v>
      </c>
      <c r="E75" s="6" t="s">
        <v>23</v>
      </c>
      <c r="F75" s="6" t="s">
        <v>24</v>
      </c>
      <c r="G75" s="6" t="s">
        <v>61</v>
      </c>
      <c r="H75" s="6" t="s">
        <v>48</v>
      </c>
      <c r="I75" s="6" t="s">
        <v>100</v>
      </c>
      <c r="J75" s="6" t="s">
        <v>95</v>
      </c>
      <c r="K75" s="6" t="s">
        <v>48</v>
      </c>
      <c r="L75" s="6" t="s">
        <v>54</v>
      </c>
      <c r="M75" s="6" t="s">
        <v>48</v>
      </c>
      <c r="N75" s="6" t="s">
        <v>28</v>
      </c>
      <c r="O75" s="6" t="s">
        <v>48</v>
      </c>
      <c r="P75" s="6" t="s">
        <v>48</v>
      </c>
      <c r="Q75" s="6" t="s">
        <v>48</v>
      </c>
      <c r="R75" s="6" t="s">
        <v>95</v>
      </c>
      <c r="S75" s="6" t="s">
        <v>54</v>
      </c>
      <c r="T75" s="6" t="s">
        <v>48</v>
      </c>
      <c r="U75" s="6" t="s">
        <v>94</v>
      </c>
      <c r="V75" s="6" t="s">
        <v>137</v>
      </c>
      <c r="W75" t="s">
        <v>352</v>
      </c>
    </row>
    <row r="76" spans="1:23" x14ac:dyDescent="0.3">
      <c r="A76" s="6" t="s">
        <v>217</v>
      </c>
      <c r="B76" s="1">
        <v>45687</v>
      </c>
      <c r="C76" s="6" t="s">
        <v>343</v>
      </c>
      <c r="D76" s="6" t="s">
        <v>43</v>
      </c>
      <c r="E76" s="6" t="s">
        <v>68</v>
      </c>
      <c r="F76" s="6" t="s">
        <v>24</v>
      </c>
      <c r="G76" s="6" t="s">
        <v>61</v>
      </c>
      <c r="H76" s="6" t="s">
        <v>26</v>
      </c>
      <c r="I76" s="6" t="s">
        <v>45</v>
      </c>
      <c r="J76" s="6" t="s">
        <v>43</v>
      </c>
      <c r="K76" s="6" t="s">
        <v>76</v>
      </c>
      <c r="L76" s="6" t="s">
        <v>54</v>
      </c>
      <c r="M76" s="6" t="s">
        <v>32</v>
      </c>
      <c r="N76" s="6" t="s">
        <v>28</v>
      </c>
      <c r="O76" s="6" t="s">
        <v>48</v>
      </c>
      <c r="P76" s="6" t="s">
        <v>48</v>
      </c>
      <c r="Q76" s="6" t="s">
        <v>48</v>
      </c>
      <c r="R76" s="6" t="s">
        <v>43</v>
      </c>
      <c r="S76" s="6" t="s">
        <v>54</v>
      </c>
      <c r="T76" s="6" t="s">
        <v>48</v>
      </c>
      <c r="U76" s="6" t="s">
        <v>59</v>
      </c>
      <c r="V76" s="6" t="s">
        <v>82</v>
      </c>
      <c r="W76" t="s">
        <v>352</v>
      </c>
    </row>
    <row r="77" spans="1:23" x14ac:dyDescent="0.3">
      <c r="A77" s="6" t="s">
        <v>217</v>
      </c>
      <c r="B77" s="1">
        <v>45687</v>
      </c>
      <c r="C77" s="6" t="s">
        <v>343</v>
      </c>
      <c r="D77" s="6" t="s">
        <v>43</v>
      </c>
      <c r="E77" s="6" t="s">
        <v>68</v>
      </c>
      <c r="F77" s="6" t="s">
        <v>24</v>
      </c>
      <c r="G77" s="6" t="s">
        <v>61</v>
      </c>
      <c r="H77" s="6" t="s">
        <v>26</v>
      </c>
      <c r="I77" s="6" t="s">
        <v>45</v>
      </c>
      <c r="J77" s="6" t="s">
        <v>43</v>
      </c>
      <c r="K77" s="6" t="s">
        <v>76</v>
      </c>
      <c r="L77" s="6" t="s">
        <v>54</v>
      </c>
      <c r="M77" s="6" t="s">
        <v>32</v>
      </c>
      <c r="N77" s="6" t="s">
        <v>28</v>
      </c>
      <c r="O77" s="6" t="s">
        <v>48</v>
      </c>
      <c r="P77" s="6" t="s">
        <v>48</v>
      </c>
      <c r="Q77" s="6" t="s">
        <v>48</v>
      </c>
      <c r="R77" s="6" t="s">
        <v>43</v>
      </c>
      <c r="S77" s="6" t="s">
        <v>54</v>
      </c>
      <c r="T77" s="6" t="s">
        <v>48</v>
      </c>
      <c r="U77" s="6" t="s">
        <v>59</v>
      </c>
      <c r="V77" s="6" t="s">
        <v>146</v>
      </c>
      <c r="W77" t="s">
        <v>352</v>
      </c>
    </row>
    <row r="78" spans="1:23" x14ac:dyDescent="0.3">
      <c r="A78" s="6" t="s">
        <v>218</v>
      </c>
      <c r="B78" s="1">
        <v>45687</v>
      </c>
      <c r="C78" s="6" t="s">
        <v>343</v>
      </c>
      <c r="D78" s="6" t="s">
        <v>81</v>
      </c>
      <c r="E78" s="6" t="s">
        <v>44</v>
      </c>
      <c r="F78" s="6" t="s">
        <v>24</v>
      </c>
      <c r="G78" s="6" t="s">
        <v>61</v>
      </c>
      <c r="H78" s="6" t="s">
        <v>26</v>
      </c>
      <c r="I78" s="6" t="s">
        <v>52</v>
      </c>
      <c r="J78" s="6" t="s">
        <v>81</v>
      </c>
      <c r="K78" s="6" t="s">
        <v>48</v>
      </c>
      <c r="L78" s="6" t="s">
        <v>54</v>
      </c>
      <c r="M78" s="6" t="s">
        <v>29</v>
      </c>
      <c r="N78" s="6" t="s">
        <v>28</v>
      </c>
      <c r="O78" s="6" t="s">
        <v>48</v>
      </c>
      <c r="P78" s="6" t="s">
        <v>48</v>
      </c>
      <c r="Q78" s="6" t="s">
        <v>48</v>
      </c>
      <c r="R78" s="6" t="s">
        <v>81</v>
      </c>
      <c r="S78" s="6" t="s">
        <v>54</v>
      </c>
      <c r="T78" s="6" t="s">
        <v>48</v>
      </c>
      <c r="U78" s="6" t="s">
        <v>59</v>
      </c>
      <c r="V78" s="6" t="s">
        <v>82</v>
      </c>
      <c r="W78" t="s">
        <v>352</v>
      </c>
    </row>
    <row r="79" spans="1:23" x14ac:dyDescent="0.3">
      <c r="A79" s="6" t="s">
        <v>219</v>
      </c>
      <c r="B79" s="1">
        <v>45688</v>
      </c>
      <c r="C79" s="6" t="s">
        <v>33</v>
      </c>
      <c r="D79" s="6" t="s">
        <v>43</v>
      </c>
      <c r="E79" s="6" t="s">
        <v>68</v>
      </c>
      <c r="F79" s="6" t="s">
        <v>24</v>
      </c>
      <c r="G79" s="6" t="s">
        <v>101</v>
      </c>
      <c r="H79" s="6" t="s">
        <v>26</v>
      </c>
      <c r="I79" s="6" t="s">
        <v>100</v>
      </c>
      <c r="J79" s="6" t="s">
        <v>43</v>
      </c>
      <c r="K79" s="6" t="s">
        <v>76</v>
      </c>
      <c r="L79" s="6" t="s">
        <v>54</v>
      </c>
      <c r="M79" s="6" t="s">
        <v>29</v>
      </c>
      <c r="N79" s="6" t="s">
        <v>28</v>
      </c>
      <c r="O79" s="6" t="s">
        <v>30</v>
      </c>
      <c r="P79" s="6" t="s">
        <v>58</v>
      </c>
      <c r="Q79" s="6" t="s">
        <v>31</v>
      </c>
      <c r="R79" s="6" t="s">
        <v>43</v>
      </c>
      <c r="S79" s="6" t="s">
        <v>54</v>
      </c>
      <c r="T79" s="6" t="s">
        <v>32</v>
      </c>
      <c r="U79" s="6" t="s">
        <v>28</v>
      </c>
      <c r="V79" s="6" t="s">
        <v>82</v>
      </c>
      <c r="W79" t="s">
        <v>352</v>
      </c>
    </row>
    <row r="80" spans="1:23" x14ac:dyDescent="0.3">
      <c r="A80" s="6" t="s">
        <v>220</v>
      </c>
      <c r="B80" s="1">
        <v>45689</v>
      </c>
      <c r="C80" s="6" t="s">
        <v>33</v>
      </c>
      <c r="D80" s="6" t="s">
        <v>22</v>
      </c>
      <c r="E80" s="6" t="s">
        <v>68</v>
      </c>
      <c r="F80" s="6" t="s">
        <v>24</v>
      </c>
      <c r="G80" s="6" t="s">
        <v>61</v>
      </c>
      <c r="H80" s="6" t="s">
        <v>26</v>
      </c>
      <c r="I80" s="6" t="s">
        <v>42</v>
      </c>
      <c r="J80" s="6" t="s">
        <v>22</v>
      </c>
      <c r="K80" s="6" t="s">
        <v>48</v>
      </c>
      <c r="L80" s="6" t="s">
        <v>54</v>
      </c>
      <c r="M80" s="6" t="s">
        <v>32</v>
      </c>
      <c r="N80" s="6" t="s">
        <v>28</v>
      </c>
      <c r="O80" s="6" t="s">
        <v>30</v>
      </c>
      <c r="P80" s="6" t="s">
        <v>45</v>
      </c>
      <c r="Q80" s="6" t="s">
        <v>31</v>
      </c>
      <c r="R80" s="6" t="s">
        <v>22</v>
      </c>
      <c r="S80" s="6" t="s">
        <v>54</v>
      </c>
      <c r="T80" s="6" t="s">
        <v>32</v>
      </c>
      <c r="U80" s="6" t="s">
        <v>28</v>
      </c>
      <c r="V80" s="6" t="s">
        <v>82</v>
      </c>
      <c r="W80" t="s">
        <v>353</v>
      </c>
    </row>
    <row r="81" spans="1:23" x14ac:dyDescent="0.3">
      <c r="A81" s="6" t="s">
        <v>221</v>
      </c>
      <c r="B81" s="1">
        <v>45691</v>
      </c>
      <c r="C81" s="6" t="s">
        <v>33</v>
      </c>
      <c r="D81" s="6" t="s">
        <v>83</v>
      </c>
      <c r="E81" s="6" t="s">
        <v>23</v>
      </c>
      <c r="F81" s="6" t="s">
        <v>24</v>
      </c>
      <c r="G81" s="6" t="s">
        <v>61</v>
      </c>
      <c r="H81" s="6" t="s">
        <v>26</v>
      </c>
      <c r="I81" s="6" t="s">
        <v>37</v>
      </c>
      <c r="J81" s="6" t="s">
        <v>83</v>
      </c>
      <c r="K81" s="6" t="s">
        <v>48</v>
      </c>
      <c r="L81" s="6" t="s">
        <v>152</v>
      </c>
      <c r="M81" s="6" t="s">
        <v>29</v>
      </c>
      <c r="N81" s="6" t="s">
        <v>28</v>
      </c>
      <c r="O81" s="6" t="s">
        <v>30</v>
      </c>
      <c r="P81" s="6" t="s">
        <v>42</v>
      </c>
      <c r="Q81" s="6" t="s">
        <v>31</v>
      </c>
      <c r="R81" s="6" t="s">
        <v>83</v>
      </c>
      <c r="S81" s="6" t="s">
        <v>128</v>
      </c>
      <c r="T81" s="6" t="s">
        <v>29</v>
      </c>
      <c r="U81" s="6" t="s">
        <v>28</v>
      </c>
      <c r="V81" s="6" t="s">
        <v>146</v>
      </c>
      <c r="W81" t="s">
        <v>353</v>
      </c>
    </row>
    <row r="82" spans="1:23" x14ac:dyDescent="0.3">
      <c r="A82" s="6" t="s">
        <v>222</v>
      </c>
      <c r="B82" s="1">
        <v>45691</v>
      </c>
      <c r="C82" s="6" t="s">
        <v>33</v>
      </c>
      <c r="D82" s="6" t="s">
        <v>48</v>
      </c>
      <c r="E82" s="6" t="s">
        <v>46</v>
      </c>
      <c r="F82" s="6" t="s">
        <v>24</v>
      </c>
      <c r="G82" s="6" t="s">
        <v>68</v>
      </c>
      <c r="H82" s="6" t="s">
        <v>26</v>
      </c>
      <c r="I82" s="6" t="s">
        <v>52</v>
      </c>
      <c r="J82" s="6" t="s">
        <v>88</v>
      </c>
      <c r="K82" s="6" t="s">
        <v>48</v>
      </c>
      <c r="L82" s="6" t="s">
        <v>54</v>
      </c>
      <c r="M82" s="6" t="s">
        <v>32</v>
      </c>
      <c r="N82" s="6" t="s">
        <v>28</v>
      </c>
      <c r="O82" s="6" t="s">
        <v>30</v>
      </c>
      <c r="P82" s="6" t="s">
        <v>48</v>
      </c>
      <c r="Q82" s="6" t="s">
        <v>48</v>
      </c>
      <c r="R82" s="6" t="s">
        <v>70</v>
      </c>
      <c r="S82" s="6" t="s">
        <v>54</v>
      </c>
      <c r="T82" s="6" t="s">
        <v>48</v>
      </c>
      <c r="U82" s="6" t="s">
        <v>28</v>
      </c>
      <c r="V82" s="6" t="s">
        <v>82</v>
      </c>
      <c r="W82" t="s">
        <v>353</v>
      </c>
    </row>
    <row r="83" spans="1:23" x14ac:dyDescent="0.3">
      <c r="A83" s="6" t="s">
        <v>222</v>
      </c>
      <c r="B83" s="1">
        <v>45691</v>
      </c>
      <c r="C83" s="6" t="s">
        <v>33</v>
      </c>
      <c r="D83" s="6" t="s">
        <v>48</v>
      </c>
      <c r="E83" s="6" t="s">
        <v>46</v>
      </c>
      <c r="F83" s="6" t="s">
        <v>24</v>
      </c>
      <c r="G83" s="6" t="s">
        <v>68</v>
      </c>
      <c r="H83" s="6" t="s">
        <v>26</v>
      </c>
      <c r="I83" s="6" t="s">
        <v>52</v>
      </c>
      <c r="J83" s="6" t="s">
        <v>88</v>
      </c>
      <c r="K83" s="6" t="s">
        <v>48</v>
      </c>
      <c r="L83" s="6" t="s">
        <v>54</v>
      </c>
      <c r="M83" s="6" t="s">
        <v>32</v>
      </c>
      <c r="N83" s="6" t="s">
        <v>28</v>
      </c>
      <c r="O83" s="6" t="s">
        <v>30</v>
      </c>
      <c r="P83" s="6" t="s">
        <v>48</v>
      </c>
      <c r="Q83" s="6" t="s">
        <v>48</v>
      </c>
      <c r="R83" s="6" t="s">
        <v>70</v>
      </c>
      <c r="S83" s="6" t="s">
        <v>54</v>
      </c>
      <c r="T83" s="6" t="s">
        <v>48</v>
      </c>
      <c r="U83" s="6" t="s">
        <v>28</v>
      </c>
      <c r="V83" s="6" t="s">
        <v>146</v>
      </c>
      <c r="W83" t="s">
        <v>353</v>
      </c>
    </row>
    <row r="84" spans="1:23" x14ac:dyDescent="0.3">
      <c r="A84" s="6" t="s">
        <v>223</v>
      </c>
      <c r="B84" s="1">
        <v>45692</v>
      </c>
      <c r="C84" s="6" t="s">
        <v>343</v>
      </c>
      <c r="D84" s="6" t="s">
        <v>93</v>
      </c>
      <c r="E84" s="6" t="s">
        <v>68</v>
      </c>
      <c r="F84" s="6" t="s">
        <v>24</v>
      </c>
      <c r="G84" s="6" t="s">
        <v>61</v>
      </c>
      <c r="H84" s="6" t="s">
        <v>48</v>
      </c>
      <c r="I84" s="6" t="s">
        <v>27</v>
      </c>
      <c r="J84" s="6" t="s">
        <v>93</v>
      </c>
      <c r="K84" s="6" t="s">
        <v>48</v>
      </c>
      <c r="L84" s="6" t="s">
        <v>54</v>
      </c>
      <c r="M84" s="6" t="s">
        <v>48</v>
      </c>
      <c r="N84" s="6" t="s">
        <v>28</v>
      </c>
      <c r="O84" s="6" t="s">
        <v>48</v>
      </c>
      <c r="P84" s="6" t="s">
        <v>48</v>
      </c>
      <c r="Q84" s="6" t="s">
        <v>48</v>
      </c>
      <c r="R84" s="6" t="s">
        <v>93</v>
      </c>
      <c r="S84" s="6" t="s">
        <v>54</v>
      </c>
      <c r="T84" s="6" t="s">
        <v>48</v>
      </c>
      <c r="U84" s="6" t="s">
        <v>77</v>
      </c>
      <c r="V84" s="6" t="s">
        <v>82</v>
      </c>
      <c r="W84" t="s">
        <v>353</v>
      </c>
    </row>
    <row r="85" spans="1:23" x14ac:dyDescent="0.3">
      <c r="A85" s="6" t="s">
        <v>224</v>
      </c>
      <c r="B85" s="1">
        <v>45693</v>
      </c>
      <c r="C85" s="6" t="s">
        <v>21</v>
      </c>
      <c r="D85" s="6" t="s">
        <v>95</v>
      </c>
      <c r="E85" s="6" t="s">
        <v>35</v>
      </c>
      <c r="F85" s="6" t="s">
        <v>24</v>
      </c>
      <c r="G85" s="6" t="s">
        <v>61</v>
      </c>
      <c r="H85" s="6" t="s">
        <v>48</v>
      </c>
      <c r="I85" s="6" t="s">
        <v>58</v>
      </c>
      <c r="J85" s="6" t="s">
        <v>95</v>
      </c>
      <c r="K85" s="6" t="s">
        <v>48</v>
      </c>
      <c r="L85" s="6" t="s">
        <v>54</v>
      </c>
      <c r="M85" s="6" t="s">
        <v>48</v>
      </c>
      <c r="N85" s="6" t="s">
        <v>28</v>
      </c>
      <c r="O85" s="6" t="s">
        <v>26</v>
      </c>
      <c r="P85" s="6" t="s">
        <v>45</v>
      </c>
      <c r="Q85" s="6" t="s">
        <v>31</v>
      </c>
      <c r="R85" s="6" t="s">
        <v>95</v>
      </c>
      <c r="S85" s="6" t="s">
        <v>157</v>
      </c>
      <c r="T85" s="6" t="s">
        <v>32</v>
      </c>
      <c r="U85" s="6" t="s">
        <v>28</v>
      </c>
      <c r="V85" s="6" t="s">
        <v>137</v>
      </c>
      <c r="W85" t="s">
        <v>353</v>
      </c>
    </row>
    <row r="86" spans="1:23" x14ac:dyDescent="0.3">
      <c r="A86" s="6" t="s">
        <v>224</v>
      </c>
      <c r="B86" s="1">
        <v>45693</v>
      </c>
      <c r="C86" s="6" t="s">
        <v>21</v>
      </c>
      <c r="D86" s="6" t="s">
        <v>95</v>
      </c>
      <c r="E86" s="6" t="s">
        <v>35</v>
      </c>
      <c r="F86" s="6" t="s">
        <v>24</v>
      </c>
      <c r="G86" s="6" t="s">
        <v>61</v>
      </c>
      <c r="H86" s="6" t="s">
        <v>48</v>
      </c>
      <c r="I86" s="6" t="s">
        <v>58</v>
      </c>
      <c r="J86" s="6" t="s">
        <v>95</v>
      </c>
      <c r="K86" s="6" t="s">
        <v>48</v>
      </c>
      <c r="L86" s="6" t="s">
        <v>54</v>
      </c>
      <c r="M86" s="6" t="s">
        <v>48</v>
      </c>
      <c r="N86" s="6" t="s">
        <v>28</v>
      </c>
      <c r="O86" s="6" t="s">
        <v>26</v>
      </c>
      <c r="P86" s="6" t="s">
        <v>45</v>
      </c>
      <c r="Q86" s="6" t="s">
        <v>31</v>
      </c>
      <c r="R86" s="6" t="s">
        <v>95</v>
      </c>
      <c r="S86" s="6" t="s">
        <v>157</v>
      </c>
      <c r="T86" s="6" t="s">
        <v>32</v>
      </c>
      <c r="U86" s="6" t="s">
        <v>28</v>
      </c>
      <c r="V86" s="6" t="s">
        <v>146</v>
      </c>
      <c r="W86" t="s">
        <v>353</v>
      </c>
    </row>
    <row r="87" spans="1:23" x14ac:dyDescent="0.3">
      <c r="A87" s="6" t="s">
        <v>224</v>
      </c>
      <c r="B87" s="1">
        <v>45693</v>
      </c>
      <c r="C87" s="6" t="s">
        <v>21</v>
      </c>
      <c r="D87" s="6" t="s">
        <v>95</v>
      </c>
      <c r="E87" s="6" t="s">
        <v>35</v>
      </c>
      <c r="F87" s="6" t="s">
        <v>24</v>
      </c>
      <c r="G87" s="6" t="s">
        <v>61</v>
      </c>
      <c r="H87" s="6" t="s">
        <v>48</v>
      </c>
      <c r="I87" s="6" t="s">
        <v>58</v>
      </c>
      <c r="J87" s="6" t="s">
        <v>95</v>
      </c>
      <c r="K87" s="6" t="s">
        <v>48</v>
      </c>
      <c r="L87" s="6" t="s">
        <v>54</v>
      </c>
      <c r="M87" s="6" t="s">
        <v>48</v>
      </c>
      <c r="N87" s="6" t="s">
        <v>28</v>
      </c>
      <c r="O87" s="6" t="s">
        <v>26</v>
      </c>
      <c r="P87" s="6" t="s">
        <v>45</v>
      </c>
      <c r="Q87" s="6" t="s">
        <v>31</v>
      </c>
      <c r="R87" s="6" t="s">
        <v>95</v>
      </c>
      <c r="S87" s="6" t="s">
        <v>157</v>
      </c>
      <c r="T87" s="6" t="s">
        <v>32</v>
      </c>
      <c r="U87" s="6" t="s">
        <v>28</v>
      </c>
      <c r="V87" s="6" t="s">
        <v>82</v>
      </c>
      <c r="W87" t="s">
        <v>353</v>
      </c>
    </row>
    <row r="88" spans="1:23" x14ac:dyDescent="0.3">
      <c r="A88" s="6" t="s">
        <v>226</v>
      </c>
      <c r="B88" s="1">
        <v>45694</v>
      </c>
      <c r="C88" s="6" t="s">
        <v>33</v>
      </c>
      <c r="D88" s="6" t="s">
        <v>70</v>
      </c>
      <c r="E88" s="6" t="s">
        <v>23</v>
      </c>
      <c r="F88" s="6" t="s">
        <v>24</v>
      </c>
      <c r="G88" s="6" t="s">
        <v>61</v>
      </c>
      <c r="H88" s="6" t="s">
        <v>26</v>
      </c>
      <c r="I88" s="6" t="s">
        <v>100</v>
      </c>
      <c r="J88" s="6" t="s">
        <v>70</v>
      </c>
      <c r="K88" s="6" t="s">
        <v>48</v>
      </c>
      <c r="L88" s="6" t="s">
        <v>54</v>
      </c>
      <c r="M88" s="6" t="s">
        <v>48</v>
      </c>
      <c r="N88" s="6" t="s">
        <v>28</v>
      </c>
      <c r="O88" s="6" t="s">
        <v>48</v>
      </c>
      <c r="P88" s="6" t="s">
        <v>48</v>
      </c>
      <c r="Q88" s="6" t="s">
        <v>48</v>
      </c>
      <c r="R88" s="6" t="s">
        <v>70</v>
      </c>
      <c r="S88" s="6" t="s">
        <v>54</v>
      </c>
      <c r="T88" s="6" t="s">
        <v>48</v>
      </c>
      <c r="U88" s="6" t="s">
        <v>28</v>
      </c>
      <c r="V88" s="6" t="s">
        <v>146</v>
      </c>
      <c r="W88" t="s">
        <v>353</v>
      </c>
    </row>
    <row r="89" spans="1:23" x14ac:dyDescent="0.3">
      <c r="A89" s="6" t="s">
        <v>226</v>
      </c>
      <c r="B89" s="1">
        <v>45694</v>
      </c>
      <c r="C89" s="6" t="s">
        <v>33</v>
      </c>
      <c r="D89" s="6" t="s">
        <v>70</v>
      </c>
      <c r="E89" s="6" t="s">
        <v>23</v>
      </c>
      <c r="F89" s="6" t="s">
        <v>24</v>
      </c>
      <c r="G89" s="6" t="s">
        <v>61</v>
      </c>
      <c r="H89" s="6" t="s">
        <v>26</v>
      </c>
      <c r="I89" s="6" t="s">
        <v>100</v>
      </c>
      <c r="J89" s="6" t="s">
        <v>70</v>
      </c>
      <c r="K89" s="6" t="s">
        <v>48</v>
      </c>
      <c r="L89" s="6" t="s">
        <v>54</v>
      </c>
      <c r="M89" s="6" t="s">
        <v>48</v>
      </c>
      <c r="N89" s="6" t="s">
        <v>28</v>
      </c>
      <c r="O89" s="6" t="s">
        <v>48</v>
      </c>
      <c r="P89" s="6" t="s">
        <v>48</v>
      </c>
      <c r="Q89" s="6" t="s">
        <v>48</v>
      </c>
      <c r="R89" s="6" t="s">
        <v>70</v>
      </c>
      <c r="S89" s="6" t="s">
        <v>54</v>
      </c>
      <c r="T89" s="6" t="s">
        <v>48</v>
      </c>
      <c r="U89" s="6" t="s">
        <v>28</v>
      </c>
      <c r="V89" s="6" t="s">
        <v>82</v>
      </c>
      <c r="W89" t="s">
        <v>353</v>
      </c>
    </row>
    <row r="90" spans="1:23" x14ac:dyDescent="0.3">
      <c r="A90" s="6" t="s">
        <v>225</v>
      </c>
      <c r="B90" s="1">
        <v>45694</v>
      </c>
      <c r="C90" s="6" t="s">
        <v>33</v>
      </c>
      <c r="D90" s="6" t="s">
        <v>70</v>
      </c>
      <c r="E90" s="6" t="s">
        <v>23</v>
      </c>
      <c r="F90" s="6" t="s">
        <v>24</v>
      </c>
      <c r="G90" s="6" t="s">
        <v>61</v>
      </c>
      <c r="H90" s="6" t="s">
        <v>26</v>
      </c>
      <c r="I90" s="6" t="s">
        <v>100</v>
      </c>
      <c r="J90" s="6" t="s">
        <v>70</v>
      </c>
      <c r="K90" s="6" t="s">
        <v>48</v>
      </c>
      <c r="L90" s="6" t="s">
        <v>54</v>
      </c>
      <c r="M90" s="6" t="s">
        <v>48</v>
      </c>
      <c r="N90" s="6" t="s">
        <v>28</v>
      </c>
      <c r="O90" s="6" t="s">
        <v>26</v>
      </c>
      <c r="P90" s="6" t="s">
        <v>48</v>
      </c>
      <c r="Q90" s="6" t="s">
        <v>48</v>
      </c>
      <c r="R90" s="6" t="s">
        <v>70</v>
      </c>
      <c r="S90" s="6" t="s">
        <v>54</v>
      </c>
      <c r="T90" s="6" t="s">
        <v>48</v>
      </c>
      <c r="U90" s="6" t="s">
        <v>28</v>
      </c>
      <c r="V90" s="6" t="s">
        <v>146</v>
      </c>
      <c r="W90" t="s">
        <v>353</v>
      </c>
    </row>
    <row r="91" spans="1:23" x14ac:dyDescent="0.3">
      <c r="A91" s="6" t="s">
        <v>226</v>
      </c>
      <c r="B91" s="1">
        <v>45694</v>
      </c>
      <c r="C91" s="6" t="s">
        <v>33</v>
      </c>
      <c r="D91" s="6" t="s">
        <v>70</v>
      </c>
      <c r="E91" s="6" t="s">
        <v>23</v>
      </c>
      <c r="F91" s="6" t="s">
        <v>24</v>
      </c>
      <c r="G91" s="6" t="s">
        <v>61</v>
      </c>
      <c r="H91" s="6" t="s">
        <v>26</v>
      </c>
      <c r="I91" s="6" t="s">
        <v>100</v>
      </c>
      <c r="J91" s="6" t="s">
        <v>70</v>
      </c>
      <c r="K91" s="6" t="s">
        <v>48</v>
      </c>
      <c r="L91" s="6" t="s">
        <v>54</v>
      </c>
      <c r="M91" s="6" t="s">
        <v>48</v>
      </c>
      <c r="N91" s="6" t="s">
        <v>28</v>
      </c>
      <c r="O91" s="6" t="s">
        <v>48</v>
      </c>
      <c r="P91" s="6" t="s">
        <v>48</v>
      </c>
      <c r="Q91" s="6" t="s">
        <v>48</v>
      </c>
      <c r="R91" s="6" t="s">
        <v>70</v>
      </c>
      <c r="S91" s="6" t="s">
        <v>54</v>
      </c>
      <c r="T91" s="6" t="s">
        <v>48</v>
      </c>
      <c r="U91" s="6" t="s">
        <v>28</v>
      </c>
      <c r="V91" s="6" t="s">
        <v>137</v>
      </c>
      <c r="W91" t="s">
        <v>353</v>
      </c>
    </row>
    <row r="92" spans="1:23" x14ac:dyDescent="0.3">
      <c r="A92" s="6" t="s">
        <v>225</v>
      </c>
      <c r="B92" s="1">
        <v>45694</v>
      </c>
      <c r="C92" s="6" t="s">
        <v>33</v>
      </c>
      <c r="D92" s="6" t="s">
        <v>70</v>
      </c>
      <c r="E92" s="6" t="s">
        <v>23</v>
      </c>
      <c r="F92" s="6" t="s">
        <v>24</v>
      </c>
      <c r="G92" s="6" t="s">
        <v>61</v>
      </c>
      <c r="H92" s="6" t="s">
        <v>26</v>
      </c>
      <c r="I92" s="6" t="s">
        <v>100</v>
      </c>
      <c r="J92" s="6" t="s">
        <v>70</v>
      </c>
      <c r="K92" s="6" t="s">
        <v>48</v>
      </c>
      <c r="L92" s="6" t="s">
        <v>54</v>
      </c>
      <c r="M92" s="6" t="s">
        <v>48</v>
      </c>
      <c r="N92" s="6" t="s">
        <v>28</v>
      </c>
      <c r="O92" s="6" t="s">
        <v>26</v>
      </c>
      <c r="P92" s="6" t="s">
        <v>48</v>
      </c>
      <c r="Q92" s="6" t="s">
        <v>48</v>
      </c>
      <c r="R92" s="6" t="s">
        <v>70</v>
      </c>
      <c r="S92" s="6" t="s">
        <v>54</v>
      </c>
      <c r="T92" s="6" t="s">
        <v>48</v>
      </c>
      <c r="U92" s="6" t="s">
        <v>28</v>
      </c>
      <c r="V92" s="6" t="s">
        <v>137</v>
      </c>
      <c r="W92" t="s">
        <v>353</v>
      </c>
    </row>
    <row r="93" spans="1:23" x14ac:dyDescent="0.3">
      <c r="A93" s="6" t="s">
        <v>225</v>
      </c>
      <c r="B93" s="1">
        <v>45694</v>
      </c>
      <c r="C93" s="6" t="s">
        <v>33</v>
      </c>
      <c r="D93" s="6" t="s">
        <v>70</v>
      </c>
      <c r="E93" s="6" t="s">
        <v>23</v>
      </c>
      <c r="F93" s="6" t="s">
        <v>24</v>
      </c>
      <c r="G93" s="6" t="s">
        <v>61</v>
      </c>
      <c r="H93" s="6" t="s">
        <v>26</v>
      </c>
      <c r="I93" s="6" t="s">
        <v>100</v>
      </c>
      <c r="J93" s="6" t="s">
        <v>70</v>
      </c>
      <c r="K93" s="6" t="s">
        <v>48</v>
      </c>
      <c r="L93" s="6" t="s">
        <v>54</v>
      </c>
      <c r="M93" s="6" t="s">
        <v>48</v>
      </c>
      <c r="N93" s="6" t="s">
        <v>28</v>
      </c>
      <c r="O93" s="6" t="s">
        <v>26</v>
      </c>
      <c r="P93" s="6" t="s">
        <v>48</v>
      </c>
      <c r="Q93" s="6" t="s">
        <v>48</v>
      </c>
      <c r="R93" s="6" t="s">
        <v>70</v>
      </c>
      <c r="S93" s="6" t="s">
        <v>54</v>
      </c>
      <c r="T93" s="6" t="s">
        <v>48</v>
      </c>
      <c r="U93" s="6" t="s">
        <v>28</v>
      </c>
      <c r="V93" s="6" t="s">
        <v>82</v>
      </c>
      <c r="W93" t="s">
        <v>353</v>
      </c>
    </row>
    <row r="94" spans="1:23" x14ac:dyDescent="0.3">
      <c r="A94" s="6" t="s">
        <v>227</v>
      </c>
      <c r="B94" s="1">
        <v>45695</v>
      </c>
      <c r="C94" s="6" t="s">
        <v>84</v>
      </c>
      <c r="D94" s="6" t="s">
        <v>22</v>
      </c>
      <c r="E94" s="6" t="s">
        <v>23</v>
      </c>
      <c r="F94" s="6" t="s">
        <v>24</v>
      </c>
      <c r="G94" s="6" t="s">
        <v>61</v>
      </c>
      <c r="H94" s="6" t="s">
        <v>26</v>
      </c>
      <c r="I94" s="6" t="s">
        <v>58</v>
      </c>
      <c r="J94" s="6" t="s">
        <v>22</v>
      </c>
      <c r="K94" s="6" t="s">
        <v>48</v>
      </c>
      <c r="L94" s="6" t="s">
        <v>54</v>
      </c>
      <c r="M94" s="6" t="s">
        <v>29</v>
      </c>
      <c r="N94" s="6" t="s">
        <v>28</v>
      </c>
      <c r="O94" s="6" t="s">
        <v>26</v>
      </c>
      <c r="P94" s="6" t="s">
        <v>58</v>
      </c>
      <c r="Q94" s="6" t="s">
        <v>31</v>
      </c>
      <c r="R94" s="6" t="s">
        <v>22</v>
      </c>
      <c r="S94" s="6" t="s">
        <v>54</v>
      </c>
      <c r="T94" s="6" t="s">
        <v>32</v>
      </c>
      <c r="U94" s="6" t="s">
        <v>28</v>
      </c>
      <c r="V94" s="6" t="s">
        <v>82</v>
      </c>
      <c r="W94" t="s">
        <v>353</v>
      </c>
    </row>
    <row r="95" spans="1:23" x14ac:dyDescent="0.3">
      <c r="A95" s="6" t="s">
        <v>229</v>
      </c>
      <c r="B95" s="1">
        <v>45696</v>
      </c>
      <c r="C95" s="6" t="s">
        <v>21</v>
      </c>
      <c r="D95" s="6" t="s">
        <v>83</v>
      </c>
      <c r="E95" s="6" t="s">
        <v>35</v>
      </c>
      <c r="F95" s="6" t="s">
        <v>24</v>
      </c>
      <c r="G95" s="6" t="s">
        <v>25</v>
      </c>
      <c r="H95" s="6" t="s">
        <v>26</v>
      </c>
      <c r="I95" s="6" t="s">
        <v>27</v>
      </c>
      <c r="J95" s="6" t="s">
        <v>83</v>
      </c>
      <c r="K95" s="6" t="s">
        <v>48</v>
      </c>
      <c r="L95" s="6" t="s">
        <v>54</v>
      </c>
      <c r="M95" s="6" t="s">
        <v>55</v>
      </c>
      <c r="N95" s="6" t="s">
        <v>28</v>
      </c>
      <c r="O95" s="6" t="s">
        <v>26</v>
      </c>
      <c r="P95" s="6" t="s">
        <v>66</v>
      </c>
      <c r="Q95" s="6" t="s">
        <v>48</v>
      </c>
      <c r="R95" s="6" t="s">
        <v>83</v>
      </c>
      <c r="S95" s="6" t="s">
        <v>54</v>
      </c>
      <c r="T95" s="6" t="s">
        <v>55</v>
      </c>
      <c r="U95" s="6" t="s">
        <v>28</v>
      </c>
      <c r="V95" s="6" t="s">
        <v>137</v>
      </c>
      <c r="W95" t="s">
        <v>353</v>
      </c>
    </row>
    <row r="96" spans="1:23" x14ac:dyDescent="0.3">
      <c r="A96" s="6" t="s">
        <v>228</v>
      </c>
      <c r="B96" s="1">
        <v>45696</v>
      </c>
      <c r="C96" s="6" t="s">
        <v>21</v>
      </c>
      <c r="D96" s="6" t="s">
        <v>83</v>
      </c>
      <c r="E96" s="6" t="s">
        <v>35</v>
      </c>
      <c r="F96" s="6" t="s">
        <v>24</v>
      </c>
      <c r="G96" s="6" t="s">
        <v>25</v>
      </c>
      <c r="H96" s="6" t="s">
        <v>26</v>
      </c>
      <c r="I96" s="6" t="s">
        <v>27</v>
      </c>
      <c r="J96" s="6" t="s">
        <v>83</v>
      </c>
      <c r="K96" s="6" t="s">
        <v>48</v>
      </c>
      <c r="L96" s="6" t="s">
        <v>54</v>
      </c>
      <c r="M96" s="6" t="s">
        <v>55</v>
      </c>
      <c r="N96" s="6" t="s">
        <v>28</v>
      </c>
      <c r="O96" s="6" t="s">
        <v>30</v>
      </c>
      <c r="P96" s="6" t="s">
        <v>45</v>
      </c>
      <c r="Q96" s="6" t="s">
        <v>48</v>
      </c>
      <c r="R96" s="6" t="s">
        <v>83</v>
      </c>
      <c r="S96" s="6" t="s">
        <v>54</v>
      </c>
      <c r="T96" s="6" t="s">
        <v>29</v>
      </c>
      <c r="U96" s="6" t="s">
        <v>28</v>
      </c>
      <c r="V96" s="6" t="s">
        <v>137</v>
      </c>
      <c r="W96" t="s">
        <v>353</v>
      </c>
    </row>
    <row r="97" spans="1:23" x14ac:dyDescent="0.3">
      <c r="A97" s="6" t="s">
        <v>230</v>
      </c>
      <c r="B97" s="1">
        <v>45696</v>
      </c>
      <c r="C97" s="6" t="s">
        <v>343</v>
      </c>
      <c r="D97" s="6" t="s">
        <v>22</v>
      </c>
      <c r="E97" s="6" t="s">
        <v>44</v>
      </c>
      <c r="F97" s="6" t="s">
        <v>24</v>
      </c>
      <c r="G97" s="6" t="s">
        <v>71</v>
      </c>
      <c r="H97" s="6" t="s">
        <v>48</v>
      </c>
      <c r="I97" s="6" t="s">
        <v>27</v>
      </c>
      <c r="J97" s="6" t="s">
        <v>49</v>
      </c>
      <c r="K97" s="6" t="s">
        <v>48</v>
      </c>
      <c r="L97" s="6" t="s">
        <v>54</v>
      </c>
      <c r="M97" s="6" t="s">
        <v>48</v>
      </c>
      <c r="N97" s="6" t="s">
        <v>28</v>
      </c>
      <c r="O97" s="6" t="s">
        <v>30</v>
      </c>
      <c r="P97" s="6" t="s">
        <v>48</v>
      </c>
      <c r="Q97" s="6" t="s">
        <v>48</v>
      </c>
      <c r="R97" s="6" t="s">
        <v>22</v>
      </c>
      <c r="S97" s="6" t="s">
        <v>54</v>
      </c>
      <c r="T97" s="6" t="s">
        <v>48</v>
      </c>
      <c r="U97" s="6" t="s">
        <v>28</v>
      </c>
      <c r="V97" s="6" t="s">
        <v>146</v>
      </c>
      <c r="W97" t="s">
        <v>353</v>
      </c>
    </row>
    <row r="98" spans="1:23" x14ac:dyDescent="0.3">
      <c r="A98" s="6" t="s">
        <v>230</v>
      </c>
      <c r="B98" s="1">
        <v>45696</v>
      </c>
      <c r="C98" s="6" t="s">
        <v>343</v>
      </c>
      <c r="D98" s="6" t="s">
        <v>22</v>
      </c>
      <c r="E98" s="6" t="s">
        <v>44</v>
      </c>
      <c r="F98" s="6" t="s">
        <v>24</v>
      </c>
      <c r="G98" s="6" t="s">
        <v>71</v>
      </c>
      <c r="H98" s="6" t="s">
        <v>48</v>
      </c>
      <c r="I98" s="6" t="s">
        <v>27</v>
      </c>
      <c r="J98" s="6" t="s">
        <v>49</v>
      </c>
      <c r="K98" s="6" t="s">
        <v>48</v>
      </c>
      <c r="L98" s="6" t="s">
        <v>54</v>
      </c>
      <c r="M98" s="6" t="s">
        <v>48</v>
      </c>
      <c r="N98" s="6" t="s">
        <v>28</v>
      </c>
      <c r="O98" s="6" t="s">
        <v>30</v>
      </c>
      <c r="P98" s="6" t="s">
        <v>48</v>
      </c>
      <c r="Q98" s="6" t="s">
        <v>48</v>
      </c>
      <c r="R98" s="6" t="s">
        <v>22</v>
      </c>
      <c r="S98" s="6" t="s">
        <v>54</v>
      </c>
      <c r="T98" s="6" t="s">
        <v>48</v>
      </c>
      <c r="U98" s="6" t="s">
        <v>28</v>
      </c>
      <c r="V98" s="6" t="s">
        <v>82</v>
      </c>
      <c r="W98" t="s">
        <v>353</v>
      </c>
    </row>
    <row r="99" spans="1:23" x14ac:dyDescent="0.3">
      <c r="A99" s="6" t="s">
        <v>230</v>
      </c>
      <c r="B99" s="1">
        <v>45696</v>
      </c>
      <c r="C99" s="6" t="s">
        <v>343</v>
      </c>
      <c r="D99" s="6" t="s">
        <v>22</v>
      </c>
      <c r="E99" s="6" t="s">
        <v>44</v>
      </c>
      <c r="F99" s="6" t="s">
        <v>24</v>
      </c>
      <c r="G99" s="6" t="s">
        <v>71</v>
      </c>
      <c r="H99" s="6" t="s">
        <v>48</v>
      </c>
      <c r="I99" s="6" t="s">
        <v>27</v>
      </c>
      <c r="J99" s="6" t="s">
        <v>49</v>
      </c>
      <c r="K99" s="6" t="s">
        <v>48</v>
      </c>
      <c r="L99" s="6" t="s">
        <v>54</v>
      </c>
      <c r="M99" s="6" t="s">
        <v>48</v>
      </c>
      <c r="N99" s="6" t="s">
        <v>28</v>
      </c>
      <c r="O99" s="6" t="s">
        <v>30</v>
      </c>
      <c r="P99" s="6" t="s">
        <v>48</v>
      </c>
      <c r="Q99" s="6" t="s">
        <v>48</v>
      </c>
      <c r="R99" s="6" t="s">
        <v>22</v>
      </c>
      <c r="S99" s="6" t="s">
        <v>54</v>
      </c>
      <c r="T99" s="6" t="s">
        <v>48</v>
      </c>
      <c r="U99" s="6" t="s">
        <v>28</v>
      </c>
      <c r="V99" s="6" t="s">
        <v>137</v>
      </c>
      <c r="W99" t="s">
        <v>353</v>
      </c>
    </row>
    <row r="100" spans="1:23" x14ac:dyDescent="0.3">
      <c r="A100" s="6" t="s">
        <v>231</v>
      </c>
      <c r="B100" s="1">
        <v>45697</v>
      </c>
      <c r="C100" s="6" t="s">
        <v>84</v>
      </c>
      <c r="D100" s="6" t="s">
        <v>48</v>
      </c>
      <c r="E100" s="6" t="s">
        <v>73</v>
      </c>
      <c r="F100" s="6" t="s">
        <v>24</v>
      </c>
      <c r="G100" s="6" t="s">
        <v>97</v>
      </c>
      <c r="H100" s="6" t="s">
        <v>48</v>
      </c>
      <c r="I100" s="6" t="s">
        <v>52</v>
      </c>
      <c r="J100" s="6" t="s">
        <v>49</v>
      </c>
      <c r="K100" s="6" t="s">
        <v>48</v>
      </c>
      <c r="L100" s="6" t="s">
        <v>54</v>
      </c>
      <c r="M100" s="6" t="s">
        <v>48</v>
      </c>
      <c r="N100" s="6" t="s">
        <v>28</v>
      </c>
      <c r="O100" s="6" t="s">
        <v>26</v>
      </c>
      <c r="P100" s="6" t="s">
        <v>100</v>
      </c>
      <c r="Q100" s="6" t="s">
        <v>31</v>
      </c>
      <c r="R100" s="6" t="s">
        <v>83</v>
      </c>
      <c r="S100" s="6" t="s">
        <v>54</v>
      </c>
      <c r="T100" s="6" t="s">
        <v>32</v>
      </c>
      <c r="U100" s="6" t="s">
        <v>28</v>
      </c>
      <c r="V100" s="6" t="s">
        <v>82</v>
      </c>
      <c r="W100" t="s">
        <v>353</v>
      </c>
    </row>
    <row r="101" spans="1:23" x14ac:dyDescent="0.3">
      <c r="A101" s="6" t="s">
        <v>232</v>
      </c>
      <c r="B101" s="1">
        <v>45699</v>
      </c>
      <c r="C101" s="6" t="s">
        <v>33</v>
      </c>
      <c r="D101" s="6" t="s">
        <v>22</v>
      </c>
      <c r="E101" s="6" t="s">
        <v>41</v>
      </c>
      <c r="F101" s="6" t="s">
        <v>24</v>
      </c>
      <c r="G101" s="6" t="s">
        <v>69</v>
      </c>
      <c r="H101" s="6" t="s">
        <v>26</v>
      </c>
      <c r="I101" s="6" t="s">
        <v>45</v>
      </c>
      <c r="J101" s="6" t="s">
        <v>22</v>
      </c>
      <c r="K101" s="6" t="s">
        <v>48</v>
      </c>
      <c r="L101" s="6" t="s">
        <v>54</v>
      </c>
      <c r="M101" s="6" t="s">
        <v>142</v>
      </c>
      <c r="N101" s="6" t="s">
        <v>28</v>
      </c>
      <c r="O101" s="6" t="s">
        <v>26</v>
      </c>
      <c r="P101" s="6" t="s">
        <v>42</v>
      </c>
      <c r="Q101" s="6" t="s">
        <v>31</v>
      </c>
      <c r="R101" s="6" t="s">
        <v>22</v>
      </c>
      <c r="S101" s="6" t="s">
        <v>54</v>
      </c>
      <c r="T101" s="6" t="s">
        <v>32</v>
      </c>
      <c r="U101" s="6" t="s">
        <v>28</v>
      </c>
      <c r="V101" s="6" t="s">
        <v>82</v>
      </c>
      <c r="W101" t="s">
        <v>353</v>
      </c>
    </row>
    <row r="102" spans="1:23" x14ac:dyDescent="0.3">
      <c r="A102" s="6" t="s">
        <v>233</v>
      </c>
      <c r="B102" s="1">
        <v>45699</v>
      </c>
      <c r="C102" s="6" t="s">
        <v>33</v>
      </c>
      <c r="D102" s="6" t="s">
        <v>43</v>
      </c>
      <c r="E102" s="6" t="s">
        <v>68</v>
      </c>
      <c r="F102" s="6" t="s">
        <v>24</v>
      </c>
      <c r="G102" s="6" t="s">
        <v>61</v>
      </c>
      <c r="H102" s="6" t="s">
        <v>26</v>
      </c>
      <c r="I102" s="6" t="s">
        <v>38</v>
      </c>
      <c r="J102" s="6" t="s">
        <v>43</v>
      </c>
      <c r="K102" s="6" t="s">
        <v>48</v>
      </c>
      <c r="L102" s="6" t="s">
        <v>54</v>
      </c>
      <c r="M102" s="6" t="s">
        <v>29</v>
      </c>
      <c r="N102" s="6" t="s">
        <v>28</v>
      </c>
      <c r="O102" s="6" t="s">
        <v>26</v>
      </c>
      <c r="P102" s="6" t="s">
        <v>27</v>
      </c>
      <c r="Q102" s="6" t="s">
        <v>31</v>
      </c>
      <c r="R102" s="6" t="s">
        <v>22</v>
      </c>
      <c r="S102" s="6" t="s">
        <v>54</v>
      </c>
      <c r="T102" s="6" t="s">
        <v>48</v>
      </c>
      <c r="U102" s="6" t="s">
        <v>28</v>
      </c>
      <c r="V102" s="6" t="s">
        <v>137</v>
      </c>
      <c r="W102" t="s">
        <v>353</v>
      </c>
    </row>
    <row r="103" spans="1:23" x14ac:dyDescent="0.3">
      <c r="A103" s="6" t="s">
        <v>234</v>
      </c>
      <c r="B103" s="1">
        <v>45699</v>
      </c>
      <c r="C103" s="6" t="s">
        <v>33</v>
      </c>
      <c r="D103" s="6" t="s">
        <v>43</v>
      </c>
      <c r="E103" s="6" t="s">
        <v>68</v>
      </c>
      <c r="F103" s="6" t="s">
        <v>24</v>
      </c>
      <c r="G103" s="6" t="s">
        <v>61</v>
      </c>
      <c r="H103" s="6" t="s">
        <v>26</v>
      </c>
      <c r="I103" s="6" t="s">
        <v>38</v>
      </c>
      <c r="J103" s="6" t="s">
        <v>43</v>
      </c>
      <c r="K103" s="6" t="s">
        <v>48</v>
      </c>
      <c r="L103" s="6" t="s">
        <v>54</v>
      </c>
      <c r="M103" s="6" t="s">
        <v>29</v>
      </c>
      <c r="N103" s="6" t="s">
        <v>28</v>
      </c>
      <c r="O103" s="6" t="s">
        <v>26</v>
      </c>
      <c r="P103" s="6" t="s">
        <v>27</v>
      </c>
      <c r="Q103" s="6" t="s">
        <v>143</v>
      </c>
      <c r="R103" s="6" t="s">
        <v>49</v>
      </c>
      <c r="S103" s="6" t="s">
        <v>54</v>
      </c>
      <c r="T103" s="6" t="s">
        <v>29</v>
      </c>
      <c r="U103" s="6" t="s">
        <v>28</v>
      </c>
      <c r="V103" s="6" t="s">
        <v>137</v>
      </c>
      <c r="W103" t="s">
        <v>353</v>
      </c>
    </row>
    <row r="104" spans="1:23" x14ac:dyDescent="0.3">
      <c r="A104" s="6" t="s">
        <v>234</v>
      </c>
      <c r="B104" s="1">
        <v>45699</v>
      </c>
      <c r="C104" s="6" t="s">
        <v>33</v>
      </c>
      <c r="D104" s="6" t="s">
        <v>43</v>
      </c>
      <c r="E104" s="6" t="s">
        <v>68</v>
      </c>
      <c r="F104" s="6" t="s">
        <v>24</v>
      </c>
      <c r="G104" s="6" t="s">
        <v>61</v>
      </c>
      <c r="H104" s="6" t="s">
        <v>26</v>
      </c>
      <c r="I104" s="6" t="s">
        <v>38</v>
      </c>
      <c r="J104" s="6" t="s">
        <v>43</v>
      </c>
      <c r="K104" s="6" t="s">
        <v>48</v>
      </c>
      <c r="L104" s="6" t="s">
        <v>54</v>
      </c>
      <c r="M104" s="6" t="s">
        <v>29</v>
      </c>
      <c r="N104" s="6" t="s">
        <v>28</v>
      </c>
      <c r="O104" s="6" t="s">
        <v>26</v>
      </c>
      <c r="P104" s="6" t="s">
        <v>27</v>
      </c>
      <c r="Q104" s="6" t="s">
        <v>143</v>
      </c>
      <c r="R104" s="6" t="s">
        <v>49</v>
      </c>
      <c r="S104" s="6" t="s">
        <v>54</v>
      </c>
      <c r="T104" s="6" t="s">
        <v>29</v>
      </c>
      <c r="U104" s="6" t="s">
        <v>28</v>
      </c>
      <c r="V104" s="6" t="s">
        <v>146</v>
      </c>
      <c r="W104" t="s">
        <v>353</v>
      </c>
    </row>
    <row r="105" spans="1:23" x14ac:dyDescent="0.3">
      <c r="A105" s="6" t="s">
        <v>235</v>
      </c>
      <c r="B105" s="1">
        <v>45699</v>
      </c>
      <c r="C105" s="6" t="s">
        <v>343</v>
      </c>
      <c r="D105" s="6" t="s">
        <v>43</v>
      </c>
      <c r="E105" s="6" t="s">
        <v>46</v>
      </c>
      <c r="F105" s="6" t="s">
        <v>24</v>
      </c>
      <c r="G105" s="6" t="s">
        <v>97</v>
      </c>
      <c r="H105" s="6" t="s">
        <v>48</v>
      </c>
      <c r="I105" s="6" t="s">
        <v>27</v>
      </c>
      <c r="J105" s="6" t="s">
        <v>49</v>
      </c>
      <c r="K105" s="6" t="s">
        <v>48</v>
      </c>
      <c r="L105" s="6" t="s">
        <v>705</v>
      </c>
      <c r="M105" s="6" t="s">
        <v>48</v>
      </c>
      <c r="N105" s="6" t="s">
        <v>28</v>
      </c>
      <c r="O105" s="6" t="s">
        <v>26</v>
      </c>
      <c r="P105" s="6" t="s">
        <v>27</v>
      </c>
      <c r="Q105" s="6" t="s">
        <v>31</v>
      </c>
      <c r="R105" s="6" t="s">
        <v>49</v>
      </c>
      <c r="S105" s="6" t="s">
        <v>54</v>
      </c>
      <c r="T105" s="6" t="s">
        <v>29</v>
      </c>
      <c r="U105" s="6" t="s">
        <v>28</v>
      </c>
      <c r="V105" s="6" t="s">
        <v>82</v>
      </c>
      <c r="W105" t="s">
        <v>353</v>
      </c>
    </row>
    <row r="106" spans="1:23" x14ac:dyDescent="0.3">
      <c r="A106" s="6" t="s">
        <v>236</v>
      </c>
      <c r="B106" s="1">
        <v>45699</v>
      </c>
      <c r="C106" s="6" t="s">
        <v>21</v>
      </c>
      <c r="D106" s="6" t="s">
        <v>43</v>
      </c>
      <c r="E106" s="6" t="s">
        <v>68</v>
      </c>
      <c r="F106" s="6" t="s">
        <v>24</v>
      </c>
      <c r="G106" s="6" t="s">
        <v>68</v>
      </c>
      <c r="H106" s="6" t="s">
        <v>48</v>
      </c>
      <c r="I106" s="6" t="s">
        <v>100</v>
      </c>
      <c r="J106" s="6" t="s">
        <v>43</v>
      </c>
      <c r="K106" s="6" t="s">
        <v>48</v>
      </c>
      <c r="L106" s="6" t="s">
        <v>705</v>
      </c>
      <c r="M106" s="6" t="s">
        <v>48</v>
      </c>
      <c r="N106" s="6" t="s">
        <v>28</v>
      </c>
      <c r="O106" s="6" t="s">
        <v>26</v>
      </c>
      <c r="P106" s="6" t="s">
        <v>27</v>
      </c>
      <c r="Q106" s="6" t="s">
        <v>31</v>
      </c>
      <c r="R106" s="6" t="s">
        <v>43</v>
      </c>
      <c r="S106" s="6" t="s">
        <v>54</v>
      </c>
      <c r="T106" s="6" t="s">
        <v>29</v>
      </c>
      <c r="U106" s="6" t="s">
        <v>28</v>
      </c>
      <c r="V106" s="6" t="s">
        <v>82</v>
      </c>
      <c r="W106" t="s">
        <v>353</v>
      </c>
    </row>
    <row r="107" spans="1:23" x14ac:dyDescent="0.3">
      <c r="A107" s="6" t="s">
        <v>236</v>
      </c>
      <c r="B107" s="1">
        <v>45699</v>
      </c>
      <c r="C107" s="6" t="s">
        <v>21</v>
      </c>
      <c r="D107" s="6" t="s">
        <v>43</v>
      </c>
      <c r="E107" s="6" t="s">
        <v>68</v>
      </c>
      <c r="F107" s="6" t="s">
        <v>24</v>
      </c>
      <c r="G107" s="6" t="s">
        <v>68</v>
      </c>
      <c r="H107" s="6" t="s">
        <v>48</v>
      </c>
      <c r="I107" s="6" t="s">
        <v>100</v>
      </c>
      <c r="J107" s="6" t="s">
        <v>43</v>
      </c>
      <c r="K107" s="6" t="s">
        <v>48</v>
      </c>
      <c r="L107" s="6" t="s">
        <v>705</v>
      </c>
      <c r="M107" s="6" t="s">
        <v>48</v>
      </c>
      <c r="N107" s="6" t="s">
        <v>28</v>
      </c>
      <c r="O107" s="6" t="s">
        <v>26</v>
      </c>
      <c r="P107" s="6" t="s">
        <v>27</v>
      </c>
      <c r="Q107" s="6" t="s">
        <v>31</v>
      </c>
      <c r="R107" s="6" t="s">
        <v>43</v>
      </c>
      <c r="S107" s="6" t="s">
        <v>54</v>
      </c>
      <c r="T107" s="6" t="s">
        <v>29</v>
      </c>
      <c r="U107" s="6" t="s">
        <v>28</v>
      </c>
      <c r="V107" s="6" t="s">
        <v>146</v>
      </c>
      <c r="W107" t="s">
        <v>353</v>
      </c>
    </row>
    <row r="108" spans="1:23" x14ac:dyDescent="0.3">
      <c r="A108" s="6" t="s">
        <v>237</v>
      </c>
      <c r="B108" s="1">
        <v>45699</v>
      </c>
      <c r="C108" s="6" t="s">
        <v>343</v>
      </c>
      <c r="D108" s="6" t="s">
        <v>43</v>
      </c>
      <c r="E108" s="6" t="s">
        <v>46</v>
      </c>
      <c r="F108" s="6" t="s">
        <v>24</v>
      </c>
      <c r="G108" s="6" t="s">
        <v>97</v>
      </c>
      <c r="H108" s="6" t="s">
        <v>26</v>
      </c>
      <c r="I108" s="6" t="s">
        <v>27</v>
      </c>
      <c r="J108" s="6" t="s">
        <v>43</v>
      </c>
      <c r="K108" s="6" t="s">
        <v>48</v>
      </c>
      <c r="L108" s="6" t="s">
        <v>54</v>
      </c>
      <c r="M108" s="6" t="s">
        <v>32</v>
      </c>
      <c r="N108" s="6" t="s">
        <v>28</v>
      </c>
      <c r="O108" s="6" t="s">
        <v>26</v>
      </c>
      <c r="P108" s="6" t="s">
        <v>100</v>
      </c>
      <c r="Q108" s="6" t="s">
        <v>48</v>
      </c>
      <c r="R108" s="6" t="s">
        <v>43</v>
      </c>
      <c r="S108" s="6" t="s">
        <v>54</v>
      </c>
      <c r="T108" s="6" t="s">
        <v>48</v>
      </c>
      <c r="U108" s="6" t="s">
        <v>28</v>
      </c>
      <c r="V108" s="6" t="s">
        <v>146</v>
      </c>
      <c r="W108" t="s">
        <v>353</v>
      </c>
    </row>
    <row r="109" spans="1:23" x14ac:dyDescent="0.3">
      <c r="A109" s="6" t="s">
        <v>237</v>
      </c>
      <c r="B109" s="1">
        <v>45699</v>
      </c>
      <c r="C109" s="6" t="s">
        <v>343</v>
      </c>
      <c r="D109" s="6" t="s">
        <v>43</v>
      </c>
      <c r="E109" s="6" t="s">
        <v>46</v>
      </c>
      <c r="F109" s="6" t="s">
        <v>24</v>
      </c>
      <c r="G109" s="6" t="s">
        <v>97</v>
      </c>
      <c r="H109" s="6" t="s">
        <v>26</v>
      </c>
      <c r="I109" s="6" t="s">
        <v>27</v>
      </c>
      <c r="J109" s="6" t="s">
        <v>43</v>
      </c>
      <c r="K109" s="6" t="s">
        <v>48</v>
      </c>
      <c r="L109" s="6" t="s">
        <v>54</v>
      </c>
      <c r="M109" s="6" t="s">
        <v>32</v>
      </c>
      <c r="N109" s="6" t="s">
        <v>28</v>
      </c>
      <c r="O109" s="6" t="s">
        <v>26</v>
      </c>
      <c r="P109" s="6" t="s">
        <v>100</v>
      </c>
      <c r="Q109" s="6" t="s">
        <v>48</v>
      </c>
      <c r="R109" s="6" t="s">
        <v>43</v>
      </c>
      <c r="S109" s="6" t="s">
        <v>54</v>
      </c>
      <c r="T109" s="6" t="s">
        <v>48</v>
      </c>
      <c r="U109" s="6" t="s">
        <v>28</v>
      </c>
      <c r="V109" s="6" t="s">
        <v>82</v>
      </c>
      <c r="W109" t="s">
        <v>353</v>
      </c>
    </row>
    <row r="110" spans="1:23" x14ac:dyDescent="0.3">
      <c r="A110" s="6" t="s">
        <v>237</v>
      </c>
      <c r="B110" s="1">
        <v>45699</v>
      </c>
      <c r="C110" s="6" t="s">
        <v>343</v>
      </c>
      <c r="D110" s="6" t="s">
        <v>43</v>
      </c>
      <c r="E110" s="6" t="s">
        <v>46</v>
      </c>
      <c r="F110" s="6" t="s">
        <v>24</v>
      </c>
      <c r="G110" s="6" t="s">
        <v>97</v>
      </c>
      <c r="H110" s="6" t="s">
        <v>26</v>
      </c>
      <c r="I110" s="6" t="s">
        <v>27</v>
      </c>
      <c r="J110" s="6" t="s">
        <v>43</v>
      </c>
      <c r="K110" s="6" t="s">
        <v>48</v>
      </c>
      <c r="L110" s="6" t="s">
        <v>54</v>
      </c>
      <c r="M110" s="6" t="s">
        <v>32</v>
      </c>
      <c r="N110" s="6" t="s">
        <v>28</v>
      </c>
      <c r="O110" s="6" t="s">
        <v>26</v>
      </c>
      <c r="P110" s="6" t="s">
        <v>100</v>
      </c>
      <c r="Q110" s="6" t="s">
        <v>48</v>
      </c>
      <c r="R110" s="6" t="s">
        <v>43</v>
      </c>
      <c r="S110" s="6" t="s">
        <v>54</v>
      </c>
      <c r="T110" s="6" t="s">
        <v>48</v>
      </c>
      <c r="U110" s="6" t="s">
        <v>28</v>
      </c>
      <c r="V110" s="6" t="s">
        <v>137</v>
      </c>
      <c r="W110" t="s">
        <v>353</v>
      </c>
    </row>
    <row r="111" spans="1:23" x14ac:dyDescent="0.3">
      <c r="A111" s="6" t="s">
        <v>238</v>
      </c>
      <c r="B111" s="1">
        <v>45699</v>
      </c>
      <c r="C111" s="6" t="s">
        <v>33</v>
      </c>
      <c r="D111" s="6" t="s">
        <v>43</v>
      </c>
      <c r="E111" s="6" t="s">
        <v>68</v>
      </c>
      <c r="F111" s="6" t="s">
        <v>24</v>
      </c>
      <c r="G111" s="6" t="s">
        <v>61</v>
      </c>
      <c r="H111" s="6" t="s">
        <v>26</v>
      </c>
      <c r="I111" s="6" t="s">
        <v>27</v>
      </c>
      <c r="J111" s="6" t="s">
        <v>43</v>
      </c>
      <c r="K111" s="6" t="s">
        <v>48</v>
      </c>
      <c r="L111" s="6" t="s">
        <v>54</v>
      </c>
      <c r="M111" s="6" t="s">
        <v>32</v>
      </c>
      <c r="N111" s="6" t="s">
        <v>28</v>
      </c>
      <c r="O111" s="6" t="s">
        <v>26</v>
      </c>
      <c r="P111" s="6" t="s">
        <v>27</v>
      </c>
      <c r="Q111" s="6" t="s">
        <v>31</v>
      </c>
      <c r="R111" s="6" t="s">
        <v>22</v>
      </c>
      <c r="S111" s="6" t="s">
        <v>54</v>
      </c>
      <c r="T111" s="6" t="s">
        <v>29</v>
      </c>
      <c r="U111" s="6" t="s">
        <v>28</v>
      </c>
      <c r="V111" s="6" t="s">
        <v>82</v>
      </c>
      <c r="W111" t="s">
        <v>353</v>
      </c>
    </row>
    <row r="112" spans="1:23" x14ac:dyDescent="0.3">
      <c r="A112" s="6" t="s">
        <v>239</v>
      </c>
      <c r="B112" s="1">
        <v>45699</v>
      </c>
      <c r="C112" s="6" t="s">
        <v>343</v>
      </c>
      <c r="D112" s="6" t="s">
        <v>43</v>
      </c>
      <c r="E112" s="6" t="s">
        <v>46</v>
      </c>
      <c r="F112" s="6" t="s">
        <v>24</v>
      </c>
      <c r="G112" s="6" t="s">
        <v>61</v>
      </c>
      <c r="H112" s="6" t="s">
        <v>26</v>
      </c>
      <c r="I112" s="6" t="s">
        <v>27</v>
      </c>
      <c r="J112" s="6" t="s">
        <v>43</v>
      </c>
      <c r="K112" s="6" t="s">
        <v>48</v>
      </c>
      <c r="L112" s="6" t="s">
        <v>54</v>
      </c>
      <c r="M112" s="6" t="s">
        <v>29</v>
      </c>
      <c r="N112" s="6" t="s">
        <v>28</v>
      </c>
      <c r="O112" s="6" t="s">
        <v>26</v>
      </c>
      <c r="P112" s="6" t="s">
        <v>27</v>
      </c>
      <c r="Q112" s="6" t="s">
        <v>31</v>
      </c>
      <c r="R112" s="6" t="s">
        <v>22</v>
      </c>
      <c r="S112" s="6" t="s">
        <v>54</v>
      </c>
      <c r="T112" s="6" t="s">
        <v>29</v>
      </c>
      <c r="U112" s="6" t="s">
        <v>28</v>
      </c>
      <c r="V112" s="6" t="s">
        <v>82</v>
      </c>
      <c r="W112" t="s">
        <v>353</v>
      </c>
    </row>
    <row r="113" spans="1:23" x14ac:dyDescent="0.3">
      <c r="A113" s="6" t="s">
        <v>240</v>
      </c>
      <c r="B113" s="1">
        <v>45699</v>
      </c>
      <c r="C113" s="6" t="s">
        <v>343</v>
      </c>
      <c r="D113" s="6" t="s">
        <v>43</v>
      </c>
      <c r="E113" s="6" t="s">
        <v>46</v>
      </c>
      <c r="F113" s="6" t="s">
        <v>24</v>
      </c>
      <c r="G113" s="6" t="s">
        <v>68</v>
      </c>
      <c r="H113" s="6" t="s">
        <v>26</v>
      </c>
      <c r="I113" s="6" t="s">
        <v>27</v>
      </c>
      <c r="J113" s="6" t="s">
        <v>49</v>
      </c>
      <c r="K113" s="6" t="s">
        <v>48</v>
      </c>
      <c r="L113" s="6" t="s">
        <v>54</v>
      </c>
      <c r="M113" s="6" t="s">
        <v>48</v>
      </c>
      <c r="N113" s="6" t="s">
        <v>28</v>
      </c>
      <c r="O113" s="6" t="s">
        <v>48</v>
      </c>
      <c r="P113" s="6" t="s">
        <v>48</v>
      </c>
      <c r="Q113" s="6" t="s">
        <v>48</v>
      </c>
      <c r="R113" s="6" t="s">
        <v>49</v>
      </c>
      <c r="S113" s="6" t="s">
        <v>54</v>
      </c>
      <c r="T113" s="6" t="s">
        <v>48</v>
      </c>
      <c r="U113" s="6" t="s">
        <v>28</v>
      </c>
      <c r="V113" s="6" t="s">
        <v>146</v>
      </c>
      <c r="W113" t="s">
        <v>353</v>
      </c>
    </row>
    <row r="114" spans="1:23" x14ac:dyDescent="0.3">
      <c r="A114" s="6" t="s">
        <v>240</v>
      </c>
      <c r="B114" s="1">
        <v>45699</v>
      </c>
      <c r="C114" s="6" t="s">
        <v>343</v>
      </c>
      <c r="D114" s="6" t="s">
        <v>43</v>
      </c>
      <c r="E114" s="6" t="s">
        <v>46</v>
      </c>
      <c r="F114" s="6" t="s">
        <v>24</v>
      </c>
      <c r="G114" s="6" t="s">
        <v>68</v>
      </c>
      <c r="H114" s="6" t="s">
        <v>26</v>
      </c>
      <c r="I114" s="6" t="s">
        <v>27</v>
      </c>
      <c r="J114" s="6" t="s">
        <v>49</v>
      </c>
      <c r="K114" s="6" t="s">
        <v>48</v>
      </c>
      <c r="L114" s="6" t="s">
        <v>54</v>
      </c>
      <c r="M114" s="6" t="s">
        <v>48</v>
      </c>
      <c r="N114" s="6" t="s">
        <v>28</v>
      </c>
      <c r="O114" s="6" t="s">
        <v>48</v>
      </c>
      <c r="P114" s="6" t="s">
        <v>48</v>
      </c>
      <c r="Q114" s="6" t="s">
        <v>48</v>
      </c>
      <c r="R114" s="6" t="s">
        <v>49</v>
      </c>
      <c r="S114" s="6" t="s">
        <v>54</v>
      </c>
      <c r="T114" s="6" t="s">
        <v>48</v>
      </c>
      <c r="U114" s="6" t="s">
        <v>28</v>
      </c>
      <c r="V114" s="6" t="s">
        <v>82</v>
      </c>
      <c r="W114" t="s">
        <v>353</v>
      </c>
    </row>
    <row r="115" spans="1:23" x14ac:dyDescent="0.3">
      <c r="A115" s="6" t="s">
        <v>241</v>
      </c>
      <c r="B115" s="1">
        <v>45699</v>
      </c>
      <c r="C115" s="6" t="s">
        <v>343</v>
      </c>
      <c r="D115" s="6" t="s">
        <v>43</v>
      </c>
      <c r="E115" s="6" t="s">
        <v>46</v>
      </c>
      <c r="F115" s="6" t="s">
        <v>24</v>
      </c>
      <c r="G115" s="6" t="s">
        <v>46</v>
      </c>
      <c r="H115" s="6" t="s">
        <v>26</v>
      </c>
      <c r="I115" s="6" t="s">
        <v>37</v>
      </c>
      <c r="J115" s="6" t="s">
        <v>43</v>
      </c>
      <c r="K115" s="6" t="s">
        <v>48</v>
      </c>
      <c r="L115" s="6" t="s">
        <v>54</v>
      </c>
      <c r="M115" s="6" t="s">
        <v>48</v>
      </c>
      <c r="N115" s="6" t="s">
        <v>28</v>
      </c>
      <c r="O115" s="6" t="s">
        <v>26</v>
      </c>
      <c r="P115" s="6" t="s">
        <v>48</v>
      </c>
      <c r="Q115" s="6" t="s">
        <v>48</v>
      </c>
      <c r="R115" s="6" t="s">
        <v>49</v>
      </c>
      <c r="S115" s="6" t="s">
        <v>54</v>
      </c>
      <c r="T115" s="6" t="s">
        <v>29</v>
      </c>
      <c r="U115" s="6" t="s">
        <v>28</v>
      </c>
      <c r="V115" s="6" t="s">
        <v>82</v>
      </c>
      <c r="W115" t="s">
        <v>353</v>
      </c>
    </row>
    <row r="116" spans="1:23" x14ac:dyDescent="0.3">
      <c r="A116" s="6" t="s">
        <v>242</v>
      </c>
      <c r="B116" s="1">
        <v>45699</v>
      </c>
      <c r="C116" s="6" t="s">
        <v>343</v>
      </c>
      <c r="D116" s="6" t="s">
        <v>43</v>
      </c>
      <c r="E116" s="6" t="s">
        <v>46</v>
      </c>
      <c r="F116" s="6" t="s">
        <v>24</v>
      </c>
      <c r="G116" s="6" t="s">
        <v>68</v>
      </c>
      <c r="H116" s="6" t="s">
        <v>26</v>
      </c>
      <c r="I116" s="6" t="s">
        <v>27</v>
      </c>
      <c r="J116" s="6" t="s">
        <v>43</v>
      </c>
      <c r="K116" s="6" t="s">
        <v>48</v>
      </c>
      <c r="L116" s="6" t="s">
        <v>54</v>
      </c>
      <c r="M116" s="6" t="s">
        <v>29</v>
      </c>
      <c r="N116" s="6" t="s">
        <v>28</v>
      </c>
      <c r="O116" s="6" t="s">
        <v>26</v>
      </c>
      <c r="P116" s="6" t="s">
        <v>48</v>
      </c>
      <c r="Q116" s="6" t="s">
        <v>31</v>
      </c>
      <c r="R116" s="6" t="s">
        <v>49</v>
      </c>
      <c r="S116" s="6" t="s">
        <v>54</v>
      </c>
      <c r="T116" s="6" t="s">
        <v>48</v>
      </c>
      <c r="U116" s="6" t="s">
        <v>28</v>
      </c>
      <c r="V116" s="6" t="s">
        <v>137</v>
      </c>
      <c r="W116" t="s">
        <v>353</v>
      </c>
    </row>
    <row r="117" spans="1:23" x14ac:dyDescent="0.3">
      <c r="A117" s="6" t="s">
        <v>242</v>
      </c>
      <c r="B117" s="1">
        <v>45699</v>
      </c>
      <c r="C117" s="6" t="s">
        <v>343</v>
      </c>
      <c r="D117" s="6" t="s">
        <v>43</v>
      </c>
      <c r="E117" s="6" t="s">
        <v>46</v>
      </c>
      <c r="F117" s="6" t="s">
        <v>24</v>
      </c>
      <c r="G117" s="6" t="s">
        <v>68</v>
      </c>
      <c r="H117" s="6" t="s">
        <v>26</v>
      </c>
      <c r="I117" s="6" t="s">
        <v>27</v>
      </c>
      <c r="J117" s="6" t="s">
        <v>43</v>
      </c>
      <c r="K117" s="6" t="s">
        <v>48</v>
      </c>
      <c r="L117" s="6" t="s">
        <v>54</v>
      </c>
      <c r="M117" s="6" t="s">
        <v>29</v>
      </c>
      <c r="N117" s="6" t="s">
        <v>28</v>
      </c>
      <c r="O117" s="6" t="s">
        <v>26</v>
      </c>
      <c r="P117" s="6" t="s">
        <v>48</v>
      </c>
      <c r="Q117" s="6" t="s">
        <v>31</v>
      </c>
      <c r="R117" s="6" t="s">
        <v>49</v>
      </c>
      <c r="S117" s="6" t="s">
        <v>54</v>
      </c>
      <c r="T117" s="6" t="s">
        <v>48</v>
      </c>
      <c r="U117" s="6" t="s">
        <v>28</v>
      </c>
      <c r="V117" s="6" t="s">
        <v>146</v>
      </c>
      <c r="W117" t="s">
        <v>353</v>
      </c>
    </row>
    <row r="118" spans="1:23" x14ac:dyDescent="0.3">
      <c r="A118" s="6" t="s">
        <v>242</v>
      </c>
      <c r="B118" s="1">
        <v>45699</v>
      </c>
      <c r="C118" s="6" t="s">
        <v>343</v>
      </c>
      <c r="D118" s="6" t="s">
        <v>43</v>
      </c>
      <c r="E118" s="6" t="s">
        <v>46</v>
      </c>
      <c r="F118" s="6" t="s">
        <v>24</v>
      </c>
      <c r="G118" s="6" t="s">
        <v>68</v>
      </c>
      <c r="H118" s="6" t="s">
        <v>26</v>
      </c>
      <c r="I118" s="6" t="s">
        <v>27</v>
      </c>
      <c r="J118" s="6" t="s">
        <v>43</v>
      </c>
      <c r="K118" s="6" t="s">
        <v>48</v>
      </c>
      <c r="L118" s="6" t="s">
        <v>54</v>
      </c>
      <c r="M118" s="6" t="s">
        <v>29</v>
      </c>
      <c r="N118" s="6" t="s">
        <v>28</v>
      </c>
      <c r="O118" s="6" t="s">
        <v>26</v>
      </c>
      <c r="P118" s="6" t="s">
        <v>48</v>
      </c>
      <c r="Q118" s="6" t="s">
        <v>31</v>
      </c>
      <c r="R118" s="6" t="s">
        <v>49</v>
      </c>
      <c r="S118" s="6" t="s">
        <v>54</v>
      </c>
      <c r="T118" s="6" t="s">
        <v>48</v>
      </c>
      <c r="U118" s="6" t="s">
        <v>28</v>
      </c>
      <c r="V118" s="6" t="s">
        <v>82</v>
      </c>
      <c r="W118" t="s">
        <v>353</v>
      </c>
    </row>
    <row r="119" spans="1:23" x14ac:dyDescent="0.3">
      <c r="A119" s="6" t="s">
        <v>243</v>
      </c>
      <c r="B119" s="1">
        <v>45699</v>
      </c>
      <c r="C119" s="6" t="s">
        <v>343</v>
      </c>
      <c r="D119" s="6" t="s">
        <v>43</v>
      </c>
      <c r="E119" s="6" t="s">
        <v>68</v>
      </c>
      <c r="F119" s="6" t="s">
        <v>24</v>
      </c>
      <c r="G119" s="6" t="s">
        <v>97</v>
      </c>
      <c r="H119" s="6" t="s">
        <v>26</v>
      </c>
      <c r="I119" s="6" t="s">
        <v>27</v>
      </c>
      <c r="J119" s="6" t="s">
        <v>43</v>
      </c>
      <c r="K119" s="6" t="s">
        <v>48</v>
      </c>
      <c r="L119" s="6" t="s">
        <v>54</v>
      </c>
      <c r="M119" s="6" t="s">
        <v>48</v>
      </c>
      <c r="N119" s="6" t="s">
        <v>28</v>
      </c>
      <c r="O119" s="6" t="s">
        <v>26</v>
      </c>
      <c r="P119" s="6" t="s">
        <v>27</v>
      </c>
      <c r="Q119" s="6" t="s">
        <v>31</v>
      </c>
      <c r="R119" s="6" t="s">
        <v>22</v>
      </c>
      <c r="S119" s="6" t="s">
        <v>54</v>
      </c>
      <c r="T119" s="6" t="s">
        <v>29</v>
      </c>
      <c r="U119" s="6" t="s">
        <v>28</v>
      </c>
      <c r="V119" s="6" t="s">
        <v>82</v>
      </c>
      <c r="W119" t="s">
        <v>353</v>
      </c>
    </row>
    <row r="120" spans="1:23" x14ac:dyDescent="0.3">
      <c r="A120" s="6" t="s">
        <v>243</v>
      </c>
      <c r="B120" s="1">
        <v>45699</v>
      </c>
      <c r="C120" s="6" t="s">
        <v>343</v>
      </c>
      <c r="D120" s="6" t="s">
        <v>43</v>
      </c>
      <c r="E120" s="6" t="s">
        <v>68</v>
      </c>
      <c r="F120" s="6" t="s">
        <v>24</v>
      </c>
      <c r="G120" s="6" t="s">
        <v>97</v>
      </c>
      <c r="H120" s="6" t="s">
        <v>26</v>
      </c>
      <c r="I120" s="6" t="s">
        <v>27</v>
      </c>
      <c r="J120" s="6" t="s">
        <v>43</v>
      </c>
      <c r="K120" s="6" t="s">
        <v>48</v>
      </c>
      <c r="L120" s="6" t="s">
        <v>54</v>
      </c>
      <c r="M120" s="6" t="s">
        <v>48</v>
      </c>
      <c r="N120" s="6" t="s">
        <v>28</v>
      </c>
      <c r="O120" s="6" t="s">
        <v>26</v>
      </c>
      <c r="P120" s="6" t="s">
        <v>27</v>
      </c>
      <c r="Q120" s="6" t="s">
        <v>31</v>
      </c>
      <c r="R120" s="6" t="s">
        <v>22</v>
      </c>
      <c r="S120" s="6" t="s">
        <v>54</v>
      </c>
      <c r="T120" s="6" t="s">
        <v>29</v>
      </c>
      <c r="U120" s="6" t="s">
        <v>28</v>
      </c>
      <c r="V120" s="6" t="s">
        <v>146</v>
      </c>
      <c r="W120" t="s">
        <v>353</v>
      </c>
    </row>
    <row r="121" spans="1:23" x14ac:dyDescent="0.3">
      <c r="A121" s="6" t="s">
        <v>244</v>
      </c>
      <c r="B121" s="1">
        <v>45699</v>
      </c>
      <c r="C121" s="6" t="s">
        <v>343</v>
      </c>
      <c r="D121" s="6" t="s">
        <v>43</v>
      </c>
      <c r="E121" s="6" t="s">
        <v>68</v>
      </c>
      <c r="F121" s="6" t="s">
        <v>24</v>
      </c>
      <c r="G121" s="6" t="s">
        <v>97</v>
      </c>
      <c r="H121" s="6" t="s">
        <v>48</v>
      </c>
      <c r="I121" s="6" t="s">
        <v>100</v>
      </c>
      <c r="J121" s="6" t="s">
        <v>43</v>
      </c>
      <c r="K121" s="6" t="s">
        <v>48</v>
      </c>
      <c r="L121" s="6" t="s">
        <v>54</v>
      </c>
      <c r="M121" s="6" t="s">
        <v>48</v>
      </c>
      <c r="N121" s="6" t="s">
        <v>28</v>
      </c>
      <c r="O121" s="6" t="s">
        <v>26</v>
      </c>
      <c r="P121" s="6" t="s">
        <v>27</v>
      </c>
      <c r="Q121" s="6" t="s">
        <v>48</v>
      </c>
      <c r="R121" s="6" t="s">
        <v>43</v>
      </c>
      <c r="S121" s="6" t="s">
        <v>54</v>
      </c>
      <c r="T121" s="6" t="s">
        <v>32</v>
      </c>
      <c r="U121" s="6" t="s">
        <v>28</v>
      </c>
      <c r="V121" s="6" t="s">
        <v>146</v>
      </c>
      <c r="W121" t="s">
        <v>353</v>
      </c>
    </row>
    <row r="122" spans="1:23" x14ac:dyDescent="0.3">
      <c r="A122" s="6" t="s">
        <v>244</v>
      </c>
      <c r="B122" s="1">
        <v>45699</v>
      </c>
      <c r="C122" s="6" t="s">
        <v>343</v>
      </c>
      <c r="D122" s="6" t="s">
        <v>43</v>
      </c>
      <c r="E122" s="6" t="s">
        <v>68</v>
      </c>
      <c r="F122" s="6" t="s">
        <v>24</v>
      </c>
      <c r="G122" s="6" t="s">
        <v>97</v>
      </c>
      <c r="H122" s="6" t="s">
        <v>48</v>
      </c>
      <c r="I122" s="6" t="s">
        <v>100</v>
      </c>
      <c r="J122" s="6" t="s">
        <v>43</v>
      </c>
      <c r="K122" s="6" t="s">
        <v>48</v>
      </c>
      <c r="L122" s="6" t="s">
        <v>54</v>
      </c>
      <c r="M122" s="6" t="s">
        <v>48</v>
      </c>
      <c r="N122" s="6" t="s">
        <v>28</v>
      </c>
      <c r="O122" s="6" t="s">
        <v>26</v>
      </c>
      <c r="P122" s="6" t="s">
        <v>27</v>
      </c>
      <c r="Q122" s="6" t="s">
        <v>48</v>
      </c>
      <c r="R122" s="6" t="s">
        <v>43</v>
      </c>
      <c r="S122" s="6" t="s">
        <v>54</v>
      </c>
      <c r="T122" s="6" t="s">
        <v>32</v>
      </c>
      <c r="U122" s="6" t="s">
        <v>28</v>
      </c>
      <c r="V122" s="6" t="s">
        <v>137</v>
      </c>
      <c r="W122" t="s">
        <v>353</v>
      </c>
    </row>
    <row r="123" spans="1:23" x14ac:dyDescent="0.3">
      <c r="A123" s="6" t="s">
        <v>244</v>
      </c>
      <c r="B123" s="1">
        <v>45699</v>
      </c>
      <c r="C123" s="6" t="s">
        <v>343</v>
      </c>
      <c r="D123" s="6" t="s">
        <v>43</v>
      </c>
      <c r="E123" s="6" t="s">
        <v>68</v>
      </c>
      <c r="F123" s="6" t="s">
        <v>24</v>
      </c>
      <c r="G123" s="6" t="s">
        <v>97</v>
      </c>
      <c r="H123" s="6" t="s">
        <v>48</v>
      </c>
      <c r="I123" s="6" t="s">
        <v>100</v>
      </c>
      <c r="J123" s="6" t="s">
        <v>43</v>
      </c>
      <c r="K123" s="6" t="s">
        <v>48</v>
      </c>
      <c r="L123" s="6" t="s">
        <v>54</v>
      </c>
      <c r="M123" s="6" t="s">
        <v>48</v>
      </c>
      <c r="N123" s="6" t="s">
        <v>28</v>
      </c>
      <c r="O123" s="6" t="s">
        <v>26</v>
      </c>
      <c r="P123" s="6" t="s">
        <v>27</v>
      </c>
      <c r="Q123" s="6" t="s">
        <v>48</v>
      </c>
      <c r="R123" s="6" t="s">
        <v>43</v>
      </c>
      <c r="S123" s="6" t="s">
        <v>54</v>
      </c>
      <c r="T123" s="6" t="s">
        <v>32</v>
      </c>
      <c r="U123" s="6" t="s">
        <v>28</v>
      </c>
      <c r="V123" s="6" t="s">
        <v>82</v>
      </c>
      <c r="W123" t="s">
        <v>353</v>
      </c>
    </row>
    <row r="124" spans="1:23" x14ac:dyDescent="0.3">
      <c r="A124" s="6" t="s">
        <v>245</v>
      </c>
      <c r="B124" s="1">
        <v>45699</v>
      </c>
      <c r="C124" s="6" t="s">
        <v>343</v>
      </c>
      <c r="D124" s="6" t="s">
        <v>43</v>
      </c>
      <c r="E124" s="6" t="s">
        <v>68</v>
      </c>
      <c r="F124" s="6" t="s">
        <v>24</v>
      </c>
      <c r="G124" s="6" t="s">
        <v>97</v>
      </c>
      <c r="H124" s="6" t="s">
        <v>26</v>
      </c>
      <c r="I124" s="6" t="s">
        <v>27</v>
      </c>
      <c r="J124" s="6" t="s">
        <v>43</v>
      </c>
      <c r="K124" s="6" t="s">
        <v>48</v>
      </c>
      <c r="L124" s="6" t="s">
        <v>705</v>
      </c>
      <c r="M124" s="6" t="s">
        <v>29</v>
      </c>
      <c r="N124" s="6" t="s">
        <v>28</v>
      </c>
      <c r="O124" s="6" t="s">
        <v>26</v>
      </c>
      <c r="P124" s="6" t="s">
        <v>48</v>
      </c>
      <c r="Q124" s="6" t="s">
        <v>31</v>
      </c>
      <c r="R124" s="6" t="s">
        <v>49</v>
      </c>
      <c r="S124" s="6" t="s">
        <v>54</v>
      </c>
      <c r="T124" s="6" t="s">
        <v>55</v>
      </c>
      <c r="U124" s="6" t="s">
        <v>28</v>
      </c>
      <c r="V124" s="6" t="s">
        <v>82</v>
      </c>
      <c r="W124" t="s">
        <v>353</v>
      </c>
    </row>
    <row r="125" spans="1:23" x14ac:dyDescent="0.3">
      <c r="A125" s="6" t="s">
        <v>246</v>
      </c>
      <c r="B125" s="1">
        <v>45699</v>
      </c>
      <c r="C125" s="6" t="s">
        <v>343</v>
      </c>
      <c r="D125" s="6" t="s">
        <v>43</v>
      </c>
      <c r="E125" s="6" t="s">
        <v>68</v>
      </c>
      <c r="F125" s="6" t="s">
        <v>24</v>
      </c>
      <c r="G125" s="6" t="s">
        <v>61</v>
      </c>
      <c r="H125" s="6" t="s">
        <v>26</v>
      </c>
      <c r="I125" s="6" t="s">
        <v>27</v>
      </c>
      <c r="J125" s="6" t="s">
        <v>43</v>
      </c>
      <c r="K125" s="6" t="s">
        <v>48</v>
      </c>
      <c r="L125" s="6" t="s">
        <v>54</v>
      </c>
      <c r="M125" s="6" t="s">
        <v>29</v>
      </c>
      <c r="N125" s="6" t="s">
        <v>28</v>
      </c>
      <c r="O125" s="6" t="s">
        <v>26</v>
      </c>
      <c r="P125" s="6" t="s">
        <v>27</v>
      </c>
      <c r="Q125" s="6" t="s">
        <v>31</v>
      </c>
      <c r="R125" s="6" t="s">
        <v>49</v>
      </c>
      <c r="S125" s="6" t="s">
        <v>128</v>
      </c>
      <c r="T125" s="6" t="s">
        <v>29</v>
      </c>
      <c r="U125" s="6" t="s">
        <v>28</v>
      </c>
      <c r="V125" s="6" t="s">
        <v>146</v>
      </c>
      <c r="W125" t="s">
        <v>353</v>
      </c>
    </row>
    <row r="126" spans="1:23" x14ac:dyDescent="0.3">
      <c r="A126" s="6" t="s">
        <v>248</v>
      </c>
      <c r="B126" s="1">
        <v>45699</v>
      </c>
      <c r="C126" s="6" t="s">
        <v>343</v>
      </c>
      <c r="D126" s="6" t="s">
        <v>43</v>
      </c>
      <c r="E126" s="6" t="s">
        <v>68</v>
      </c>
      <c r="F126" s="6" t="s">
        <v>24</v>
      </c>
      <c r="G126" s="6" t="s">
        <v>61</v>
      </c>
      <c r="H126" s="6" t="s">
        <v>26</v>
      </c>
      <c r="I126" s="6" t="s">
        <v>27</v>
      </c>
      <c r="J126" s="6" t="s">
        <v>43</v>
      </c>
      <c r="K126" s="6" t="s">
        <v>48</v>
      </c>
      <c r="L126" s="6" t="s">
        <v>54</v>
      </c>
      <c r="M126" s="6" t="s">
        <v>29</v>
      </c>
      <c r="N126" s="6" t="s">
        <v>28</v>
      </c>
      <c r="O126" s="6" t="s">
        <v>48</v>
      </c>
      <c r="P126" s="6" t="s">
        <v>48</v>
      </c>
      <c r="Q126" s="6" t="s">
        <v>48</v>
      </c>
      <c r="R126" s="6" t="s">
        <v>43</v>
      </c>
      <c r="S126" s="6" t="s">
        <v>54</v>
      </c>
      <c r="T126" s="6" t="s">
        <v>48</v>
      </c>
      <c r="U126" s="6" t="s">
        <v>119</v>
      </c>
      <c r="V126" s="6" t="s">
        <v>82</v>
      </c>
      <c r="W126" t="s">
        <v>353</v>
      </c>
    </row>
    <row r="127" spans="1:23" x14ac:dyDescent="0.3">
      <c r="A127" s="6" t="s">
        <v>247</v>
      </c>
      <c r="B127" s="1">
        <v>45699</v>
      </c>
      <c r="C127" s="6" t="s">
        <v>343</v>
      </c>
      <c r="D127" s="6" t="s">
        <v>43</v>
      </c>
      <c r="E127" s="6" t="s">
        <v>68</v>
      </c>
      <c r="F127" s="6" t="s">
        <v>24</v>
      </c>
      <c r="G127" s="6" t="s">
        <v>61</v>
      </c>
      <c r="H127" s="6" t="s">
        <v>26</v>
      </c>
      <c r="I127" s="6" t="s">
        <v>27</v>
      </c>
      <c r="J127" s="6" t="s">
        <v>43</v>
      </c>
      <c r="K127" s="6" t="s">
        <v>48</v>
      </c>
      <c r="L127" s="6" t="s">
        <v>54</v>
      </c>
      <c r="M127" s="6" t="s">
        <v>29</v>
      </c>
      <c r="N127" s="6" t="s">
        <v>28</v>
      </c>
      <c r="O127" s="6" t="s">
        <v>26</v>
      </c>
      <c r="P127" s="6" t="s">
        <v>27</v>
      </c>
      <c r="Q127" s="6" t="s">
        <v>31</v>
      </c>
      <c r="R127" s="6" t="s">
        <v>49</v>
      </c>
      <c r="S127" s="6" t="s">
        <v>54</v>
      </c>
      <c r="T127" s="6" t="s">
        <v>29</v>
      </c>
      <c r="U127" s="6" t="s">
        <v>28</v>
      </c>
      <c r="V127" s="6" t="s">
        <v>82</v>
      </c>
      <c r="W127" t="s">
        <v>353</v>
      </c>
    </row>
    <row r="128" spans="1:23" x14ac:dyDescent="0.3">
      <c r="A128" s="6" t="s">
        <v>249</v>
      </c>
      <c r="B128" s="1">
        <v>45699</v>
      </c>
      <c r="C128" s="6" t="s">
        <v>33</v>
      </c>
      <c r="D128" s="6" t="s">
        <v>43</v>
      </c>
      <c r="E128" s="6" t="s">
        <v>68</v>
      </c>
      <c r="F128" s="6" t="s">
        <v>24</v>
      </c>
      <c r="G128" s="6" t="s">
        <v>97</v>
      </c>
      <c r="H128" s="6" t="s">
        <v>26</v>
      </c>
      <c r="I128" s="6" t="s">
        <v>27</v>
      </c>
      <c r="J128" s="6" t="s">
        <v>43</v>
      </c>
      <c r="K128" s="6" t="s">
        <v>48</v>
      </c>
      <c r="L128" s="6" t="s">
        <v>705</v>
      </c>
      <c r="M128" s="6" t="s">
        <v>29</v>
      </c>
      <c r="N128" s="6" t="s">
        <v>28</v>
      </c>
      <c r="O128" s="6" t="s">
        <v>26</v>
      </c>
      <c r="P128" s="6" t="s">
        <v>27</v>
      </c>
      <c r="Q128" s="6" t="s">
        <v>31</v>
      </c>
      <c r="R128" s="6" t="s">
        <v>49</v>
      </c>
      <c r="S128" s="6" t="s">
        <v>54</v>
      </c>
      <c r="T128" s="6" t="s">
        <v>29</v>
      </c>
      <c r="U128" s="6" t="s">
        <v>28</v>
      </c>
      <c r="V128" s="6" t="s">
        <v>82</v>
      </c>
      <c r="W128" t="s">
        <v>353</v>
      </c>
    </row>
    <row r="129" spans="1:23" x14ac:dyDescent="0.3">
      <c r="A129" s="6" t="s">
        <v>250</v>
      </c>
      <c r="B129" s="1">
        <v>45699</v>
      </c>
      <c r="C129" s="6" t="s">
        <v>343</v>
      </c>
      <c r="D129" s="6" t="s">
        <v>43</v>
      </c>
      <c r="E129" s="6" t="s">
        <v>68</v>
      </c>
      <c r="F129" s="6" t="s">
        <v>24</v>
      </c>
      <c r="G129" s="6" t="s">
        <v>97</v>
      </c>
      <c r="H129" s="6" t="s">
        <v>26</v>
      </c>
      <c r="I129" s="6" t="s">
        <v>27</v>
      </c>
      <c r="J129" s="6" t="s">
        <v>43</v>
      </c>
      <c r="K129" s="6" t="s">
        <v>48</v>
      </c>
      <c r="L129" s="6" t="s">
        <v>54</v>
      </c>
      <c r="M129" s="6" t="s">
        <v>29</v>
      </c>
      <c r="N129" s="6" t="s">
        <v>28</v>
      </c>
      <c r="O129" s="6" t="s">
        <v>26</v>
      </c>
      <c r="P129" s="6" t="s">
        <v>48</v>
      </c>
      <c r="Q129" s="6" t="s">
        <v>48</v>
      </c>
      <c r="R129" s="6" t="s">
        <v>49</v>
      </c>
      <c r="S129" s="6" t="s">
        <v>54</v>
      </c>
      <c r="T129" s="6" t="s">
        <v>48</v>
      </c>
      <c r="U129" s="6" t="s">
        <v>28</v>
      </c>
      <c r="V129" s="6" t="s">
        <v>82</v>
      </c>
      <c r="W129" t="s">
        <v>353</v>
      </c>
    </row>
    <row r="130" spans="1:23" x14ac:dyDescent="0.3">
      <c r="A130" s="6" t="s">
        <v>251</v>
      </c>
      <c r="B130" s="1">
        <v>45699</v>
      </c>
      <c r="C130" s="6" t="s">
        <v>33</v>
      </c>
      <c r="D130" s="6" t="s">
        <v>43</v>
      </c>
      <c r="E130" s="6" t="s">
        <v>46</v>
      </c>
      <c r="F130" s="6" t="s">
        <v>24</v>
      </c>
      <c r="G130" s="6" t="s">
        <v>97</v>
      </c>
      <c r="H130" s="6" t="s">
        <v>26</v>
      </c>
      <c r="I130" s="6" t="s">
        <v>27</v>
      </c>
      <c r="J130" s="6" t="s">
        <v>43</v>
      </c>
      <c r="K130" s="6" t="s">
        <v>48</v>
      </c>
      <c r="L130" s="6" t="s">
        <v>54</v>
      </c>
      <c r="M130" s="6" t="s">
        <v>29</v>
      </c>
      <c r="N130" s="6" t="s">
        <v>28</v>
      </c>
      <c r="O130" s="6" t="s">
        <v>26</v>
      </c>
      <c r="P130" s="6" t="s">
        <v>27</v>
      </c>
      <c r="Q130" s="6" t="s">
        <v>48</v>
      </c>
      <c r="R130" s="6" t="s">
        <v>49</v>
      </c>
      <c r="S130" s="6" t="s">
        <v>54</v>
      </c>
      <c r="T130" s="6" t="s">
        <v>29</v>
      </c>
      <c r="U130" s="6" t="s">
        <v>28</v>
      </c>
      <c r="V130" s="6" t="s">
        <v>82</v>
      </c>
      <c r="W130" t="s">
        <v>353</v>
      </c>
    </row>
    <row r="131" spans="1:23" x14ac:dyDescent="0.3">
      <c r="A131" s="6" t="s">
        <v>252</v>
      </c>
      <c r="B131" s="1">
        <v>45700</v>
      </c>
      <c r="C131" s="6" t="s">
        <v>33</v>
      </c>
      <c r="D131" s="6" t="s">
        <v>43</v>
      </c>
      <c r="E131" s="6" t="s">
        <v>68</v>
      </c>
      <c r="F131" s="6" t="s">
        <v>24</v>
      </c>
      <c r="G131" s="6" t="s">
        <v>97</v>
      </c>
      <c r="H131" s="6" t="s">
        <v>26</v>
      </c>
      <c r="I131" s="6" t="s">
        <v>27</v>
      </c>
      <c r="J131" s="6" t="s">
        <v>43</v>
      </c>
      <c r="K131" s="6" t="s">
        <v>48</v>
      </c>
      <c r="L131" s="6" t="s">
        <v>54</v>
      </c>
      <c r="M131" s="6" t="s">
        <v>29</v>
      </c>
      <c r="N131" s="6" t="s">
        <v>28</v>
      </c>
      <c r="O131" s="6" t="s">
        <v>26</v>
      </c>
      <c r="P131" s="6" t="s">
        <v>27</v>
      </c>
      <c r="Q131" s="6" t="s">
        <v>31</v>
      </c>
      <c r="R131" s="6" t="s">
        <v>49</v>
      </c>
      <c r="S131" s="6" t="s">
        <v>54</v>
      </c>
      <c r="T131" s="6" t="s">
        <v>29</v>
      </c>
      <c r="U131" s="6" t="s">
        <v>28</v>
      </c>
      <c r="V131" s="6" t="s">
        <v>146</v>
      </c>
      <c r="W131" t="s">
        <v>353</v>
      </c>
    </row>
    <row r="132" spans="1:23" x14ac:dyDescent="0.3">
      <c r="A132" s="6" t="s">
        <v>253</v>
      </c>
      <c r="B132" s="1">
        <v>45700</v>
      </c>
      <c r="C132" s="6" t="s">
        <v>21</v>
      </c>
      <c r="D132" s="6" t="s">
        <v>43</v>
      </c>
      <c r="E132" s="6" t="s">
        <v>68</v>
      </c>
      <c r="F132" s="6" t="s">
        <v>24</v>
      </c>
      <c r="G132" s="6" t="s">
        <v>61</v>
      </c>
      <c r="H132" s="6" t="s">
        <v>26</v>
      </c>
      <c r="I132" s="6" t="s">
        <v>27</v>
      </c>
      <c r="J132" s="6" t="s">
        <v>43</v>
      </c>
      <c r="K132" s="6" t="s">
        <v>48</v>
      </c>
      <c r="L132" s="6" t="s">
        <v>54</v>
      </c>
      <c r="M132" s="6" t="s">
        <v>29</v>
      </c>
      <c r="N132" s="6" t="s">
        <v>28</v>
      </c>
      <c r="O132" s="6" t="s">
        <v>26</v>
      </c>
      <c r="P132" s="6" t="s">
        <v>27</v>
      </c>
      <c r="Q132" s="6" t="s">
        <v>48</v>
      </c>
      <c r="R132" s="6" t="s">
        <v>43</v>
      </c>
      <c r="S132" s="6" t="s">
        <v>54</v>
      </c>
      <c r="T132" s="6" t="s">
        <v>29</v>
      </c>
      <c r="U132" s="6" t="s">
        <v>28</v>
      </c>
      <c r="V132" s="6" t="s">
        <v>137</v>
      </c>
      <c r="W132" t="s">
        <v>353</v>
      </c>
    </row>
    <row r="133" spans="1:23" x14ac:dyDescent="0.3">
      <c r="A133" s="6" t="s">
        <v>254</v>
      </c>
      <c r="B133" s="1">
        <v>45700</v>
      </c>
      <c r="C133" s="6" t="s">
        <v>21</v>
      </c>
      <c r="D133" s="6" t="s">
        <v>43</v>
      </c>
      <c r="E133" s="6" t="s">
        <v>68</v>
      </c>
      <c r="F133" s="6" t="s">
        <v>24</v>
      </c>
      <c r="G133" s="6" t="s">
        <v>61</v>
      </c>
      <c r="H133" s="6" t="s">
        <v>26</v>
      </c>
      <c r="I133" s="6" t="s">
        <v>27</v>
      </c>
      <c r="J133" s="6" t="s">
        <v>43</v>
      </c>
      <c r="K133" s="6" t="s">
        <v>48</v>
      </c>
      <c r="L133" s="6" t="s">
        <v>54</v>
      </c>
      <c r="M133" s="6" t="s">
        <v>29</v>
      </c>
      <c r="N133" s="6" t="s">
        <v>28</v>
      </c>
      <c r="O133" s="6" t="s">
        <v>26</v>
      </c>
      <c r="P133" s="6" t="s">
        <v>27</v>
      </c>
      <c r="Q133" s="6" t="s">
        <v>48</v>
      </c>
      <c r="R133" s="6" t="s">
        <v>43</v>
      </c>
      <c r="S133" s="6" t="s">
        <v>54</v>
      </c>
      <c r="T133" s="6" t="s">
        <v>29</v>
      </c>
      <c r="U133" s="6" t="s">
        <v>28</v>
      </c>
      <c r="V133" s="6" t="s">
        <v>82</v>
      </c>
      <c r="W133" t="s">
        <v>353</v>
      </c>
    </row>
    <row r="134" spans="1:23" x14ac:dyDescent="0.3">
      <c r="A134" s="6" t="s">
        <v>254</v>
      </c>
      <c r="B134" s="1">
        <v>45700</v>
      </c>
      <c r="C134" s="6" t="s">
        <v>21</v>
      </c>
      <c r="D134" s="6" t="s">
        <v>43</v>
      </c>
      <c r="E134" s="6" t="s">
        <v>68</v>
      </c>
      <c r="F134" s="6" t="s">
        <v>24</v>
      </c>
      <c r="G134" s="6" t="s">
        <v>61</v>
      </c>
      <c r="H134" s="6" t="s">
        <v>26</v>
      </c>
      <c r="I134" s="6" t="s">
        <v>27</v>
      </c>
      <c r="J134" s="6" t="s">
        <v>43</v>
      </c>
      <c r="K134" s="6" t="s">
        <v>48</v>
      </c>
      <c r="L134" s="6" t="s">
        <v>54</v>
      </c>
      <c r="M134" s="6" t="s">
        <v>29</v>
      </c>
      <c r="N134" s="6" t="s">
        <v>28</v>
      </c>
      <c r="O134" s="6" t="s">
        <v>26</v>
      </c>
      <c r="P134" s="6" t="s">
        <v>27</v>
      </c>
      <c r="Q134" s="6" t="s">
        <v>48</v>
      </c>
      <c r="R134" s="6" t="s">
        <v>43</v>
      </c>
      <c r="S134" s="6" t="s">
        <v>54</v>
      </c>
      <c r="T134" s="6" t="s">
        <v>29</v>
      </c>
      <c r="U134" s="6" t="s">
        <v>28</v>
      </c>
      <c r="V134" s="6" t="s">
        <v>146</v>
      </c>
      <c r="W134" t="s">
        <v>353</v>
      </c>
    </row>
    <row r="135" spans="1:23" x14ac:dyDescent="0.3">
      <c r="A135" s="6" t="s">
        <v>255</v>
      </c>
      <c r="B135" s="1">
        <v>45700</v>
      </c>
      <c r="C135" s="6" t="s">
        <v>343</v>
      </c>
      <c r="D135" s="6" t="s">
        <v>95</v>
      </c>
      <c r="E135" s="6" t="s">
        <v>73</v>
      </c>
      <c r="F135" s="6" t="s">
        <v>24</v>
      </c>
      <c r="G135" s="6" t="s">
        <v>97</v>
      </c>
      <c r="H135" s="6" t="s">
        <v>48</v>
      </c>
      <c r="I135" s="6" t="s">
        <v>58</v>
      </c>
      <c r="J135" s="6" t="s">
        <v>95</v>
      </c>
      <c r="K135" s="6" t="s">
        <v>48</v>
      </c>
      <c r="L135" s="6" t="s">
        <v>54</v>
      </c>
      <c r="M135" s="6" t="s">
        <v>55</v>
      </c>
      <c r="N135" s="6" t="s">
        <v>28</v>
      </c>
      <c r="O135" s="6" t="s">
        <v>26</v>
      </c>
      <c r="P135" s="6" t="s">
        <v>52</v>
      </c>
      <c r="Q135" s="6" t="s">
        <v>31</v>
      </c>
      <c r="R135" s="6" t="s">
        <v>95</v>
      </c>
      <c r="S135" s="6" t="s">
        <v>54</v>
      </c>
      <c r="T135" s="6" t="s">
        <v>48</v>
      </c>
      <c r="U135" s="6" t="s">
        <v>28</v>
      </c>
      <c r="V135" s="6" t="s">
        <v>82</v>
      </c>
      <c r="W135" t="s">
        <v>353</v>
      </c>
    </row>
    <row r="136" spans="1:23" x14ac:dyDescent="0.3">
      <c r="A136" s="6" t="s">
        <v>256</v>
      </c>
      <c r="B136" s="1">
        <v>45700</v>
      </c>
      <c r="C136" s="6" t="s">
        <v>33</v>
      </c>
      <c r="D136" s="6" t="s">
        <v>43</v>
      </c>
      <c r="E136" s="6" t="s">
        <v>68</v>
      </c>
      <c r="F136" s="6" t="s">
        <v>24</v>
      </c>
      <c r="G136" s="6" t="s">
        <v>61</v>
      </c>
      <c r="H136" s="6" t="s">
        <v>26</v>
      </c>
      <c r="I136" s="6" t="s">
        <v>27</v>
      </c>
      <c r="J136" s="6" t="s">
        <v>43</v>
      </c>
      <c r="K136" s="6" t="s">
        <v>48</v>
      </c>
      <c r="L136" s="6" t="s">
        <v>54</v>
      </c>
      <c r="M136" s="6" t="s">
        <v>32</v>
      </c>
      <c r="N136" s="6" t="s">
        <v>28</v>
      </c>
      <c r="O136" s="6" t="s">
        <v>26</v>
      </c>
      <c r="P136" s="6" t="s">
        <v>27</v>
      </c>
      <c r="Q136" s="6" t="s">
        <v>31</v>
      </c>
      <c r="R136" s="6" t="s">
        <v>22</v>
      </c>
      <c r="S136" s="6" t="s">
        <v>54</v>
      </c>
      <c r="T136" s="6" t="s">
        <v>29</v>
      </c>
      <c r="U136" s="6" t="s">
        <v>28</v>
      </c>
      <c r="V136" s="6" t="s">
        <v>146</v>
      </c>
      <c r="W136" t="s">
        <v>353</v>
      </c>
    </row>
    <row r="137" spans="1:23" x14ac:dyDescent="0.3">
      <c r="A137" s="6" t="s">
        <v>256</v>
      </c>
      <c r="B137" s="1">
        <v>45700</v>
      </c>
      <c r="C137" s="6" t="s">
        <v>33</v>
      </c>
      <c r="D137" s="6" t="s">
        <v>43</v>
      </c>
      <c r="E137" s="6" t="s">
        <v>68</v>
      </c>
      <c r="F137" s="6" t="s">
        <v>24</v>
      </c>
      <c r="G137" s="6" t="s">
        <v>61</v>
      </c>
      <c r="H137" s="6" t="s">
        <v>26</v>
      </c>
      <c r="I137" s="6" t="s">
        <v>27</v>
      </c>
      <c r="J137" s="6" t="s">
        <v>43</v>
      </c>
      <c r="K137" s="6" t="s">
        <v>48</v>
      </c>
      <c r="L137" s="6" t="s">
        <v>54</v>
      </c>
      <c r="M137" s="6" t="s">
        <v>32</v>
      </c>
      <c r="N137" s="6" t="s">
        <v>28</v>
      </c>
      <c r="O137" s="6" t="s">
        <v>26</v>
      </c>
      <c r="P137" s="6" t="s">
        <v>27</v>
      </c>
      <c r="Q137" s="6" t="s">
        <v>31</v>
      </c>
      <c r="R137" s="6" t="s">
        <v>22</v>
      </c>
      <c r="S137" s="6" t="s">
        <v>54</v>
      </c>
      <c r="T137" s="6" t="s">
        <v>29</v>
      </c>
      <c r="U137" s="6" t="s">
        <v>28</v>
      </c>
      <c r="V137" s="6" t="s">
        <v>82</v>
      </c>
      <c r="W137" t="s">
        <v>353</v>
      </c>
    </row>
    <row r="138" spans="1:23" x14ac:dyDescent="0.3">
      <c r="A138" s="6" t="s">
        <v>257</v>
      </c>
      <c r="B138" s="1">
        <v>45700</v>
      </c>
      <c r="C138" s="6" t="s">
        <v>33</v>
      </c>
      <c r="D138" s="6" t="s">
        <v>43</v>
      </c>
      <c r="E138" s="6" t="s">
        <v>68</v>
      </c>
      <c r="F138" s="6" t="s">
        <v>24</v>
      </c>
      <c r="G138" s="6" t="s">
        <v>61</v>
      </c>
      <c r="H138" s="6" t="s">
        <v>26</v>
      </c>
      <c r="I138" s="6" t="s">
        <v>27</v>
      </c>
      <c r="J138" s="6" t="s">
        <v>43</v>
      </c>
      <c r="K138" s="6" t="s">
        <v>48</v>
      </c>
      <c r="L138" s="6" t="s">
        <v>54</v>
      </c>
      <c r="M138" s="6" t="s">
        <v>29</v>
      </c>
      <c r="N138" s="6" t="s">
        <v>28</v>
      </c>
      <c r="O138" s="6" t="s">
        <v>26</v>
      </c>
      <c r="P138" s="6" t="s">
        <v>48</v>
      </c>
      <c r="Q138" s="6" t="s">
        <v>48</v>
      </c>
      <c r="R138" s="6" t="s">
        <v>49</v>
      </c>
      <c r="S138" s="6" t="s">
        <v>54</v>
      </c>
      <c r="T138" s="6" t="s">
        <v>29</v>
      </c>
      <c r="U138" s="6" t="s">
        <v>28</v>
      </c>
      <c r="V138" s="6" t="s">
        <v>137</v>
      </c>
      <c r="W138" t="s">
        <v>353</v>
      </c>
    </row>
    <row r="139" spans="1:23" x14ac:dyDescent="0.3">
      <c r="A139" s="6" t="s">
        <v>258</v>
      </c>
      <c r="B139" s="1">
        <v>45700</v>
      </c>
      <c r="C139" s="6" t="s">
        <v>33</v>
      </c>
      <c r="D139" s="6" t="s">
        <v>22</v>
      </c>
      <c r="E139" s="6" t="s">
        <v>64</v>
      </c>
      <c r="F139" s="6" t="s">
        <v>24</v>
      </c>
      <c r="G139" s="6" t="s">
        <v>69</v>
      </c>
      <c r="H139" s="6" t="s">
        <v>26</v>
      </c>
      <c r="I139" s="6" t="s">
        <v>42</v>
      </c>
      <c r="J139" s="6" t="s">
        <v>22</v>
      </c>
      <c r="K139" s="6" t="s">
        <v>48</v>
      </c>
      <c r="L139" s="6" t="s">
        <v>54</v>
      </c>
      <c r="M139" s="6" t="s">
        <v>32</v>
      </c>
      <c r="N139" s="6" t="s">
        <v>28</v>
      </c>
      <c r="O139" s="6" t="s">
        <v>30</v>
      </c>
      <c r="P139" s="6" t="s">
        <v>788</v>
      </c>
      <c r="Q139" s="6" t="s">
        <v>48</v>
      </c>
      <c r="R139" s="6" t="s">
        <v>22</v>
      </c>
      <c r="S139" s="6" t="s">
        <v>54</v>
      </c>
      <c r="T139" s="6" t="s">
        <v>48</v>
      </c>
      <c r="U139" s="6" t="s">
        <v>28</v>
      </c>
      <c r="V139" s="6" t="s">
        <v>82</v>
      </c>
      <c r="W139" t="s">
        <v>353</v>
      </c>
    </row>
    <row r="140" spans="1:23" x14ac:dyDescent="0.3">
      <c r="A140" s="6" t="s">
        <v>259</v>
      </c>
      <c r="B140" s="1">
        <v>45700</v>
      </c>
      <c r="C140" s="6" t="s">
        <v>33</v>
      </c>
      <c r="D140" s="6" t="s">
        <v>43</v>
      </c>
      <c r="E140" s="6" t="s">
        <v>64</v>
      </c>
      <c r="F140" s="6" t="s">
        <v>24</v>
      </c>
      <c r="G140" s="6" t="s">
        <v>97</v>
      </c>
      <c r="H140" s="6" t="s">
        <v>26</v>
      </c>
      <c r="I140" s="6" t="s">
        <v>27</v>
      </c>
      <c r="J140" s="6" t="s">
        <v>43</v>
      </c>
      <c r="K140" s="6" t="s">
        <v>48</v>
      </c>
      <c r="L140" s="6" t="s">
        <v>54</v>
      </c>
      <c r="M140" s="6" t="s">
        <v>29</v>
      </c>
      <c r="N140" s="6" t="s">
        <v>28</v>
      </c>
      <c r="O140" s="6" t="s">
        <v>26</v>
      </c>
      <c r="P140" s="6" t="s">
        <v>48</v>
      </c>
      <c r="Q140" s="6" t="s">
        <v>48</v>
      </c>
      <c r="R140" s="6" t="s">
        <v>49</v>
      </c>
      <c r="S140" s="6" t="s">
        <v>54</v>
      </c>
      <c r="T140" s="6" t="s">
        <v>29</v>
      </c>
      <c r="U140" s="6" t="s">
        <v>28</v>
      </c>
      <c r="V140" s="6" t="s">
        <v>146</v>
      </c>
      <c r="W140" t="s">
        <v>353</v>
      </c>
    </row>
    <row r="141" spans="1:23" x14ac:dyDescent="0.3">
      <c r="A141" s="6" t="s">
        <v>260</v>
      </c>
      <c r="B141" s="1">
        <v>45700</v>
      </c>
      <c r="C141" s="6" t="s">
        <v>33</v>
      </c>
      <c r="D141" s="6" t="s">
        <v>43</v>
      </c>
      <c r="E141" s="6" t="s">
        <v>68</v>
      </c>
      <c r="F141" s="6" t="s">
        <v>24</v>
      </c>
      <c r="G141" s="6" t="s">
        <v>97</v>
      </c>
      <c r="H141" s="6" t="s">
        <v>26</v>
      </c>
      <c r="I141" s="6" t="s">
        <v>27</v>
      </c>
      <c r="J141" s="6" t="s">
        <v>43</v>
      </c>
      <c r="K141" s="6" t="s">
        <v>48</v>
      </c>
      <c r="L141" s="6" t="s">
        <v>152</v>
      </c>
      <c r="M141" s="6" t="s">
        <v>29</v>
      </c>
      <c r="N141" s="6" t="s">
        <v>28</v>
      </c>
      <c r="O141" s="6" t="s">
        <v>26</v>
      </c>
      <c r="P141" s="6" t="s">
        <v>27</v>
      </c>
      <c r="Q141" s="6" t="s">
        <v>31</v>
      </c>
      <c r="R141" s="6" t="s">
        <v>22</v>
      </c>
      <c r="S141" s="6" t="s">
        <v>54</v>
      </c>
      <c r="T141" s="6" t="s">
        <v>29</v>
      </c>
      <c r="U141" s="6" t="s">
        <v>28</v>
      </c>
      <c r="V141" s="6" t="s">
        <v>82</v>
      </c>
      <c r="W141" t="s">
        <v>353</v>
      </c>
    </row>
    <row r="142" spans="1:23" x14ac:dyDescent="0.3">
      <c r="A142" s="6" t="s">
        <v>261</v>
      </c>
      <c r="B142" s="1">
        <v>45701</v>
      </c>
      <c r="C142" s="6" t="s">
        <v>343</v>
      </c>
      <c r="D142" s="6" t="s">
        <v>43</v>
      </c>
      <c r="E142" s="6" t="s">
        <v>68</v>
      </c>
      <c r="F142" s="6" t="s">
        <v>24</v>
      </c>
      <c r="G142" s="6" t="s">
        <v>97</v>
      </c>
      <c r="H142" s="6" t="s">
        <v>26</v>
      </c>
      <c r="I142" s="6" t="s">
        <v>27</v>
      </c>
      <c r="J142" s="6" t="s">
        <v>49</v>
      </c>
      <c r="K142" s="6" t="s">
        <v>48</v>
      </c>
      <c r="L142" s="6" t="s">
        <v>54</v>
      </c>
      <c r="M142" s="6" t="s">
        <v>48</v>
      </c>
      <c r="N142" s="6" t="s">
        <v>28</v>
      </c>
      <c r="O142" s="6" t="s">
        <v>26</v>
      </c>
      <c r="P142" s="6" t="s">
        <v>27</v>
      </c>
      <c r="Q142" s="6" t="s">
        <v>48</v>
      </c>
      <c r="R142" s="6" t="s">
        <v>49</v>
      </c>
      <c r="S142" s="6" t="s">
        <v>54</v>
      </c>
      <c r="T142" s="6" t="s">
        <v>32</v>
      </c>
      <c r="U142" s="6" t="s">
        <v>28</v>
      </c>
      <c r="V142" s="6" t="s">
        <v>82</v>
      </c>
      <c r="W142" t="s">
        <v>353</v>
      </c>
    </row>
    <row r="143" spans="1:23" x14ac:dyDescent="0.3">
      <c r="A143" s="6" t="s">
        <v>261</v>
      </c>
      <c r="B143" s="1">
        <v>45701</v>
      </c>
      <c r="C143" s="6" t="s">
        <v>343</v>
      </c>
      <c r="D143" s="6" t="s">
        <v>43</v>
      </c>
      <c r="E143" s="6" t="s">
        <v>68</v>
      </c>
      <c r="F143" s="6" t="s">
        <v>24</v>
      </c>
      <c r="G143" s="6" t="s">
        <v>97</v>
      </c>
      <c r="H143" s="6" t="s">
        <v>26</v>
      </c>
      <c r="I143" s="6" t="s">
        <v>27</v>
      </c>
      <c r="J143" s="6" t="s">
        <v>49</v>
      </c>
      <c r="K143" s="6" t="s">
        <v>48</v>
      </c>
      <c r="L143" s="6" t="s">
        <v>54</v>
      </c>
      <c r="M143" s="6" t="s">
        <v>48</v>
      </c>
      <c r="N143" s="6" t="s">
        <v>28</v>
      </c>
      <c r="O143" s="6" t="s">
        <v>26</v>
      </c>
      <c r="P143" s="6" t="s">
        <v>27</v>
      </c>
      <c r="Q143" s="6" t="s">
        <v>48</v>
      </c>
      <c r="R143" s="6" t="s">
        <v>49</v>
      </c>
      <c r="S143" s="6" t="s">
        <v>54</v>
      </c>
      <c r="T143" s="6" t="s">
        <v>32</v>
      </c>
      <c r="U143" s="6" t="s">
        <v>28</v>
      </c>
      <c r="V143" s="6" t="s">
        <v>146</v>
      </c>
      <c r="W143" t="s">
        <v>353</v>
      </c>
    </row>
    <row r="144" spans="1:23" x14ac:dyDescent="0.3">
      <c r="A144" s="6" t="s">
        <v>262</v>
      </c>
      <c r="B144" s="1">
        <v>45701</v>
      </c>
      <c r="C144" s="6" t="s">
        <v>33</v>
      </c>
      <c r="D144" s="6" t="s">
        <v>43</v>
      </c>
      <c r="E144" s="6" t="s">
        <v>73</v>
      </c>
      <c r="F144" s="6" t="s">
        <v>24</v>
      </c>
      <c r="G144" s="6" t="s">
        <v>97</v>
      </c>
      <c r="H144" s="6" t="s">
        <v>26</v>
      </c>
      <c r="I144" s="6" t="s">
        <v>27</v>
      </c>
      <c r="J144" s="6" t="s">
        <v>43</v>
      </c>
      <c r="K144" s="6" t="s">
        <v>48</v>
      </c>
      <c r="L144" s="6" t="s">
        <v>103</v>
      </c>
      <c r="M144" s="6" t="s">
        <v>29</v>
      </c>
      <c r="N144" s="6" t="s">
        <v>28</v>
      </c>
      <c r="O144" s="6" t="s">
        <v>26</v>
      </c>
      <c r="P144" s="6" t="s">
        <v>48</v>
      </c>
      <c r="Q144" s="6" t="s">
        <v>31</v>
      </c>
      <c r="R144" s="6" t="s">
        <v>49</v>
      </c>
      <c r="S144" s="6" t="s">
        <v>54</v>
      </c>
      <c r="T144" s="6" t="s">
        <v>29</v>
      </c>
      <c r="U144" s="6" t="s">
        <v>28</v>
      </c>
      <c r="V144" s="6" t="s">
        <v>146</v>
      </c>
      <c r="W144" t="s">
        <v>353</v>
      </c>
    </row>
    <row r="145" spans="1:23" x14ac:dyDescent="0.3">
      <c r="A145" s="6" t="s">
        <v>263</v>
      </c>
      <c r="B145" s="1">
        <v>45701</v>
      </c>
      <c r="C145" s="6" t="s">
        <v>343</v>
      </c>
      <c r="D145" s="6" t="s">
        <v>43</v>
      </c>
      <c r="E145" s="6" t="s">
        <v>35</v>
      </c>
      <c r="F145" s="6" t="s">
        <v>24</v>
      </c>
      <c r="G145" s="6" t="s">
        <v>47</v>
      </c>
      <c r="H145" s="6" t="s">
        <v>48</v>
      </c>
      <c r="I145" s="6" t="s">
        <v>58</v>
      </c>
      <c r="J145" s="6" t="s">
        <v>43</v>
      </c>
      <c r="K145" s="6" t="s">
        <v>48</v>
      </c>
      <c r="L145" s="6" t="s">
        <v>54</v>
      </c>
      <c r="M145" s="6" t="s">
        <v>48</v>
      </c>
      <c r="N145" s="6" t="s">
        <v>28</v>
      </c>
      <c r="O145" s="6" t="s">
        <v>48</v>
      </c>
      <c r="P145" s="6" t="s">
        <v>48</v>
      </c>
      <c r="Q145" s="6" t="s">
        <v>48</v>
      </c>
      <c r="R145" s="6" t="s">
        <v>43</v>
      </c>
      <c r="S145" s="6" t="s">
        <v>54</v>
      </c>
      <c r="T145" s="6" t="s">
        <v>48</v>
      </c>
      <c r="U145" s="6" t="s">
        <v>94</v>
      </c>
      <c r="V145" s="6" t="s">
        <v>82</v>
      </c>
      <c r="W145" t="s">
        <v>353</v>
      </c>
    </row>
    <row r="146" spans="1:23" x14ac:dyDescent="0.3">
      <c r="A146" s="6" t="s">
        <v>264</v>
      </c>
      <c r="B146" s="1">
        <v>45703</v>
      </c>
      <c r="C146" s="6" t="s">
        <v>21</v>
      </c>
      <c r="D146" s="6" t="s">
        <v>60</v>
      </c>
      <c r="E146" s="6" t="s">
        <v>64</v>
      </c>
      <c r="F146" s="6" t="s">
        <v>24</v>
      </c>
      <c r="G146" s="6" t="s">
        <v>69</v>
      </c>
      <c r="H146" s="6" t="s">
        <v>26</v>
      </c>
      <c r="I146" s="6" t="s">
        <v>42</v>
      </c>
      <c r="J146" s="6" t="s">
        <v>60</v>
      </c>
      <c r="K146" s="6" t="s">
        <v>48</v>
      </c>
      <c r="L146" s="6" t="s">
        <v>54</v>
      </c>
      <c r="M146" s="6" t="s">
        <v>55</v>
      </c>
      <c r="N146" s="6" t="s">
        <v>28</v>
      </c>
      <c r="O146" s="6" t="s">
        <v>30</v>
      </c>
      <c r="P146" s="6" t="s">
        <v>788</v>
      </c>
      <c r="Q146" s="6" t="s">
        <v>31</v>
      </c>
      <c r="R146" s="6" t="s">
        <v>60</v>
      </c>
      <c r="S146" s="6" t="s">
        <v>54</v>
      </c>
      <c r="T146" s="6" t="s">
        <v>55</v>
      </c>
      <c r="U146" s="6" t="s">
        <v>28</v>
      </c>
      <c r="V146" s="6" t="s">
        <v>82</v>
      </c>
      <c r="W146" t="s">
        <v>353</v>
      </c>
    </row>
    <row r="147" spans="1:23" x14ac:dyDescent="0.3">
      <c r="A147" s="6" t="s">
        <v>265</v>
      </c>
      <c r="B147" s="1">
        <v>45704</v>
      </c>
      <c r="C147" s="6" t="s">
        <v>33</v>
      </c>
      <c r="D147" s="6" t="s">
        <v>22</v>
      </c>
      <c r="E147" s="6" t="s">
        <v>23</v>
      </c>
      <c r="F147" s="6" t="s">
        <v>24</v>
      </c>
      <c r="G147" s="6" t="s">
        <v>69</v>
      </c>
      <c r="H147" s="6" t="s">
        <v>26</v>
      </c>
      <c r="I147" s="6" t="s">
        <v>38</v>
      </c>
      <c r="J147" s="6" t="s">
        <v>22</v>
      </c>
      <c r="K147" s="6" t="s">
        <v>133</v>
      </c>
      <c r="L147" s="6" t="s">
        <v>152</v>
      </c>
      <c r="M147" s="6" t="s">
        <v>32</v>
      </c>
      <c r="N147" s="6" t="s">
        <v>28</v>
      </c>
      <c r="O147" s="6" t="s">
        <v>48</v>
      </c>
      <c r="P147" s="6" t="s">
        <v>48</v>
      </c>
      <c r="Q147" s="6" t="s">
        <v>48</v>
      </c>
      <c r="R147" s="6" t="s">
        <v>22</v>
      </c>
      <c r="S147" s="6" t="s">
        <v>54</v>
      </c>
      <c r="T147" s="6" t="s">
        <v>48</v>
      </c>
      <c r="U147" s="6" t="s">
        <v>28</v>
      </c>
      <c r="V147" s="6" t="s">
        <v>137</v>
      </c>
      <c r="W147" t="s">
        <v>353</v>
      </c>
    </row>
    <row r="148" spans="1:23" x14ac:dyDescent="0.3">
      <c r="A148" s="6" t="s">
        <v>265</v>
      </c>
      <c r="B148" s="1">
        <v>45704</v>
      </c>
      <c r="C148" s="6" t="s">
        <v>33</v>
      </c>
      <c r="D148" s="6" t="s">
        <v>22</v>
      </c>
      <c r="E148" s="6" t="s">
        <v>23</v>
      </c>
      <c r="F148" s="6" t="s">
        <v>24</v>
      </c>
      <c r="G148" s="6" t="s">
        <v>69</v>
      </c>
      <c r="H148" s="6" t="s">
        <v>26</v>
      </c>
      <c r="I148" s="6" t="s">
        <v>38</v>
      </c>
      <c r="J148" s="6" t="s">
        <v>22</v>
      </c>
      <c r="K148" s="6" t="s">
        <v>133</v>
      </c>
      <c r="L148" s="6" t="s">
        <v>152</v>
      </c>
      <c r="M148" s="6" t="s">
        <v>32</v>
      </c>
      <c r="N148" s="6" t="s">
        <v>28</v>
      </c>
      <c r="O148" s="6" t="s">
        <v>48</v>
      </c>
      <c r="P148" s="6" t="s">
        <v>48</v>
      </c>
      <c r="Q148" s="6" t="s">
        <v>48</v>
      </c>
      <c r="R148" s="6" t="s">
        <v>22</v>
      </c>
      <c r="S148" s="6" t="s">
        <v>54</v>
      </c>
      <c r="T148" s="6" t="s">
        <v>48</v>
      </c>
      <c r="U148" s="6" t="s">
        <v>28</v>
      </c>
      <c r="V148" s="6" t="s">
        <v>82</v>
      </c>
      <c r="W148" t="s">
        <v>353</v>
      </c>
    </row>
    <row r="149" spans="1:23" x14ac:dyDescent="0.3">
      <c r="A149" s="6" t="s">
        <v>265</v>
      </c>
      <c r="B149" s="1">
        <v>45704</v>
      </c>
      <c r="C149" s="6" t="s">
        <v>33</v>
      </c>
      <c r="D149" s="6" t="s">
        <v>22</v>
      </c>
      <c r="E149" s="6" t="s">
        <v>23</v>
      </c>
      <c r="F149" s="6" t="s">
        <v>24</v>
      </c>
      <c r="G149" s="6" t="s">
        <v>69</v>
      </c>
      <c r="H149" s="6" t="s">
        <v>26</v>
      </c>
      <c r="I149" s="6" t="s">
        <v>38</v>
      </c>
      <c r="J149" s="6" t="s">
        <v>22</v>
      </c>
      <c r="K149" s="6" t="s">
        <v>133</v>
      </c>
      <c r="L149" s="6" t="s">
        <v>152</v>
      </c>
      <c r="M149" s="6" t="s">
        <v>32</v>
      </c>
      <c r="N149" s="6" t="s">
        <v>28</v>
      </c>
      <c r="O149" s="6" t="s">
        <v>48</v>
      </c>
      <c r="P149" s="6" t="s">
        <v>48</v>
      </c>
      <c r="Q149" s="6" t="s">
        <v>48</v>
      </c>
      <c r="R149" s="6" t="s">
        <v>22</v>
      </c>
      <c r="S149" s="6" t="s">
        <v>54</v>
      </c>
      <c r="T149" s="6" t="s">
        <v>48</v>
      </c>
      <c r="U149" s="6" t="s">
        <v>28</v>
      </c>
      <c r="V149" s="6" t="s">
        <v>146</v>
      </c>
      <c r="W149" t="s">
        <v>353</v>
      </c>
    </row>
    <row r="150" spans="1:23" x14ac:dyDescent="0.3">
      <c r="A150" s="6" t="s">
        <v>266</v>
      </c>
      <c r="B150" s="1">
        <v>45704</v>
      </c>
      <c r="C150" s="6" t="s">
        <v>343</v>
      </c>
      <c r="D150" s="6" t="s">
        <v>22</v>
      </c>
      <c r="E150" s="6" t="s">
        <v>35</v>
      </c>
      <c r="F150" s="6" t="s">
        <v>24</v>
      </c>
      <c r="G150" s="6" t="s">
        <v>86</v>
      </c>
      <c r="H150" s="6" t="s">
        <v>48</v>
      </c>
      <c r="I150" s="6" t="s">
        <v>100</v>
      </c>
      <c r="J150" s="6" t="s">
        <v>49</v>
      </c>
      <c r="K150" s="6" t="s">
        <v>48</v>
      </c>
      <c r="L150" s="6" t="s">
        <v>54</v>
      </c>
      <c r="M150" s="6" t="s">
        <v>48</v>
      </c>
      <c r="N150" s="6" t="s">
        <v>28</v>
      </c>
      <c r="O150" s="6" t="s">
        <v>48</v>
      </c>
      <c r="P150" s="6" t="s">
        <v>48</v>
      </c>
      <c r="Q150" s="6" t="s">
        <v>48</v>
      </c>
      <c r="R150" s="6" t="s">
        <v>22</v>
      </c>
      <c r="S150" s="6" t="s">
        <v>54</v>
      </c>
      <c r="T150" s="6" t="s">
        <v>48</v>
      </c>
      <c r="U150" s="6" t="s">
        <v>94</v>
      </c>
      <c r="V150" s="6" t="s">
        <v>82</v>
      </c>
      <c r="W150" t="s">
        <v>353</v>
      </c>
    </row>
    <row r="151" spans="1:23" x14ac:dyDescent="0.3">
      <c r="A151" s="6" t="s">
        <v>267</v>
      </c>
      <c r="B151" s="1">
        <v>45706</v>
      </c>
      <c r="C151" s="6" t="s">
        <v>343</v>
      </c>
      <c r="D151" s="6" t="s">
        <v>40</v>
      </c>
      <c r="E151" s="6" t="s">
        <v>64</v>
      </c>
      <c r="F151" s="6" t="s">
        <v>24</v>
      </c>
      <c r="G151" s="6" t="s">
        <v>51</v>
      </c>
      <c r="H151" s="6" t="s">
        <v>48</v>
      </c>
      <c r="I151" s="6" t="s">
        <v>38</v>
      </c>
      <c r="J151" s="6" t="s">
        <v>40</v>
      </c>
      <c r="K151" s="6" t="s">
        <v>48</v>
      </c>
      <c r="L151" s="6" t="s">
        <v>54</v>
      </c>
      <c r="M151" s="6" t="s">
        <v>48</v>
      </c>
      <c r="N151" s="6" t="s">
        <v>28</v>
      </c>
      <c r="O151" s="6" t="s">
        <v>48</v>
      </c>
      <c r="P151" s="6" t="s">
        <v>48</v>
      </c>
      <c r="Q151" s="6" t="s">
        <v>48</v>
      </c>
      <c r="R151" s="6" t="s">
        <v>40</v>
      </c>
      <c r="S151" s="6" t="s">
        <v>54</v>
      </c>
      <c r="T151" s="6" t="s">
        <v>48</v>
      </c>
      <c r="U151" s="6" t="s">
        <v>119</v>
      </c>
      <c r="V151" s="6" t="s">
        <v>82</v>
      </c>
      <c r="W151" t="s">
        <v>353</v>
      </c>
    </row>
    <row r="152" spans="1:23" x14ac:dyDescent="0.3">
      <c r="A152" s="6" t="s">
        <v>267</v>
      </c>
      <c r="B152" s="1">
        <v>45706</v>
      </c>
      <c r="C152" s="6" t="s">
        <v>343</v>
      </c>
      <c r="D152" s="6" t="s">
        <v>40</v>
      </c>
      <c r="E152" s="6" t="s">
        <v>64</v>
      </c>
      <c r="F152" s="6" t="s">
        <v>24</v>
      </c>
      <c r="G152" s="6" t="s">
        <v>51</v>
      </c>
      <c r="H152" s="6" t="s">
        <v>48</v>
      </c>
      <c r="I152" s="6" t="s">
        <v>38</v>
      </c>
      <c r="J152" s="6" t="s">
        <v>40</v>
      </c>
      <c r="K152" s="6" t="s">
        <v>48</v>
      </c>
      <c r="L152" s="6" t="s">
        <v>54</v>
      </c>
      <c r="M152" s="6" t="s">
        <v>48</v>
      </c>
      <c r="N152" s="6" t="s">
        <v>28</v>
      </c>
      <c r="O152" s="6" t="s">
        <v>48</v>
      </c>
      <c r="P152" s="6" t="s">
        <v>48</v>
      </c>
      <c r="Q152" s="6" t="s">
        <v>48</v>
      </c>
      <c r="R152" s="6" t="s">
        <v>40</v>
      </c>
      <c r="S152" s="6" t="s">
        <v>54</v>
      </c>
      <c r="T152" s="6" t="s">
        <v>48</v>
      </c>
      <c r="U152" s="6" t="s">
        <v>119</v>
      </c>
      <c r="V152" s="6" t="s">
        <v>146</v>
      </c>
      <c r="W152" t="s">
        <v>353</v>
      </c>
    </row>
    <row r="153" spans="1:23" x14ac:dyDescent="0.3">
      <c r="A153" s="6" t="s">
        <v>268</v>
      </c>
      <c r="B153" s="1">
        <v>45706</v>
      </c>
      <c r="C153" s="6" t="s">
        <v>343</v>
      </c>
      <c r="D153" s="6" t="s">
        <v>40</v>
      </c>
      <c r="E153" s="6" t="s">
        <v>64</v>
      </c>
      <c r="F153" s="6" t="s">
        <v>24</v>
      </c>
      <c r="G153" s="6" t="s">
        <v>51</v>
      </c>
      <c r="H153" s="6" t="s">
        <v>48</v>
      </c>
      <c r="I153" s="6" t="s">
        <v>38</v>
      </c>
      <c r="J153" s="6" t="s">
        <v>40</v>
      </c>
      <c r="K153" s="6" t="s">
        <v>48</v>
      </c>
      <c r="L153" s="6" t="s">
        <v>54</v>
      </c>
      <c r="M153" s="6" t="s">
        <v>48</v>
      </c>
      <c r="N153" s="6" t="s">
        <v>28</v>
      </c>
      <c r="O153" s="6" t="s">
        <v>48</v>
      </c>
      <c r="P153" s="6" t="s">
        <v>48</v>
      </c>
      <c r="Q153" s="6" t="s">
        <v>48</v>
      </c>
      <c r="R153" s="6" t="s">
        <v>40</v>
      </c>
      <c r="S153" s="6" t="s">
        <v>54</v>
      </c>
      <c r="T153" s="6" t="s">
        <v>48</v>
      </c>
      <c r="U153" s="6" t="s">
        <v>119</v>
      </c>
      <c r="V153" s="6" t="s">
        <v>82</v>
      </c>
      <c r="W153" t="s">
        <v>353</v>
      </c>
    </row>
    <row r="154" spans="1:23" x14ac:dyDescent="0.3">
      <c r="A154" s="6" t="s">
        <v>268</v>
      </c>
      <c r="B154" s="1">
        <v>45706</v>
      </c>
      <c r="C154" s="6" t="s">
        <v>343</v>
      </c>
      <c r="D154" s="6" t="s">
        <v>40</v>
      </c>
      <c r="E154" s="6" t="s">
        <v>64</v>
      </c>
      <c r="F154" s="6" t="s">
        <v>24</v>
      </c>
      <c r="G154" s="6" t="s">
        <v>51</v>
      </c>
      <c r="H154" s="6" t="s">
        <v>48</v>
      </c>
      <c r="I154" s="6" t="s">
        <v>38</v>
      </c>
      <c r="J154" s="6" t="s">
        <v>40</v>
      </c>
      <c r="K154" s="6" t="s">
        <v>48</v>
      </c>
      <c r="L154" s="6" t="s">
        <v>54</v>
      </c>
      <c r="M154" s="6" t="s">
        <v>48</v>
      </c>
      <c r="N154" s="6" t="s">
        <v>28</v>
      </c>
      <c r="O154" s="6" t="s">
        <v>48</v>
      </c>
      <c r="P154" s="6" t="s">
        <v>48</v>
      </c>
      <c r="Q154" s="6" t="s">
        <v>48</v>
      </c>
      <c r="R154" s="6" t="s">
        <v>40</v>
      </c>
      <c r="S154" s="6" t="s">
        <v>54</v>
      </c>
      <c r="T154" s="6" t="s">
        <v>48</v>
      </c>
      <c r="U154" s="6" t="s">
        <v>119</v>
      </c>
      <c r="V154" s="6" t="s">
        <v>146</v>
      </c>
      <c r="W154" t="s">
        <v>353</v>
      </c>
    </row>
    <row r="155" spans="1:23" x14ac:dyDescent="0.3">
      <c r="A155" s="6" t="s">
        <v>269</v>
      </c>
      <c r="B155" s="1">
        <v>45707</v>
      </c>
      <c r="C155" s="6" t="s">
        <v>343</v>
      </c>
      <c r="D155" s="6" t="s">
        <v>48</v>
      </c>
      <c r="E155" s="6" t="s">
        <v>68</v>
      </c>
      <c r="F155" s="6" t="s">
        <v>24</v>
      </c>
      <c r="G155" s="6" t="s">
        <v>61</v>
      </c>
      <c r="H155" s="6" t="s">
        <v>48</v>
      </c>
      <c r="I155" s="6" t="s">
        <v>48</v>
      </c>
      <c r="J155" s="6" t="s">
        <v>49</v>
      </c>
      <c r="K155" s="6" t="s">
        <v>48</v>
      </c>
      <c r="L155" s="6" t="s">
        <v>54</v>
      </c>
      <c r="M155" s="6" t="s">
        <v>48</v>
      </c>
      <c r="N155" s="6" t="s">
        <v>28</v>
      </c>
      <c r="O155" s="6" t="s">
        <v>26</v>
      </c>
      <c r="P155" s="6" t="s">
        <v>42</v>
      </c>
      <c r="Q155" s="6" t="s">
        <v>31</v>
      </c>
      <c r="R155" s="6" t="s">
        <v>70</v>
      </c>
      <c r="S155" s="6" t="s">
        <v>54</v>
      </c>
      <c r="T155" s="6" t="s">
        <v>32</v>
      </c>
      <c r="U155" s="6" t="s">
        <v>28</v>
      </c>
      <c r="V155" s="6" t="s">
        <v>82</v>
      </c>
      <c r="W155" t="s">
        <v>353</v>
      </c>
    </row>
    <row r="156" spans="1:23" x14ac:dyDescent="0.3">
      <c r="A156" s="6" t="s">
        <v>270</v>
      </c>
      <c r="B156" s="1">
        <v>45708</v>
      </c>
      <c r="C156" s="6" t="s">
        <v>21</v>
      </c>
      <c r="D156" s="6" t="s">
        <v>117</v>
      </c>
      <c r="E156" s="6" t="s">
        <v>46</v>
      </c>
      <c r="F156" s="6" t="s">
        <v>24</v>
      </c>
      <c r="G156" s="6" t="s">
        <v>111</v>
      </c>
      <c r="H156" s="6" t="s">
        <v>26</v>
      </c>
      <c r="I156" s="6" t="s">
        <v>100</v>
      </c>
      <c r="J156" s="6" t="s">
        <v>117</v>
      </c>
      <c r="K156" s="6" t="s">
        <v>48</v>
      </c>
      <c r="L156" s="6" t="s">
        <v>54</v>
      </c>
      <c r="M156" s="6" t="s">
        <v>48</v>
      </c>
      <c r="N156" s="6" t="s">
        <v>28</v>
      </c>
      <c r="O156" s="6" t="s">
        <v>30</v>
      </c>
      <c r="P156" s="6" t="s">
        <v>48</v>
      </c>
      <c r="Q156" s="6" t="s">
        <v>48</v>
      </c>
      <c r="R156" s="6" t="s">
        <v>117</v>
      </c>
      <c r="S156" s="6" t="s">
        <v>54</v>
      </c>
      <c r="T156" s="6" t="s">
        <v>48</v>
      </c>
      <c r="U156" s="6" t="s">
        <v>28</v>
      </c>
      <c r="V156" s="6" t="s">
        <v>137</v>
      </c>
      <c r="W156" t="s">
        <v>353</v>
      </c>
    </row>
    <row r="157" spans="1:23" x14ac:dyDescent="0.3">
      <c r="A157" s="6" t="s">
        <v>271</v>
      </c>
      <c r="B157" s="1">
        <v>45708</v>
      </c>
      <c r="C157" s="6" t="s">
        <v>21</v>
      </c>
      <c r="D157" s="6" t="s">
        <v>117</v>
      </c>
      <c r="E157" s="6" t="s">
        <v>46</v>
      </c>
      <c r="F157" s="6" t="s">
        <v>24</v>
      </c>
      <c r="G157" s="6" t="s">
        <v>111</v>
      </c>
      <c r="H157" s="6" t="s">
        <v>26</v>
      </c>
      <c r="I157" s="6" t="s">
        <v>100</v>
      </c>
      <c r="J157" s="6" t="s">
        <v>117</v>
      </c>
      <c r="K157" s="6" t="s">
        <v>48</v>
      </c>
      <c r="L157" s="6" t="s">
        <v>54</v>
      </c>
      <c r="M157" s="6" t="s">
        <v>48</v>
      </c>
      <c r="N157" s="6" t="s">
        <v>28</v>
      </c>
      <c r="O157" s="6" t="s">
        <v>26</v>
      </c>
      <c r="P157" s="6" t="s">
        <v>48</v>
      </c>
      <c r="Q157" s="6" t="s">
        <v>48</v>
      </c>
      <c r="R157" s="6" t="s">
        <v>117</v>
      </c>
      <c r="S157" s="6" t="s">
        <v>54</v>
      </c>
      <c r="T157" s="6" t="s">
        <v>48</v>
      </c>
      <c r="U157" s="6" t="s">
        <v>28</v>
      </c>
      <c r="V157" s="6" t="s">
        <v>137</v>
      </c>
      <c r="W157" t="s">
        <v>353</v>
      </c>
    </row>
    <row r="158" spans="1:23" x14ac:dyDescent="0.3">
      <c r="A158" s="6" t="s">
        <v>272</v>
      </c>
      <c r="B158" s="1">
        <v>45709</v>
      </c>
      <c r="C158" s="6" t="s">
        <v>343</v>
      </c>
      <c r="D158" s="6" t="s">
        <v>22</v>
      </c>
      <c r="E158" s="6" t="s">
        <v>44</v>
      </c>
      <c r="F158" s="6" t="s">
        <v>24</v>
      </c>
      <c r="G158" s="6" t="s">
        <v>69</v>
      </c>
      <c r="H158" s="6" t="s">
        <v>26</v>
      </c>
      <c r="I158" s="6" t="s">
        <v>52</v>
      </c>
      <c r="J158" s="6" t="s">
        <v>22</v>
      </c>
      <c r="K158" s="6" t="s">
        <v>76</v>
      </c>
      <c r="L158" s="6" t="s">
        <v>54</v>
      </c>
      <c r="M158" s="6" t="s">
        <v>55</v>
      </c>
      <c r="N158" s="6" t="s">
        <v>28</v>
      </c>
      <c r="O158" s="6" t="s">
        <v>30</v>
      </c>
      <c r="P158" s="6" t="s">
        <v>788</v>
      </c>
      <c r="Q158" s="6" t="s">
        <v>31</v>
      </c>
      <c r="R158" s="6" t="s">
        <v>22</v>
      </c>
      <c r="S158" s="6" t="s">
        <v>54</v>
      </c>
      <c r="T158" s="6" t="s">
        <v>32</v>
      </c>
      <c r="U158" s="6" t="s">
        <v>28</v>
      </c>
      <c r="V158" s="6" t="s">
        <v>82</v>
      </c>
      <c r="W158" t="s">
        <v>353</v>
      </c>
    </row>
    <row r="159" spans="1:23" x14ac:dyDescent="0.3">
      <c r="A159" s="6" t="s">
        <v>273</v>
      </c>
      <c r="B159" s="1">
        <v>45711</v>
      </c>
      <c r="C159" s="6" t="s">
        <v>33</v>
      </c>
      <c r="D159" s="6" t="s">
        <v>22</v>
      </c>
      <c r="E159" s="6" t="s">
        <v>68</v>
      </c>
      <c r="F159" s="6" t="s">
        <v>24</v>
      </c>
      <c r="G159" s="6" t="s">
        <v>61</v>
      </c>
      <c r="H159" s="6" t="s">
        <v>26</v>
      </c>
      <c r="I159" s="6" t="s">
        <v>52</v>
      </c>
      <c r="J159" s="6" t="s">
        <v>22</v>
      </c>
      <c r="K159" s="6" t="s">
        <v>48</v>
      </c>
      <c r="L159" s="6" t="s">
        <v>54</v>
      </c>
      <c r="M159" s="6" t="s">
        <v>48</v>
      </c>
      <c r="N159" s="6" t="s">
        <v>28</v>
      </c>
      <c r="O159" s="6" t="s">
        <v>26</v>
      </c>
      <c r="P159" s="6" t="s">
        <v>27</v>
      </c>
      <c r="Q159" s="6" t="s">
        <v>31</v>
      </c>
      <c r="R159" s="6" t="s">
        <v>22</v>
      </c>
      <c r="S159" s="6" t="s">
        <v>54</v>
      </c>
      <c r="T159" s="6" t="s">
        <v>32</v>
      </c>
      <c r="U159" s="6" t="s">
        <v>28</v>
      </c>
      <c r="V159" s="6" t="s">
        <v>82</v>
      </c>
      <c r="W159" t="s">
        <v>353</v>
      </c>
    </row>
    <row r="160" spans="1:23" x14ac:dyDescent="0.3">
      <c r="A160" s="6" t="s">
        <v>274</v>
      </c>
      <c r="B160" s="1">
        <v>45712</v>
      </c>
      <c r="C160" s="6" t="s">
        <v>21</v>
      </c>
      <c r="D160" s="6" t="s">
        <v>22</v>
      </c>
      <c r="E160" s="6" t="s">
        <v>35</v>
      </c>
      <c r="F160" s="6" t="s">
        <v>24</v>
      </c>
      <c r="G160" s="6" t="s">
        <v>36</v>
      </c>
      <c r="H160" s="6" t="s">
        <v>26</v>
      </c>
      <c r="I160" s="6" t="s">
        <v>42</v>
      </c>
      <c r="J160" s="6" t="s">
        <v>22</v>
      </c>
      <c r="K160" s="6" t="s">
        <v>48</v>
      </c>
      <c r="L160" s="6" t="s">
        <v>54</v>
      </c>
      <c r="M160" s="6" t="s">
        <v>55</v>
      </c>
      <c r="N160" s="6" t="s">
        <v>28</v>
      </c>
      <c r="O160" s="6" t="s">
        <v>30</v>
      </c>
      <c r="P160" s="6" t="s">
        <v>52</v>
      </c>
      <c r="Q160" s="6" t="s">
        <v>31</v>
      </c>
      <c r="R160" s="6" t="s">
        <v>22</v>
      </c>
      <c r="S160" s="6" t="s">
        <v>54</v>
      </c>
      <c r="T160" s="6" t="s">
        <v>32</v>
      </c>
      <c r="U160" s="6" t="s">
        <v>28</v>
      </c>
      <c r="V160" s="6" t="s">
        <v>82</v>
      </c>
      <c r="W160" t="s">
        <v>353</v>
      </c>
    </row>
    <row r="161" spans="1:23" x14ac:dyDescent="0.3">
      <c r="A161" s="6" t="s">
        <v>274</v>
      </c>
      <c r="B161" s="1">
        <v>45712</v>
      </c>
      <c r="C161" s="6" t="s">
        <v>21</v>
      </c>
      <c r="D161" s="6" t="s">
        <v>22</v>
      </c>
      <c r="E161" s="6" t="s">
        <v>35</v>
      </c>
      <c r="F161" s="6" t="s">
        <v>24</v>
      </c>
      <c r="G161" s="6" t="s">
        <v>36</v>
      </c>
      <c r="H161" s="6" t="s">
        <v>26</v>
      </c>
      <c r="I161" s="6" t="s">
        <v>42</v>
      </c>
      <c r="J161" s="6" t="s">
        <v>22</v>
      </c>
      <c r="K161" s="6" t="s">
        <v>48</v>
      </c>
      <c r="L161" s="6" t="s">
        <v>54</v>
      </c>
      <c r="M161" s="6" t="s">
        <v>55</v>
      </c>
      <c r="N161" s="6" t="s">
        <v>28</v>
      </c>
      <c r="O161" s="6" t="s">
        <v>30</v>
      </c>
      <c r="P161" s="6" t="s">
        <v>52</v>
      </c>
      <c r="Q161" s="6" t="s">
        <v>31</v>
      </c>
      <c r="R161" s="6" t="s">
        <v>22</v>
      </c>
      <c r="S161" s="6" t="s">
        <v>54</v>
      </c>
      <c r="T161" s="6" t="s">
        <v>32</v>
      </c>
      <c r="U161" s="6" t="s">
        <v>28</v>
      </c>
      <c r="V161" s="6" t="s">
        <v>146</v>
      </c>
      <c r="W161" t="s">
        <v>353</v>
      </c>
    </row>
    <row r="162" spans="1:23" x14ac:dyDescent="0.3">
      <c r="A162" s="6" t="s">
        <v>275</v>
      </c>
      <c r="B162" s="1">
        <v>45712</v>
      </c>
      <c r="C162" s="6" t="s">
        <v>33</v>
      </c>
      <c r="D162" s="6" t="s">
        <v>22</v>
      </c>
      <c r="E162" s="6" t="s">
        <v>35</v>
      </c>
      <c r="F162" s="6" t="s">
        <v>24</v>
      </c>
      <c r="G162" s="6" t="s">
        <v>61</v>
      </c>
      <c r="H162" s="6" t="s">
        <v>26</v>
      </c>
      <c r="I162" s="6" t="s">
        <v>52</v>
      </c>
      <c r="J162" s="6" t="s">
        <v>22</v>
      </c>
      <c r="K162" s="6" t="s">
        <v>48</v>
      </c>
      <c r="L162" s="6" t="s">
        <v>54</v>
      </c>
      <c r="M162" s="6" t="s">
        <v>29</v>
      </c>
      <c r="N162" s="6" t="s">
        <v>28</v>
      </c>
      <c r="O162" s="6" t="s">
        <v>48</v>
      </c>
      <c r="P162" s="6" t="s">
        <v>48</v>
      </c>
      <c r="Q162" s="6" t="s">
        <v>48</v>
      </c>
      <c r="R162" s="6" t="s">
        <v>49</v>
      </c>
      <c r="S162" s="6" t="s">
        <v>54</v>
      </c>
      <c r="T162" s="6" t="s">
        <v>48</v>
      </c>
      <c r="U162" s="6" t="s">
        <v>99</v>
      </c>
      <c r="V162" s="6" t="s">
        <v>82</v>
      </c>
      <c r="W162" t="s">
        <v>353</v>
      </c>
    </row>
    <row r="163" spans="1:23" x14ac:dyDescent="0.3">
      <c r="A163" s="6" t="s">
        <v>277</v>
      </c>
      <c r="B163" s="1">
        <v>45712</v>
      </c>
      <c r="C163" s="6" t="s">
        <v>343</v>
      </c>
      <c r="D163" s="6" t="s">
        <v>48</v>
      </c>
      <c r="E163" s="6" t="s">
        <v>68</v>
      </c>
      <c r="F163" s="6" t="s">
        <v>24</v>
      </c>
      <c r="G163" s="6" t="s">
        <v>72</v>
      </c>
      <c r="H163" s="6" t="s">
        <v>26</v>
      </c>
      <c r="I163" s="6" t="s">
        <v>37</v>
      </c>
      <c r="J163" s="6" t="s">
        <v>43</v>
      </c>
      <c r="K163" s="6" t="s">
        <v>48</v>
      </c>
      <c r="L163" s="6" t="s">
        <v>54</v>
      </c>
      <c r="M163" s="6" t="s">
        <v>32</v>
      </c>
      <c r="N163" s="6" t="s">
        <v>28</v>
      </c>
      <c r="O163" s="6" t="s">
        <v>30</v>
      </c>
      <c r="P163" s="6" t="s">
        <v>52</v>
      </c>
      <c r="Q163" s="6" t="s">
        <v>31</v>
      </c>
      <c r="R163" s="6" t="s">
        <v>43</v>
      </c>
      <c r="S163" s="6" t="s">
        <v>152</v>
      </c>
      <c r="T163" s="6" t="s">
        <v>32</v>
      </c>
      <c r="U163" s="6" t="s">
        <v>28</v>
      </c>
      <c r="V163" s="6" t="s">
        <v>82</v>
      </c>
      <c r="W163" t="s">
        <v>353</v>
      </c>
    </row>
    <row r="164" spans="1:23" x14ac:dyDescent="0.3">
      <c r="A164" s="6" t="s">
        <v>276</v>
      </c>
      <c r="B164" s="1">
        <v>45712</v>
      </c>
      <c r="C164" s="6" t="s">
        <v>343</v>
      </c>
      <c r="D164" s="6" t="s">
        <v>48</v>
      </c>
      <c r="E164" s="6" t="s">
        <v>68</v>
      </c>
      <c r="F164" s="6" t="s">
        <v>24</v>
      </c>
      <c r="G164" s="6" t="s">
        <v>72</v>
      </c>
      <c r="H164" s="6" t="s">
        <v>26</v>
      </c>
      <c r="I164" s="6" t="s">
        <v>37</v>
      </c>
      <c r="J164" s="6" t="s">
        <v>43</v>
      </c>
      <c r="K164" s="6" t="s">
        <v>48</v>
      </c>
      <c r="L164" s="6" t="s">
        <v>54</v>
      </c>
      <c r="M164" s="6" t="s">
        <v>32</v>
      </c>
      <c r="N164" s="6" t="s">
        <v>28</v>
      </c>
      <c r="O164" s="6" t="s">
        <v>26</v>
      </c>
      <c r="P164" s="6" t="s">
        <v>788</v>
      </c>
      <c r="Q164" s="6" t="s">
        <v>31</v>
      </c>
      <c r="R164" s="6" t="s">
        <v>43</v>
      </c>
      <c r="S164" s="6" t="s">
        <v>152</v>
      </c>
      <c r="T164" s="6" t="s">
        <v>29</v>
      </c>
      <c r="U164" s="6" t="s">
        <v>28</v>
      </c>
      <c r="V164" s="6" t="s">
        <v>82</v>
      </c>
      <c r="W164" t="s">
        <v>353</v>
      </c>
    </row>
    <row r="165" spans="1:23" x14ac:dyDescent="0.3">
      <c r="A165" s="6" t="s">
        <v>280</v>
      </c>
      <c r="B165" s="1">
        <v>45712</v>
      </c>
      <c r="C165" s="6" t="s">
        <v>343</v>
      </c>
      <c r="D165" s="6" t="s">
        <v>48</v>
      </c>
      <c r="E165" s="6" t="s">
        <v>68</v>
      </c>
      <c r="F165" s="6" t="s">
        <v>24</v>
      </c>
      <c r="G165" s="6" t="s">
        <v>72</v>
      </c>
      <c r="H165" s="6" t="s">
        <v>26</v>
      </c>
      <c r="I165" s="6" t="s">
        <v>37</v>
      </c>
      <c r="J165" s="6" t="s">
        <v>43</v>
      </c>
      <c r="K165" s="6" t="s">
        <v>48</v>
      </c>
      <c r="L165" s="6" t="s">
        <v>54</v>
      </c>
      <c r="M165" s="6" t="s">
        <v>32</v>
      </c>
      <c r="N165" s="6" t="s">
        <v>28</v>
      </c>
      <c r="O165" s="6" t="s">
        <v>30</v>
      </c>
      <c r="P165" s="6" t="s">
        <v>108</v>
      </c>
      <c r="Q165" s="6" t="s">
        <v>31</v>
      </c>
      <c r="R165" s="6" t="s">
        <v>43</v>
      </c>
      <c r="S165" s="6" t="s">
        <v>152</v>
      </c>
      <c r="T165" s="6" t="s">
        <v>32</v>
      </c>
      <c r="U165" s="6" t="s">
        <v>28</v>
      </c>
      <c r="V165" s="6" t="s">
        <v>82</v>
      </c>
      <c r="W165" t="s">
        <v>353</v>
      </c>
    </row>
    <row r="166" spans="1:23" x14ac:dyDescent="0.3">
      <c r="A166" s="6" t="s">
        <v>281</v>
      </c>
      <c r="B166" s="1">
        <v>45712</v>
      </c>
      <c r="C166" s="6" t="s">
        <v>343</v>
      </c>
      <c r="D166" s="6" t="s">
        <v>48</v>
      </c>
      <c r="E166" s="6" t="s">
        <v>68</v>
      </c>
      <c r="F166" s="6" t="s">
        <v>24</v>
      </c>
      <c r="G166" s="6" t="s">
        <v>61</v>
      </c>
      <c r="H166" s="6" t="s">
        <v>48</v>
      </c>
      <c r="I166" s="6" t="s">
        <v>100</v>
      </c>
      <c r="J166" s="6" t="s">
        <v>49</v>
      </c>
      <c r="K166" s="6" t="s">
        <v>48</v>
      </c>
      <c r="L166" s="6" t="s">
        <v>54</v>
      </c>
      <c r="M166" s="6" t="s">
        <v>48</v>
      </c>
      <c r="N166" s="6" t="s">
        <v>28</v>
      </c>
      <c r="O166" s="6" t="s">
        <v>30</v>
      </c>
      <c r="P166" s="6" t="s">
        <v>108</v>
      </c>
      <c r="Q166" s="6" t="s">
        <v>31</v>
      </c>
      <c r="R166" s="6" t="s">
        <v>43</v>
      </c>
      <c r="S166" s="6" t="s">
        <v>152</v>
      </c>
      <c r="T166" s="6" t="s">
        <v>32</v>
      </c>
      <c r="U166" s="6" t="s">
        <v>28</v>
      </c>
      <c r="V166" s="6" t="s">
        <v>137</v>
      </c>
      <c r="W166" t="s">
        <v>353</v>
      </c>
    </row>
    <row r="167" spans="1:23" x14ac:dyDescent="0.3">
      <c r="A167" s="6" t="s">
        <v>278</v>
      </c>
      <c r="B167" s="1">
        <v>45712</v>
      </c>
      <c r="C167" s="6" t="s">
        <v>343</v>
      </c>
      <c r="D167" s="6" t="s">
        <v>48</v>
      </c>
      <c r="E167" s="6" t="s">
        <v>68</v>
      </c>
      <c r="F167" s="6" t="s">
        <v>24</v>
      </c>
      <c r="G167" s="6" t="s">
        <v>61</v>
      </c>
      <c r="H167" s="6" t="s">
        <v>48</v>
      </c>
      <c r="I167" s="6" t="s">
        <v>100</v>
      </c>
      <c r="J167" s="6" t="s">
        <v>49</v>
      </c>
      <c r="K167" s="6" t="s">
        <v>48</v>
      </c>
      <c r="L167" s="6" t="s">
        <v>54</v>
      </c>
      <c r="M167" s="6" t="s">
        <v>48</v>
      </c>
      <c r="N167" s="6" t="s">
        <v>28</v>
      </c>
      <c r="O167" s="6" t="s">
        <v>30</v>
      </c>
      <c r="P167" s="6" t="s">
        <v>52</v>
      </c>
      <c r="Q167" s="6" t="s">
        <v>31</v>
      </c>
      <c r="R167" s="6" t="s">
        <v>43</v>
      </c>
      <c r="S167" s="6" t="s">
        <v>152</v>
      </c>
      <c r="T167" s="6" t="s">
        <v>32</v>
      </c>
      <c r="U167" s="6" t="s">
        <v>28</v>
      </c>
      <c r="V167" s="6" t="s">
        <v>137</v>
      </c>
      <c r="W167" t="s">
        <v>353</v>
      </c>
    </row>
    <row r="168" spans="1:23" x14ac:dyDescent="0.3">
      <c r="A168" s="6" t="s">
        <v>279</v>
      </c>
      <c r="B168" s="1">
        <v>45712</v>
      </c>
      <c r="C168" s="6" t="s">
        <v>343</v>
      </c>
      <c r="D168" s="6" t="s">
        <v>48</v>
      </c>
      <c r="E168" s="6" t="s">
        <v>68</v>
      </c>
      <c r="F168" s="6" t="s">
        <v>24</v>
      </c>
      <c r="G168" s="6" t="s">
        <v>61</v>
      </c>
      <c r="H168" s="6" t="s">
        <v>48</v>
      </c>
      <c r="I168" s="6" t="s">
        <v>100</v>
      </c>
      <c r="J168" s="6" t="s">
        <v>49</v>
      </c>
      <c r="K168" s="6" t="s">
        <v>48</v>
      </c>
      <c r="L168" s="6" t="s">
        <v>54</v>
      </c>
      <c r="M168" s="6" t="s">
        <v>48</v>
      </c>
      <c r="N168" s="6" t="s">
        <v>28</v>
      </c>
      <c r="O168" s="6" t="s">
        <v>26</v>
      </c>
      <c r="P168" s="6" t="s">
        <v>788</v>
      </c>
      <c r="Q168" s="6" t="s">
        <v>31</v>
      </c>
      <c r="R168" s="6" t="s">
        <v>43</v>
      </c>
      <c r="S168" s="6" t="s">
        <v>152</v>
      </c>
      <c r="T168" s="6" t="s">
        <v>29</v>
      </c>
      <c r="U168" s="6" t="s">
        <v>28</v>
      </c>
      <c r="V168" s="6" t="s">
        <v>137</v>
      </c>
      <c r="W168" t="s">
        <v>353</v>
      </c>
    </row>
    <row r="169" spans="1:23" x14ac:dyDescent="0.3">
      <c r="A169" s="6" t="s">
        <v>282</v>
      </c>
      <c r="B169" s="1">
        <v>45713</v>
      </c>
      <c r="C169" s="6" t="s">
        <v>33</v>
      </c>
      <c r="D169" s="6" t="s">
        <v>22</v>
      </c>
      <c r="E169" s="6" t="s">
        <v>35</v>
      </c>
      <c r="F169" s="6" t="s">
        <v>24</v>
      </c>
      <c r="G169" s="6" t="s">
        <v>69</v>
      </c>
      <c r="H169" s="6" t="s">
        <v>48</v>
      </c>
      <c r="I169" s="6" t="s">
        <v>48</v>
      </c>
      <c r="J169" s="6" t="s">
        <v>22</v>
      </c>
      <c r="K169" s="6" t="s">
        <v>48</v>
      </c>
      <c r="L169" s="6" t="s">
        <v>54</v>
      </c>
      <c r="M169" s="6" t="s">
        <v>48</v>
      </c>
      <c r="N169" s="6" t="s">
        <v>28</v>
      </c>
      <c r="O169" s="6" t="s">
        <v>30</v>
      </c>
      <c r="P169" s="6" t="s">
        <v>52</v>
      </c>
      <c r="Q169" s="6" t="s">
        <v>31</v>
      </c>
      <c r="R169" s="6" t="s">
        <v>22</v>
      </c>
      <c r="S169" s="6" t="s">
        <v>54</v>
      </c>
      <c r="T169" s="6" t="s">
        <v>32</v>
      </c>
      <c r="U169" s="6" t="s">
        <v>28</v>
      </c>
      <c r="V169" s="6" t="s">
        <v>146</v>
      </c>
      <c r="W169" t="s">
        <v>353</v>
      </c>
    </row>
    <row r="170" spans="1:23" x14ac:dyDescent="0.3">
      <c r="A170" s="6" t="s">
        <v>284</v>
      </c>
      <c r="B170" s="1">
        <v>45713</v>
      </c>
      <c r="C170" s="6" t="s">
        <v>21</v>
      </c>
      <c r="D170" s="6" t="s">
        <v>22</v>
      </c>
      <c r="E170" s="6" t="s">
        <v>35</v>
      </c>
      <c r="F170" s="6" t="s">
        <v>24</v>
      </c>
      <c r="G170" s="6" t="s">
        <v>69</v>
      </c>
      <c r="H170" s="6" t="s">
        <v>26</v>
      </c>
      <c r="I170" s="6" t="s">
        <v>38</v>
      </c>
      <c r="J170" s="6" t="s">
        <v>22</v>
      </c>
      <c r="K170" s="6" t="s">
        <v>76</v>
      </c>
      <c r="L170" s="6" t="s">
        <v>54</v>
      </c>
      <c r="M170" s="6" t="s">
        <v>55</v>
      </c>
      <c r="N170" s="6" t="s">
        <v>28</v>
      </c>
      <c r="O170" s="6" t="s">
        <v>30</v>
      </c>
      <c r="P170" s="6" t="s">
        <v>48</v>
      </c>
      <c r="Q170" s="6" t="s">
        <v>48</v>
      </c>
      <c r="R170" s="6" t="s">
        <v>22</v>
      </c>
      <c r="S170" s="6" t="s">
        <v>54</v>
      </c>
      <c r="T170" s="6" t="s">
        <v>48</v>
      </c>
      <c r="U170" s="6" t="s">
        <v>28</v>
      </c>
      <c r="V170" s="6" t="s">
        <v>82</v>
      </c>
      <c r="W170" t="s">
        <v>353</v>
      </c>
    </row>
    <row r="171" spans="1:23" x14ac:dyDescent="0.3">
      <c r="A171" s="6" t="s">
        <v>283</v>
      </c>
      <c r="B171" s="1">
        <v>45713</v>
      </c>
      <c r="C171" s="6" t="s">
        <v>21</v>
      </c>
      <c r="D171" s="6" t="s">
        <v>22</v>
      </c>
      <c r="E171" s="6" t="s">
        <v>35</v>
      </c>
      <c r="F171" s="6" t="s">
        <v>24</v>
      </c>
      <c r="G171" s="6" t="s">
        <v>69</v>
      </c>
      <c r="H171" s="6" t="s">
        <v>26</v>
      </c>
      <c r="I171" s="6" t="s">
        <v>38</v>
      </c>
      <c r="J171" s="6" t="s">
        <v>22</v>
      </c>
      <c r="K171" s="6" t="s">
        <v>76</v>
      </c>
      <c r="L171" s="6" t="s">
        <v>54</v>
      </c>
      <c r="M171" s="6" t="s">
        <v>55</v>
      </c>
      <c r="N171" s="6" t="s">
        <v>28</v>
      </c>
      <c r="O171" s="6" t="s">
        <v>26</v>
      </c>
      <c r="P171" s="6" t="s">
        <v>48</v>
      </c>
      <c r="Q171" s="6" t="s">
        <v>48</v>
      </c>
      <c r="R171" s="6" t="s">
        <v>22</v>
      </c>
      <c r="S171" s="6" t="s">
        <v>54</v>
      </c>
      <c r="T171" s="6" t="s">
        <v>48</v>
      </c>
      <c r="U171" s="6" t="s">
        <v>28</v>
      </c>
      <c r="V171" s="6" t="s">
        <v>82</v>
      </c>
      <c r="W171" t="s">
        <v>353</v>
      </c>
    </row>
    <row r="172" spans="1:23" x14ac:dyDescent="0.3">
      <c r="A172" s="6" t="s">
        <v>285</v>
      </c>
      <c r="B172" s="1">
        <v>45713</v>
      </c>
      <c r="C172" s="6" t="s">
        <v>343</v>
      </c>
      <c r="D172" s="6" t="s">
        <v>22</v>
      </c>
      <c r="E172" s="6" t="s">
        <v>35</v>
      </c>
      <c r="F172" s="6" t="s">
        <v>24</v>
      </c>
      <c r="G172" s="6" t="s">
        <v>97</v>
      </c>
      <c r="H172" s="6" t="s">
        <v>26</v>
      </c>
      <c r="I172" s="6" t="s">
        <v>27</v>
      </c>
      <c r="J172" s="6" t="s">
        <v>22</v>
      </c>
      <c r="K172" s="6" t="s">
        <v>48</v>
      </c>
      <c r="L172" s="6" t="s">
        <v>54</v>
      </c>
      <c r="M172" s="6" t="s">
        <v>32</v>
      </c>
      <c r="N172" s="6" t="s">
        <v>28</v>
      </c>
      <c r="O172" s="6" t="s">
        <v>48</v>
      </c>
      <c r="P172" s="6" t="s">
        <v>48</v>
      </c>
      <c r="Q172" s="6" t="s">
        <v>31</v>
      </c>
      <c r="R172" s="6" t="s">
        <v>49</v>
      </c>
      <c r="S172" s="6" t="s">
        <v>157</v>
      </c>
      <c r="T172" s="6" t="s">
        <v>48</v>
      </c>
      <c r="U172" s="6" t="s">
        <v>28</v>
      </c>
      <c r="V172" s="6" t="s">
        <v>82</v>
      </c>
      <c r="W172" t="s">
        <v>353</v>
      </c>
    </row>
    <row r="173" spans="1:23" x14ac:dyDescent="0.3">
      <c r="A173" s="6" t="s">
        <v>286</v>
      </c>
      <c r="B173" s="1">
        <v>45713</v>
      </c>
      <c r="C173" s="6" t="s">
        <v>343</v>
      </c>
      <c r="D173" s="6" t="s">
        <v>93</v>
      </c>
      <c r="E173" s="6" t="s">
        <v>44</v>
      </c>
      <c r="F173" s="6" t="s">
        <v>24</v>
      </c>
      <c r="G173" s="6" t="s">
        <v>71</v>
      </c>
      <c r="H173" s="6" t="s">
        <v>48</v>
      </c>
      <c r="I173" s="6" t="s">
        <v>100</v>
      </c>
      <c r="J173" s="6" t="s">
        <v>93</v>
      </c>
      <c r="K173" s="6" t="s">
        <v>48</v>
      </c>
      <c r="L173" s="6" t="s">
        <v>54</v>
      </c>
      <c r="M173" s="6" t="s">
        <v>29</v>
      </c>
      <c r="N173" s="6" t="s">
        <v>28</v>
      </c>
      <c r="O173" s="6" t="s">
        <v>48</v>
      </c>
      <c r="P173" s="6" t="s">
        <v>48</v>
      </c>
      <c r="Q173" s="6" t="s">
        <v>48</v>
      </c>
      <c r="R173" s="6" t="s">
        <v>93</v>
      </c>
      <c r="S173" s="6" t="s">
        <v>54</v>
      </c>
      <c r="T173" s="6" t="s">
        <v>48</v>
      </c>
      <c r="U173" s="6" t="s">
        <v>59</v>
      </c>
      <c r="V173" s="6" t="s">
        <v>137</v>
      </c>
      <c r="W173" t="s">
        <v>353</v>
      </c>
    </row>
    <row r="174" spans="1:23" x14ac:dyDescent="0.3">
      <c r="A174" s="6" t="s">
        <v>287</v>
      </c>
      <c r="B174" s="1">
        <v>45713</v>
      </c>
      <c r="C174" s="6" t="s">
        <v>343</v>
      </c>
      <c r="D174" s="6" t="s">
        <v>93</v>
      </c>
      <c r="E174" s="6" t="s">
        <v>44</v>
      </c>
      <c r="F174" s="6" t="s">
        <v>24</v>
      </c>
      <c r="G174" s="6" t="s">
        <v>71</v>
      </c>
      <c r="H174" s="6" t="s">
        <v>48</v>
      </c>
      <c r="I174" s="6" t="s">
        <v>100</v>
      </c>
      <c r="J174" s="6" t="s">
        <v>93</v>
      </c>
      <c r="K174" s="6" t="s">
        <v>48</v>
      </c>
      <c r="L174" s="6" t="s">
        <v>54</v>
      </c>
      <c r="M174" s="6" t="s">
        <v>29</v>
      </c>
      <c r="N174" s="6" t="s">
        <v>28</v>
      </c>
      <c r="O174" s="6" t="s">
        <v>48</v>
      </c>
      <c r="P174" s="6" t="s">
        <v>48</v>
      </c>
      <c r="Q174" s="6" t="s">
        <v>48</v>
      </c>
      <c r="R174" s="6" t="s">
        <v>93</v>
      </c>
      <c r="S174" s="6" t="s">
        <v>54</v>
      </c>
      <c r="T174" s="6" t="s">
        <v>48</v>
      </c>
      <c r="U174" s="6" t="s">
        <v>59</v>
      </c>
      <c r="V174" s="6" t="s">
        <v>137</v>
      </c>
      <c r="W174" t="s">
        <v>353</v>
      </c>
    </row>
    <row r="175" spans="1:23" x14ac:dyDescent="0.3">
      <c r="A175" s="6" t="s">
        <v>288</v>
      </c>
      <c r="B175" s="1">
        <v>45713</v>
      </c>
      <c r="C175" s="6" t="s">
        <v>57</v>
      </c>
      <c r="D175" s="6" t="s">
        <v>60</v>
      </c>
      <c r="E175" s="6" t="s">
        <v>68</v>
      </c>
      <c r="F175" s="6" t="s">
        <v>24</v>
      </c>
      <c r="G175" s="6" t="s">
        <v>104</v>
      </c>
      <c r="H175" s="6" t="s">
        <v>26</v>
      </c>
      <c r="I175" s="6" t="s">
        <v>27</v>
      </c>
      <c r="J175" s="6" t="s">
        <v>60</v>
      </c>
      <c r="K175" s="6" t="s">
        <v>133</v>
      </c>
      <c r="L175" s="6" t="s">
        <v>152</v>
      </c>
      <c r="M175" s="6" t="s">
        <v>29</v>
      </c>
      <c r="N175" s="6" t="s">
        <v>28</v>
      </c>
      <c r="O175" s="6" t="s">
        <v>26</v>
      </c>
      <c r="P175" s="6" t="s">
        <v>37</v>
      </c>
      <c r="Q175" s="6" t="s">
        <v>31</v>
      </c>
      <c r="R175" s="6" t="s">
        <v>60</v>
      </c>
      <c r="S175" s="6" t="s">
        <v>128</v>
      </c>
      <c r="T175" s="6" t="s">
        <v>29</v>
      </c>
      <c r="U175" s="6" t="s">
        <v>28</v>
      </c>
      <c r="V175" s="6" t="s">
        <v>82</v>
      </c>
      <c r="W175" t="s">
        <v>353</v>
      </c>
    </row>
    <row r="176" spans="1:23" x14ac:dyDescent="0.3">
      <c r="A176" s="6" t="s">
        <v>289</v>
      </c>
      <c r="B176" s="1">
        <v>45714</v>
      </c>
      <c r="C176" s="6" t="s">
        <v>343</v>
      </c>
      <c r="D176" s="6" t="s">
        <v>50</v>
      </c>
      <c r="E176" s="6" t="s">
        <v>46</v>
      </c>
      <c r="F176" s="6" t="s">
        <v>24</v>
      </c>
      <c r="G176" s="6" t="s">
        <v>46</v>
      </c>
      <c r="H176" s="6" t="s">
        <v>48</v>
      </c>
      <c r="I176" s="6" t="s">
        <v>27</v>
      </c>
      <c r="J176" s="6" t="s">
        <v>50</v>
      </c>
      <c r="K176" s="6" t="s">
        <v>48</v>
      </c>
      <c r="L176" s="6" t="s">
        <v>54</v>
      </c>
      <c r="M176" s="6" t="s">
        <v>48</v>
      </c>
      <c r="N176" s="6" t="s">
        <v>28</v>
      </c>
      <c r="O176" s="6" t="s">
        <v>48</v>
      </c>
      <c r="P176" s="6" t="s">
        <v>48</v>
      </c>
      <c r="Q176" s="6" t="s">
        <v>48</v>
      </c>
      <c r="R176" s="6" t="s">
        <v>50</v>
      </c>
      <c r="S176" s="6" t="s">
        <v>54</v>
      </c>
      <c r="T176" s="6" t="s">
        <v>48</v>
      </c>
      <c r="U176" s="6" t="s">
        <v>28</v>
      </c>
      <c r="V176" s="6" t="s">
        <v>82</v>
      </c>
      <c r="W176" t="s">
        <v>353</v>
      </c>
    </row>
    <row r="177" spans="1:23" x14ac:dyDescent="0.3">
      <c r="A177" s="6" t="s">
        <v>290</v>
      </c>
      <c r="B177" s="1">
        <v>45718</v>
      </c>
      <c r="C177" s="6" t="s">
        <v>343</v>
      </c>
      <c r="D177" s="6" t="s">
        <v>40</v>
      </c>
      <c r="E177" s="6" t="s">
        <v>35</v>
      </c>
      <c r="F177" s="6" t="s">
        <v>24</v>
      </c>
      <c r="G177" s="6" t="s">
        <v>97</v>
      </c>
      <c r="H177" s="6" t="s">
        <v>26</v>
      </c>
      <c r="I177" s="6" t="s">
        <v>38</v>
      </c>
      <c r="J177" s="6" t="s">
        <v>40</v>
      </c>
      <c r="K177" s="6" t="s">
        <v>48</v>
      </c>
      <c r="L177" s="6" t="s">
        <v>54</v>
      </c>
      <c r="M177" s="6" t="s">
        <v>32</v>
      </c>
      <c r="N177" s="6" t="s">
        <v>28</v>
      </c>
      <c r="O177" s="6" t="s">
        <v>30</v>
      </c>
      <c r="P177" s="6" t="s">
        <v>66</v>
      </c>
      <c r="Q177" s="6" t="s">
        <v>31</v>
      </c>
      <c r="R177" s="6" t="s">
        <v>40</v>
      </c>
      <c r="S177" s="6" t="s">
        <v>128</v>
      </c>
      <c r="T177" s="6" t="s">
        <v>32</v>
      </c>
      <c r="U177" s="6" t="s">
        <v>28</v>
      </c>
      <c r="V177" s="6" t="s">
        <v>146</v>
      </c>
      <c r="W177" t="s">
        <v>354</v>
      </c>
    </row>
    <row r="178" spans="1:23" x14ac:dyDescent="0.3">
      <c r="A178" s="6" t="s">
        <v>291</v>
      </c>
      <c r="B178" s="1">
        <v>45718</v>
      </c>
      <c r="C178" s="6" t="s">
        <v>33</v>
      </c>
      <c r="D178" s="6" t="s">
        <v>40</v>
      </c>
      <c r="E178" s="6" t="s">
        <v>35</v>
      </c>
      <c r="F178" s="6" t="s">
        <v>24</v>
      </c>
      <c r="G178" s="6" t="s">
        <v>97</v>
      </c>
      <c r="H178" s="6" t="s">
        <v>26</v>
      </c>
      <c r="I178" s="6" t="s">
        <v>42</v>
      </c>
      <c r="J178" s="6" t="s">
        <v>40</v>
      </c>
      <c r="K178" s="6" t="s">
        <v>48</v>
      </c>
      <c r="L178" s="6" t="s">
        <v>54</v>
      </c>
      <c r="M178" s="6" t="s">
        <v>29</v>
      </c>
      <c r="N178" s="6" t="s">
        <v>28</v>
      </c>
      <c r="O178" s="6" t="s">
        <v>30</v>
      </c>
      <c r="P178" s="6" t="s">
        <v>66</v>
      </c>
      <c r="Q178" s="6" t="s">
        <v>31</v>
      </c>
      <c r="R178" s="6" t="s">
        <v>40</v>
      </c>
      <c r="S178" s="6" t="s">
        <v>128</v>
      </c>
      <c r="T178" s="6" t="s">
        <v>32</v>
      </c>
      <c r="U178" s="6" t="s">
        <v>28</v>
      </c>
      <c r="V178" s="6" t="s">
        <v>146</v>
      </c>
      <c r="W178" t="s">
        <v>354</v>
      </c>
    </row>
    <row r="179" spans="1:23" x14ac:dyDescent="0.3">
      <c r="A179" s="6" t="s">
        <v>291</v>
      </c>
      <c r="B179" s="1">
        <v>45718</v>
      </c>
      <c r="C179" s="6" t="s">
        <v>33</v>
      </c>
      <c r="D179" s="6" t="s">
        <v>40</v>
      </c>
      <c r="E179" s="6" t="s">
        <v>35</v>
      </c>
      <c r="F179" s="6" t="s">
        <v>24</v>
      </c>
      <c r="G179" s="6" t="s">
        <v>97</v>
      </c>
      <c r="H179" s="6" t="s">
        <v>26</v>
      </c>
      <c r="I179" s="6" t="s">
        <v>42</v>
      </c>
      <c r="J179" s="6" t="s">
        <v>40</v>
      </c>
      <c r="K179" s="6" t="s">
        <v>48</v>
      </c>
      <c r="L179" s="6" t="s">
        <v>54</v>
      </c>
      <c r="M179" s="6" t="s">
        <v>29</v>
      </c>
      <c r="N179" s="6" t="s">
        <v>28</v>
      </c>
      <c r="O179" s="6" t="s">
        <v>30</v>
      </c>
      <c r="P179" s="6" t="s">
        <v>66</v>
      </c>
      <c r="Q179" s="6" t="s">
        <v>31</v>
      </c>
      <c r="R179" s="6" t="s">
        <v>40</v>
      </c>
      <c r="S179" s="6" t="s">
        <v>128</v>
      </c>
      <c r="T179" s="6" t="s">
        <v>32</v>
      </c>
      <c r="U179" s="6" t="s">
        <v>28</v>
      </c>
      <c r="V179" s="6" t="s">
        <v>82</v>
      </c>
      <c r="W179" t="s">
        <v>354</v>
      </c>
    </row>
    <row r="180" spans="1:23" x14ac:dyDescent="0.3">
      <c r="A180" s="6" t="s">
        <v>290</v>
      </c>
      <c r="B180" s="1">
        <v>45718</v>
      </c>
      <c r="C180" s="6" t="s">
        <v>343</v>
      </c>
      <c r="D180" s="6" t="s">
        <v>40</v>
      </c>
      <c r="E180" s="6" t="s">
        <v>35</v>
      </c>
      <c r="F180" s="6" t="s">
        <v>24</v>
      </c>
      <c r="G180" s="6" t="s">
        <v>97</v>
      </c>
      <c r="H180" s="6" t="s">
        <v>26</v>
      </c>
      <c r="I180" s="6" t="s">
        <v>38</v>
      </c>
      <c r="J180" s="6" t="s">
        <v>40</v>
      </c>
      <c r="K180" s="6" t="s">
        <v>48</v>
      </c>
      <c r="L180" s="6" t="s">
        <v>54</v>
      </c>
      <c r="M180" s="6" t="s">
        <v>32</v>
      </c>
      <c r="N180" s="6" t="s">
        <v>28</v>
      </c>
      <c r="O180" s="6" t="s">
        <v>30</v>
      </c>
      <c r="P180" s="6" t="s">
        <v>66</v>
      </c>
      <c r="Q180" s="6" t="s">
        <v>31</v>
      </c>
      <c r="R180" s="6" t="s">
        <v>40</v>
      </c>
      <c r="S180" s="6" t="s">
        <v>128</v>
      </c>
      <c r="T180" s="6" t="s">
        <v>32</v>
      </c>
      <c r="U180" s="6" t="s">
        <v>28</v>
      </c>
      <c r="V180" s="6" t="s">
        <v>82</v>
      </c>
      <c r="W180" t="s">
        <v>354</v>
      </c>
    </row>
    <row r="181" spans="1:23" x14ac:dyDescent="0.3">
      <c r="A181" s="6" t="s">
        <v>292</v>
      </c>
      <c r="B181" s="1">
        <v>45719</v>
      </c>
      <c r="C181" s="6" t="s">
        <v>84</v>
      </c>
      <c r="D181" s="6" t="s">
        <v>40</v>
      </c>
      <c r="E181" s="6" t="s">
        <v>46</v>
      </c>
      <c r="F181" s="6" t="s">
        <v>24</v>
      </c>
      <c r="G181" s="6" t="s">
        <v>97</v>
      </c>
      <c r="H181" s="6" t="s">
        <v>26</v>
      </c>
      <c r="I181" s="6" t="s">
        <v>27</v>
      </c>
      <c r="J181" s="6" t="s">
        <v>22</v>
      </c>
      <c r="K181" s="6" t="s">
        <v>48</v>
      </c>
      <c r="L181" s="6" t="s">
        <v>54</v>
      </c>
      <c r="M181" s="6" t="s">
        <v>32</v>
      </c>
      <c r="N181" s="6" t="s">
        <v>28</v>
      </c>
      <c r="O181" s="6" t="s">
        <v>26</v>
      </c>
      <c r="P181" s="6" t="s">
        <v>48</v>
      </c>
      <c r="Q181" s="6" t="s">
        <v>31</v>
      </c>
      <c r="R181" s="6" t="s">
        <v>40</v>
      </c>
      <c r="S181" s="6" t="s">
        <v>54</v>
      </c>
      <c r="T181" s="6" t="s">
        <v>48</v>
      </c>
      <c r="U181" s="6" t="s">
        <v>28</v>
      </c>
      <c r="V181" s="6" t="s">
        <v>82</v>
      </c>
      <c r="W181" t="s">
        <v>354</v>
      </c>
    </row>
    <row r="182" spans="1:23" x14ac:dyDescent="0.3">
      <c r="A182" s="6" t="s">
        <v>292</v>
      </c>
      <c r="B182" s="1">
        <v>45719</v>
      </c>
      <c r="C182" s="6" t="s">
        <v>84</v>
      </c>
      <c r="D182" s="6" t="s">
        <v>40</v>
      </c>
      <c r="E182" s="6" t="s">
        <v>46</v>
      </c>
      <c r="F182" s="6" t="s">
        <v>24</v>
      </c>
      <c r="G182" s="6" t="s">
        <v>97</v>
      </c>
      <c r="H182" s="6" t="s">
        <v>26</v>
      </c>
      <c r="I182" s="6" t="s">
        <v>27</v>
      </c>
      <c r="J182" s="6" t="s">
        <v>22</v>
      </c>
      <c r="K182" s="6" t="s">
        <v>48</v>
      </c>
      <c r="L182" s="6" t="s">
        <v>54</v>
      </c>
      <c r="M182" s="6" t="s">
        <v>32</v>
      </c>
      <c r="N182" s="6" t="s">
        <v>28</v>
      </c>
      <c r="O182" s="6" t="s">
        <v>26</v>
      </c>
      <c r="P182" s="6" t="s">
        <v>48</v>
      </c>
      <c r="Q182" s="6" t="s">
        <v>31</v>
      </c>
      <c r="R182" s="6" t="s">
        <v>40</v>
      </c>
      <c r="S182" s="6" t="s">
        <v>54</v>
      </c>
      <c r="T182" s="6" t="s">
        <v>48</v>
      </c>
      <c r="U182" s="6" t="s">
        <v>28</v>
      </c>
      <c r="V182" s="6" t="s">
        <v>146</v>
      </c>
      <c r="W182" t="s">
        <v>354</v>
      </c>
    </row>
    <row r="183" spans="1:23" x14ac:dyDescent="0.3">
      <c r="A183" s="6" t="s">
        <v>292</v>
      </c>
      <c r="B183" s="1">
        <v>45719</v>
      </c>
      <c r="C183" s="6" t="s">
        <v>84</v>
      </c>
      <c r="D183" s="6" t="s">
        <v>40</v>
      </c>
      <c r="E183" s="6" t="s">
        <v>46</v>
      </c>
      <c r="F183" s="6" t="s">
        <v>24</v>
      </c>
      <c r="G183" s="6" t="s">
        <v>97</v>
      </c>
      <c r="H183" s="6" t="s">
        <v>26</v>
      </c>
      <c r="I183" s="6" t="s">
        <v>27</v>
      </c>
      <c r="J183" s="6" t="s">
        <v>22</v>
      </c>
      <c r="K183" s="6" t="s">
        <v>48</v>
      </c>
      <c r="L183" s="6" t="s">
        <v>54</v>
      </c>
      <c r="M183" s="6" t="s">
        <v>32</v>
      </c>
      <c r="N183" s="6" t="s">
        <v>28</v>
      </c>
      <c r="O183" s="6" t="s">
        <v>26</v>
      </c>
      <c r="P183" s="6" t="s">
        <v>48</v>
      </c>
      <c r="Q183" s="6" t="s">
        <v>31</v>
      </c>
      <c r="R183" s="6" t="s">
        <v>40</v>
      </c>
      <c r="S183" s="6" t="s">
        <v>54</v>
      </c>
      <c r="T183" s="6" t="s">
        <v>48</v>
      </c>
      <c r="U183" s="6" t="s">
        <v>28</v>
      </c>
      <c r="V183" s="6" t="s">
        <v>137</v>
      </c>
      <c r="W183" t="s">
        <v>354</v>
      </c>
    </row>
    <row r="184" spans="1:23" x14ac:dyDescent="0.3">
      <c r="A184" s="6" t="s">
        <v>293</v>
      </c>
      <c r="B184" s="1">
        <v>45719</v>
      </c>
      <c r="C184" s="6" t="s">
        <v>84</v>
      </c>
      <c r="D184" s="6" t="s">
        <v>60</v>
      </c>
      <c r="E184" s="6" t="s">
        <v>46</v>
      </c>
      <c r="F184" s="6" t="s">
        <v>24</v>
      </c>
      <c r="G184" s="6" t="s">
        <v>69</v>
      </c>
      <c r="H184" s="6" t="s">
        <v>48</v>
      </c>
      <c r="I184" s="6" t="s">
        <v>48</v>
      </c>
      <c r="J184" s="6" t="s">
        <v>60</v>
      </c>
      <c r="K184" s="6" t="s">
        <v>48</v>
      </c>
      <c r="L184" s="6" t="s">
        <v>54</v>
      </c>
      <c r="M184" s="6" t="s">
        <v>48</v>
      </c>
      <c r="N184" s="6" t="s">
        <v>28</v>
      </c>
      <c r="O184" s="6" t="s">
        <v>30</v>
      </c>
      <c r="P184" s="6" t="s">
        <v>788</v>
      </c>
      <c r="Q184" s="6" t="s">
        <v>31</v>
      </c>
      <c r="R184" s="6" t="s">
        <v>60</v>
      </c>
      <c r="S184" s="6" t="s">
        <v>54</v>
      </c>
      <c r="T184" s="6" t="s">
        <v>29</v>
      </c>
      <c r="U184" s="6" t="s">
        <v>28</v>
      </c>
      <c r="V184" s="6" t="s">
        <v>82</v>
      </c>
      <c r="W184" t="s">
        <v>354</v>
      </c>
    </row>
    <row r="185" spans="1:23" x14ac:dyDescent="0.3">
      <c r="A185" s="6" t="s">
        <v>294</v>
      </c>
      <c r="B185" s="1">
        <v>45719</v>
      </c>
      <c r="C185" s="6" t="s">
        <v>90</v>
      </c>
      <c r="D185" s="6" t="s">
        <v>22</v>
      </c>
      <c r="E185" s="6" t="s">
        <v>35</v>
      </c>
      <c r="F185" s="6" t="s">
        <v>24</v>
      </c>
      <c r="G185" s="6" t="s">
        <v>112</v>
      </c>
      <c r="H185" s="6" t="s">
        <v>26</v>
      </c>
      <c r="I185" s="6" t="s">
        <v>38</v>
      </c>
      <c r="J185" s="6" t="s">
        <v>22</v>
      </c>
      <c r="K185" s="6" t="s">
        <v>76</v>
      </c>
      <c r="L185" s="6" t="s">
        <v>54</v>
      </c>
      <c r="M185" s="6" t="s">
        <v>32</v>
      </c>
      <c r="N185" s="6" t="s">
        <v>28</v>
      </c>
      <c r="O185" s="6" t="s">
        <v>30</v>
      </c>
      <c r="P185" s="6" t="s">
        <v>38</v>
      </c>
      <c r="Q185" s="6" t="s">
        <v>31</v>
      </c>
      <c r="R185" s="6" t="s">
        <v>22</v>
      </c>
      <c r="S185" s="6" t="s">
        <v>54</v>
      </c>
      <c r="T185" s="6" t="s">
        <v>32</v>
      </c>
      <c r="U185" s="6" t="s">
        <v>28</v>
      </c>
      <c r="V185" s="6" t="s">
        <v>82</v>
      </c>
      <c r="W185" t="s">
        <v>354</v>
      </c>
    </row>
    <row r="186" spans="1:23" x14ac:dyDescent="0.3">
      <c r="A186" s="6" t="s">
        <v>295</v>
      </c>
      <c r="B186" s="1">
        <v>45722</v>
      </c>
      <c r="C186" s="6" t="s">
        <v>343</v>
      </c>
      <c r="D186" s="6" t="s">
        <v>43</v>
      </c>
      <c r="E186" s="6" t="s">
        <v>68</v>
      </c>
      <c r="F186" s="6" t="s">
        <v>24</v>
      </c>
      <c r="G186" s="6" t="s">
        <v>97</v>
      </c>
      <c r="H186" s="6" t="s">
        <v>48</v>
      </c>
      <c r="I186" s="6" t="s">
        <v>100</v>
      </c>
      <c r="J186" s="6" t="s">
        <v>49</v>
      </c>
      <c r="K186" s="6" t="s">
        <v>48</v>
      </c>
      <c r="L186" s="6" t="s">
        <v>54</v>
      </c>
      <c r="M186" s="6" t="s">
        <v>48</v>
      </c>
      <c r="N186" s="6" t="s">
        <v>28</v>
      </c>
      <c r="O186" s="6" t="s">
        <v>30</v>
      </c>
      <c r="P186" s="6" t="s">
        <v>788</v>
      </c>
      <c r="Q186" s="6" t="s">
        <v>31</v>
      </c>
      <c r="R186" s="6" t="s">
        <v>49</v>
      </c>
      <c r="S186" s="6" t="s">
        <v>54</v>
      </c>
      <c r="T186" s="6" t="s">
        <v>32</v>
      </c>
      <c r="U186" s="6" t="s">
        <v>28</v>
      </c>
      <c r="V186" s="6" t="s">
        <v>146</v>
      </c>
      <c r="W186" t="s">
        <v>354</v>
      </c>
    </row>
    <row r="187" spans="1:23" x14ac:dyDescent="0.3">
      <c r="A187" s="6" t="s">
        <v>295</v>
      </c>
      <c r="B187" s="1">
        <v>45722</v>
      </c>
      <c r="C187" s="6" t="s">
        <v>343</v>
      </c>
      <c r="D187" s="6" t="s">
        <v>43</v>
      </c>
      <c r="E187" s="6" t="s">
        <v>68</v>
      </c>
      <c r="F187" s="6" t="s">
        <v>24</v>
      </c>
      <c r="G187" s="6" t="s">
        <v>97</v>
      </c>
      <c r="H187" s="6" t="s">
        <v>48</v>
      </c>
      <c r="I187" s="6" t="s">
        <v>100</v>
      </c>
      <c r="J187" s="6" t="s">
        <v>49</v>
      </c>
      <c r="K187" s="6" t="s">
        <v>48</v>
      </c>
      <c r="L187" s="6" t="s">
        <v>54</v>
      </c>
      <c r="M187" s="6" t="s">
        <v>48</v>
      </c>
      <c r="N187" s="6" t="s">
        <v>28</v>
      </c>
      <c r="O187" s="6" t="s">
        <v>30</v>
      </c>
      <c r="P187" s="6" t="s">
        <v>788</v>
      </c>
      <c r="Q187" s="6" t="s">
        <v>31</v>
      </c>
      <c r="R187" s="6" t="s">
        <v>49</v>
      </c>
      <c r="S187" s="6" t="s">
        <v>54</v>
      </c>
      <c r="T187" s="6" t="s">
        <v>32</v>
      </c>
      <c r="U187" s="6" t="s">
        <v>28</v>
      </c>
      <c r="V187" s="6" t="s">
        <v>82</v>
      </c>
      <c r="W187" t="s">
        <v>354</v>
      </c>
    </row>
    <row r="188" spans="1:23" x14ac:dyDescent="0.3">
      <c r="A188" s="6" t="s">
        <v>296</v>
      </c>
      <c r="B188" s="1">
        <v>45722</v>
      </c>
      <c r="C188" s="6" t="s">
        <v>62</v>
      </c>
      <c r="D188" s="6" t="s">
        <v>125</v>
      </c>
      <c r="E188" s="6" t="s">
        <v>68</v>
      </c>
      <c r="F188" s="6" t="s">
        <v>24</v>
      </c>
      <c r="G188" s="6" t="s">
        <v>156</v>
      </c>
      <c r="H188" s="6" t="s">
        <v>26</v>
      </c>
      <c r="I188" s="6" t="s">
        <v>37</v>
      </c>
      <c r="J188" s="6" t="s">
        <v>125</v>
      </c>
      <c r="K188" s="6" t="s">
        <v>48</v>
      </c>
      <c r="L188" s="6" t="s">
        <v>128</v>
      </c>
      <c r="M188" s="6" t="s">
        <v>32</v>
      </c>
      <c r="N188" s="6" t="s">
        <v>28</v>
      </c>
      <c r="O188" s="6" t="s">
        <v>48</v>
      </c>
      <c r="P188" s="6" t="s">
        <v>48</v>
      </c>
      <c r="Q188" s="6" t="s">
        <v>48</v>
      </c>
      <c r="R188" s="6" t="s">
        <v>125</v>
      </c>
      <c r="S188" s="6" t="s">
        <v>54</v>
      </c>
      <c r="T188" s="6" t="s">
        <v>48</v>
      </c>
      <c r="U188" s="6" t="s">
        <v>131</v>
      </c>
      <c r="V188" s="6" t="s">
        <v>82</v>
      </c>
      <c r="W188" t="s">
        <v>354</v>
      </c>
    </row>
    <row r="189" spans="1:23" x14ac:dyDescent="0.3">
      <c r="A189" s="6" t="s">
        <v>297</v>
      </c>
      <c r="B189" s="1">
        <v>45722</v>
      </c>
      <c r="C189" s="6" t="s">
        <v>39</v>
      </c>
      <c r="D189" s="6" t="s">
        <v>70</v>
      </c>
      <c r="E189" s="6" t="s">
        <v>68</v>
      </c>
      <c r="F189" s="6" t="s">
        <v>24</v>
      </c>
      <c r="G189" s="6" t="s">
        <v>72</v>
      </c>
      <c r="H189" s="6" t="s">
        <v>26</v>
      </c>
      <c r="I189" s="6" t="s">
        <v>38</v>
      </c>
      <c r="J189" s="6" t="s">
        <v>70</v>
      </c>
      <c r="K189" s="6" t="s">
        <v>48</v>
      </c>
      <c r="L189" s="6" t="s">
        <v>152</v>
      </c>
      <c r="M189" s="6" t="s">
        <v>32</v>
      </c>
      <c r="N189" s="6" t="s">
        <v>28</v>
      </c>
      <c r="O189" s="6" t="s">
        <v>30</v>
      </c>
      <c r="P189" s="6" t="s">
        <v>37</v>
      </c>
      <c r="Q189" s="6" t="s">
        <v>31</v>
      </c>
      <c r="R189" s="6" t="s">
        <v>70</v>
      </c>
      <c r="S189" s="6" t="s">
        <v>54</v>
      </c>
      <c r="T189" s="6" t="s">
        <v>32</v>
      </c>
      <c r="U189" s="6" t="s">
        <v>28</v>
      </c>
      <c r="V189" s="6" t="s">
        <v>137</v>
      </c>
      <c r="W189" t="s">
        <v>354</v>
      </c>
    </row>
    <row r="190" spans="1:23" x14ac:dyDescent="0.3">
      <c r="A190" s="6" t="s">
        <v>297</v>
      </c>
      <c r="B190" s="1">
        <v>45722</v>
      </c>
      <c r="C190" s="6" t="s">
        <v>39</v>
      </c>
      <c r="D190" s="6" t="s">
        <v>70</v>
      </c>
      <c r="E190" s="6" t="s">
        <v>68</v>
      </c>
      <c r="F190" s="6" t="s">
        <v>24</v>
      </c>
      <c r="G190" s="6" t="s">
        <v>72</v>
      </c>
      <c r="H190" s="6" t="s">
        <v>26</v>
      </c>
      <c r="I190" s="6" t="s">
        <v>38</v>
      </c>
      <c r="J190" s="6" t="s">
        <v>70</v>
      </c>
      <c r="K190" s="6" t="s">
        <v>48</v>
      </c>
      <c r="L190" s="6" t="s">
        <v>152</v>
      </c>
      <c r="M190" s="6" t="s">
        <v>32</v>
      </c>
      <c r="N190" s="6" t="s">
        <v>28</v>
      </c>
      <c r="O190" s="6" t="s">
        <v>30</v>
      </c>
      <c r="P190" s="6" t="s">
        <v>37</v>
      </c>
      <c r="Q190" s="6" t="s">
        <v>31</v>
      </c>
      <c r="R190" s="6" t="s">
        <v>70</v>
      </c>
      <c r="S190" s="6" t="s">
        <v>54</v>
      </c>
      <c r="T190" s="6" t="s">
        <v>32</v>
      </c>
      <c r="U190" s="6" t="s">
        <v>28</v>
      </c>
      <c r="V190" s="6" t="s">
        <v>146</v>
      </c>
      <c r="W190" t="s">
        <v>354</v>
      </c>
    </row>
    <row r="191" spans="1:23" x14ac:dyDescent="0.3">
      <c r="A191" s="6" t="s">
        <v>298</v>
      </c>
      <c r="B191" s="1">
        <v>45723</v>
      </c>
      <c r="C191" s="6" t="s">
        <v>343</v>
      </c>
      <c r="D191" s="6" t="s">
        <v>50</v>
      </c>
      <c r="E191" s="6" t="s">
        <v>68</v>
      </c>
      <c r="F191" s="6" t="s">
        <v>24</v>
      </c>
      <c r="G191" s="6" t="s">
        <v>61</v>
      </c>
      <c r="H191" s="6" t="s">
        <v>48</v>
      </c>
      <c r="I191" s="6" t="s">
        <v>27</v>
      </c>
      <c r="J191" s="6" t="s">
        <v>50</v>
      </c>
      <c r="K191" s="6" t="s">
        <v>48</v>
      </c>
      <c r="L191" s="6" t="s">
        <v>705</v>
      </c>
      <c r="M191" s="6" t="s">
        <v>48</v>
      </c>
      <c r="N191" s="6" t="s">
        <v>28</v>
      </c>
      <c r="O191" s="6" t="s">
        <v>26</v>
      </c>
      <c r="P191" s="6" t="s">
        <v>48</v>
      </c>
      <c r="Q191" s="6" t="s">
        <v>31</v>
      </c>
      <c r="R191" s="6" t="s">
        <v>50</v>
      </c>
      <c r="S191" s="6" t="s">
        <v>54</v>
      </c>
      <c r="T191" s="6" t="s">
        <v>32</v>
      </c>
      <c r="U191" s="6" t="s">
        <v>28</v>
      </c>
      <c r="V191" s="6" t="s">
        <v>82</v>
      </c>
      <c r="W191" t="s">
        <v>354</v>
      </c>
    </row>
    <row r="192" spans="1:23" x14ac:dyDescent="0.3">
      <c r="A192" s="6" t="s">
        <v>298</v>
      </c>
      <c r="B192" s="1">
        <v>45723</v>
      </c>
      <c r="C192" s="6" t="s">
        <v>343</v>
      </c>
      <c r="D192" s="6" t="s">
        <v>50</v>
      </c>
      <c r="E192" s="6" t="s">
        <v>68</v>
      </c>
      <c r="F192" s="6" t="s">
        <v>24</v>
      </c>
      <c r="G192" s="6" t="s">
        <v>61</v>
      </c>
      <c r="H192" s="6" t="s">
        <v>48</v>
      </c>
      <c r="I192" s="6" t="s">
        <v>27</v>
      </c>
      <c r="J192" s="6" t="s">
        <v>50</v>
      </c>
      <c r="K192" s="6" t="s">
        <v>48</v>
      </c>
      <c r="L192" s="6" t="s">
        <v>705</v>
      </c>
      <c r="M192" s="6" t="s">
        <v>48</v>
      </c>
      <c r="N192" s="6" t="s">
        <v>28</v>
      </c>
      <c r="O192" s="6" t="s">
        <v>26</v>
      </c>
      <c r="P192" s="6" t="s">
        <v>48</v>
      </c>
      <c r="Q192" s="6" t="s">
        <v>31</v>
      </c>
      <c r="R192" s="6" t="s">
        <v>50</v>
      </c>
      <c r="S192" s="6" t="s">
        <v>54</v>
      </c>
      <c r="T192" s="6" t="s">
        <v>32</v>
      </c>
      <c r="U192" s="6" t="s">
        <v>28</v>
      </c>
      <c r="V192" s="6" t="s">
        <v>146</v>
      </c>
      <c r="W192" t="s">
        <v>354</v>
      </c>
    </row>
    <row r="193" spans="1:23" x14ac:dyDescent="0.3">
      <c r="A193" s="6" t="s">
        <v>299</v>
      </c>
      <c r="B193" s="1">
        <v>45723</v>
      </c>
      <c r="C193" s="6" t="s">
        <v>84</v>
      </c>
      <c r="D193" s="6" t="s">
        <v>60</v>
      </c>
      <c r="E193" s="6" t="s">
        <v>35</v>
      </c>
      <c r="F193" s="6" t="s">
        <v>24</v>
      </c>
      <c r="G193" s="6" t="s">
        <v>97</v>
      </c>
      <c r="H193" s="6" t="s">
        <v>26</v>
      </c>
      <c r="I193" s="6" t="s">
        <v>52</v>
      </c>
      <c r="J193" s="6" t="s">
        <v>60</v>
      </c>
      <c r="K193" s="6" t="s">
        <v>106</v>
      </c>
      <c r="L193" s="6" t="s">
        <v>54</v>
      </c>
      <c r="M193" s="6" t="s">
        <v>29</v>
      </c>
      <c r="N193" s="6" t="s">
        <v>28</v>
      </c>
      <c r="O193" s="6" t="s">
        <v>48</v>
      </c>
      <c r="P193" s="6" t="s">
        <v>48</v>
      </c>
      <c r="Q193" s="6" t="s">
        <v>48</v>
      </c>
      <c r="R193" s="6" t="s">
        <v>49</v>
      </c>
      <c r="S193" s="6" t="s">
        <v>54</v>
      </c>
      <c r="T193" s="6" t="s">
        <v>48</v>
      </c>
      <c r="U193" s="6" t="s">
        <v>28</v>
      </c>
      <c r="V193" s="6" t="s">
        <v>146</v>
      </c>
      <c r="W193" t="s">
        <v>354</v>
      </c>
    </row>
    <row r="194" spans="1:23" x14ac:dyDescent="0.3">
      <c r="A194" s="6" t="s">
        <v>299</v>
      </c>
      <c r="B194" s="1">
        <v>45723</v>
      </c>
      <c r="C194" s="6" t="s">
        <v>84</v>
      </c>
      <c r="D194" s="6" t="s">
        <v>60</v>
      </c>
      <c r="E194" s="6" t="s">
        <v>35</v>
      </c>
      <c r="F194" s="6" t="s">
        <v>24</v>
      </c>
      <c r="G194" s="6" t="s">
        <v>97</v>
      </c>
      <c r="H194" s="6" t="s">
        <v>26</v>
      </c>
      <c r="I194" s="6" t="s">
        <v>52</v>
      </c>
      <c r="J194" s="6" t="s">
        <v>60</v>
      </c>
      <c r="K194" s="6" t="s">
        <v>106</v>
      </c>
      <c r="L194" s="6" t="s">
        <v>54</v>
      </c>
      <c r="M194" s="6" t="s">
        <v>29</v>
      </c>
      <c r="N194" s="6" t="s">
        <v>28</v>
      </c>
      <c r="O194" s="6" t="s">
        <v>48</v>
      </c>
      <c r="P194" s="6" t="s">
        <v>48</v>
      </c>
      <c r="Q194" s="6" t="s">
        <v>48</v>
      </c>
      <c r="R194" s="6" t="s">
        <v>49</v>
      </c>
      <c r="S194" s="6" t="s">
        <v>54</v>
      </c>
      <c r="T194" s="6" t="s">
        <v>48</v>
      </c>
      <c r="U194" s="6" t="s">
        <v>28</v>
      </c>
      <c r="V194" s="6" t="s">
        <v>82</v>
      </c>
      <c r="W194" t="s">
        <v>354</v>
      </c>
    </row>
    <row r="195" spans="1:23" x14ac:dyDescent="0.3">
      <c r="A195" s="6" t="s">
        <v>299</v>
      </c>
      <c r="B195" s="1">
        <v>45723</v>
      </c>
      <c r="C195" s="6" t="s">
        <v>84</v>
      </c>
      <c r="D195" s="6" t="s">
        <v>60</v>
      </c>
      <c r="E195" s="6" t="s">
        <v>35</v>
      </c>
      <c r="F195" s="6" t="s">
        <v>24</v>
      </c>
      <c r="G195" s="6" t="s">
        <v>97</v>
      </c>
      <c r="H195" s="6" t="s">
        <v>26</v>
      </c>
      <c r="I195" s="6" t="s">
        <v>52</v>
      </c>
      <c r="J195" s="6" t="s">
        <v>60</v>
      </c>
      <c r="K195" s="6" t="s">
        <v>106</v>
      </c>
      <c r="L195" s="6" t="s">
        <v>54</v>
      </c>
      <c r="M195" s="6" t="s">
        <v>29</v>
      </c>
      <c r="N195" s="6" t="s">
        <v>28</v>
      </c>
      <c r="O195" s="6" t="s">
        <v>48</v>
      </c>
      <c r="P195" s="6" t="s">
        <v>48</v>
      </c>
      <c r="Q195" s="6" t="s">
        <v>48</v>
      </c>
      <c r="R195" s="6" t="s">
        <v>49</v>
      </c>
      <c r="S195" s="6" t="s">
        <v>54</v>
      </c>
      <c r="T195" s="6" t="s">
        <v>48</v>
      </c>
      <c r="U195" s="6" t="s">
        <v>28</v>
      </c>
      <c r="V195" s="6" t="s">
        <v>137</v>
      </c>
      <c r="W195" t="s">
        <v>354</v>
      </c>
    </row>
    <row r="196" spans="1:23" x14ac:dyDescent="0.3">
      <c r="A196" s="6" t="s">
        <v>300</v>
      </c>
      <c r="B196" s="1">
        <v>45727</v>
      </c>
      <c r="C196" s="6" t="s">
        <v>343</v>
      </c>
      <c r="D196" s="6" t="s">
        <v>81</v>
      </c>
      <c r="E196" s="6" t="s">
        <v>23</v>
      </c>
      <c r="F196" s="6" t="s">
        <v>24</v>
      </c>
      <c r="G196" s="6" t="s">
        <v>61</v>
      </c>
      <c r="H196" s="6" t="s">
        <v>26</v>
      </c>
      <c r="I196" s="6" t="s">
        <v>27</v>
      </c>
      <c r="J196" s="6" t="s">
        <v>81</v>
      </c>
      <c r="K196" s="6" t="s">
        <v>48</v>
      </c>
      <c r="L196" s="6" t="s">
        <v>54</v>
      </c>
      <c r="M196" s="6" t="s">
        <v>48</v>
      </c>
      <c r="N196" s="6" t="s">
        <v>28</v>
      </c>
      <c r="O196" s="6" t="s">
        <v>30</v>
      </c>
      <c r="P196" s="6" t="s">
        <v>48</v>
      </c>
      <c r="Q196" s="6" t="s">
        <v>48</v>
      </c>
      <c r="R196" s="6" t="s">
        <v>81</v>
      </c>
      <c r="S196" s="6" t="s">
        <v>54</v>
      </c>
      <c r="T196" s="6" t="s">
        <v>48</v>
      </c>
      <c r="U196" s="6" t="s">
        <v>28</v>
      </c>
      <c r="V196" s="6" t="s">
        <v>82</v>
      </c>
      <c r="W196" t="s">
        <v>354</v>
      </c>
    </row>
    <row r="197" spans="1:23" x14ac:dyDescent="0.3">
      <c r="A197" s="6" t="s">
        <v>301</v>
      </c>
      <c r="B197" s="1">
        <v>45727</v>
      </c>
      <c r="C197" s="6" t="s">
        <v>84</v>
      </c>
      <c r="D197" s="6" t="s">
        <v>43</v>
      </c>
      <c r="E197" s="6" t="s">
        <v>23</v>
      </c>
      <c r="F197" s="6" t="s">
        <v>24</v>
      </c>
      <c r="G197" s="6" t="s">
        <v>61</v>
      </c>
      <c r="H197" s="6" t="s">
        <v>26</v>
      </c>
      <c r="I197" s="6" t="s">
        <v>42</v>
      </c>
      <c r="J197" s="6" t="s">
        <v>43</v>
      </c>
      <c r="K197" s="6" t="s">
        <v>48</v>
      </c>
      <c r="L197" s="6" t="s">
        <v>54</v>
      </c>
      <c r="M197" s="6" t="s">
        <v>55</v>
      </c>
      <c r="N197" s="6" t="s">
        <v>28</v>
      </c>
      <c r="O197" s="6" t="s">
        <v>26</v>
      </c>
      <c r="P197" s="6" t="s">
        <v>37</v>
      </c>
      <c r="Q197" s="6" t="s">
        <v>31</v>
      </c>
      <c r="R197" s="6" t="s">
        <v>43</v>
      </c>
      <c r="S197" s="6" t="s">
        <v>54</v>
      </c>
      <c r="T197" s="6" t="s">
        <v>32</v>
      </c>
      <c r="U197" s="6" t="s">
        <v>28</v>
      </c>
      <c r="V197" s="6" t="s">
        <v>82</v>
      </c>
      <c r="W197" t="s">
        <v>354</v>
      </c>
    </row>
    <row r="198" spans="1:23" x14ac:dyDescent="0.3">
      <c r="A198" s="6" t="s">
        <v>302</v>
      </c>
      <c r="B198" s="1">
        <v>45730</v>
      </c>
      <c r="C198" s="6" t="s">
        <v>84</v>
      </c>
      <c r="D198" s="6" t="s">
        <v>117</v>
      </c>
      <c r="E198" s="6" t="s">
        <v>46</v>
      </c>
      <c r="F198" s="6" t="s">
        <v>24</v>
      </c>
      <c r="G198" s="6" t="s">
        <v>104</v>
      </c>
      <c r="H198" s="6" t="s">
        <v>26</v>
      </c>
      <c r="I198" s="6" t="s">
        <v>58</v>
      </c>
      <c r="J198" s="6" t="s">
        <v>117</v>
      </c>
      <c r="K198" s="6" t="s">
        <v>48</v>
      </c>
      <c r="L198" s="6" t="s">
        <v>152</v>
      </c>
      <c r="M198" s="6" t="s">
        <v>55</v>
      </c>
      <c r="N198" s="6" t="s">
        <v>28</v>
      </c>
      <c r="O198" s="6" t="s">
        <v>26</v>
      </c>
      <c r="P198" s="6" t="s">
        <v>42</v>
      </c>
      <c r="Q198" s="6" t="s">
        <v>31</v>
      </c>
      <c r="R198" s="6" t="s">
        <v>49</v>
      </c>
      <c r="S198" s="6" t="s">
        <v>128</v>
      </c>
      <c r="T198" s="6" t="s">
        <v>32</v>
      </c>
      <c r="U198" s="6" t="s">
        <v>28</v>
      </c>
      <c r="V198" s="6" t="s">
        <v>82</v>
      </c>
      <c r="W198" t="s">
        <v>354</v>
      </c>
    </row>
    <row r="199" spans="1:23" x14ac:dyDescent="0.3">
      <c r="A199" s="6" t="s">
        <v>303</v>
      </c>
      <c r="B199" s="1">
        <v>45731</v>
      </c>
      <c r="C199" s="6" t="s">
        <v>39</v>
      </c>
      <c r="D199" s="6" t="s">
        <v>81</v>
      </c>
      <c r="E199" s="6" t="s">
        <v>64</v>
      </c>
      <c r="F199" s="6" t="s">
        <v>24</v>
      </c>
      <c r="G199" s="6" t="s">
        <v>69</v>
      </c>
      <c r="H199" s="6" t="s">
        <v>26</v>
      </c>
      <c r="I199" s="6" t="s">
        <v>38</v>
      </c>
      <c r="J199" s="6" t="s">
        <v>81</v>
      </c>
      <c r="K199" s="6" t="s">
        <v>48</v>
      </c>
      <c r="L199" s="6" t="s">
        <v>54</v>
      </c>
      <c r="M199" s="6" t="s">
        <v>29</v>
      </c>
      <c r="N199" s="6" t="s">
        <v>28</v>
      </c>
      <c r="O199" s="6" t="s">
        <v>26</v>
      </c>
      <c r="P199" s="6" t="s">
        <v>58</v>
      </c>
      <c r="Q199" s="6" t="s">
        <v>31</v>
      </c>
      <c r="R199" s="6" t="s">
        <v>81</v>
      </c>
      <c r="S199" s="6" t="s">
        <v>54</v>
      </c>
      <c r="T199" s="6" t="s">
        <v>29</v>
      </c>
      <c r="U199" s="6" t="s">
        <v>28</v>
      </c>
      <c r="V199" s="6" t="s">
        <v>146</v>
      </c>
      <c r="W199" t="s">
        <v>354</v>
      </c>
    </row>
    <row r="200" spans="1:23" x14ac:dyDescent="0.3">
      <c r="A200" s="6" t="s">
        <v>304</v>
      </c>
      <c r="B200" s="1">
        <v>45733</v>
      </c>
      <c r="C200" s="6" t="s">
        <v>33</v>
      </c>
      <c r="D200" s="6" t="s">
        <v>95</v>
      </c>
      <c r="E200" s="6" t="s">
        <v>46</v>
      </c>
      <c r="F200" s="6" t="s">
        <v>24</v>
      </c>
      <c r="G200" s="6" t="s">
        <v>69</v>
      </c>
      <c r="H200" s="6" t="s">
        <v>48</v>
      </c>
      <c r="I200" s="6" t="s">
        <v>48</v>
      </c>
      <c r="J200" s="6" t="s">
        <v>95</v>
      </c>
      <c r="K200" s="6" t="s">
        <v>48</v>
      </c>
      <c r="L200" s="6" t="s">
        <v>54</v>
      </c>
      <c r="M200" s="6" t="s">
        <v>48</v>
      </c>
      <c r="N200" s="6" t="s">
        <v>28</v>
      </c>
      <c r="O200" s="6" t="s">
        <v>26</v>
      </c>
      <c r="P200" s="6" t="s">
        <v>37</v>
      </c>
      <c r="Q200" s="6" t="s">
        <v>31</v>
      </c>
      <c r="R200" s="6" t="s">
        <v>95</v>
      </c>
      <c r="S200" s="6" t="s">
        <v>54</v>
      </c>
      <c r="T200" s="6" t="s">
        <v>48</v>
      </c>
      <c r="U200" s="6" t="s">
        <v>28</v>
      </c>
      <c r="V200" s="6" t="s">
        <v>82</v>
      </c>
      <c r="W200" t="s">
        <v>354</v>
      </c>
    </row>
    <row r="201" spans="1:23" x14ac:dyDescent="0.3">
      <c r="A201" s="6" t="s">
        <v>304</v>
      </c>
      <c r="B201" s="1">
        <v>45733</v>
      </c>
      <c r="C201" s="6" t="s">
        <v>33</v>
      </c>
      <c r="D201" s="6" t="s">
        <v>95</v>
      </c>
      <c r="E201" s="6" t="s">
        <v>46</v>
      </c>
      <c r="F201" s="6" t="s">
        <v>24</v>
      </c>
      <c r="G201" s="6" t="s">
        <v>69</v>
      </c>
      <c r="H201" s="6" t="s">
        <v>48</v>
      </c>
      <c r="I201" s="6" t="s">
        <v>48</v>
      </c>
      <c r="J201" s="6" t="s">
        <v>95</v>
      </c>
      <c r="K201" s="6" t="s">
        <v>48</v>
      </c>
      <c r="L201" s="6" t="s">
        <v>54</v>
      </c>
      <c r="M201" s="6" t="s">
        <v>48</v>
      </c>
      <c r="N201" s="6" t="s">
        <v>28</v>
      </c>
      <c r="O201" s="6" t="s">
        <v>26</v>
      </c>
      <c r="P201" s="6" t="s">
        <v>37</v>
      </c>
      <c r="Q201" s="6" t="s">
        <v>31</v>
      </c>
      <c r="R201" s="6" t="s">
        <v>95</v>
      </c>
      <c r="S201" s="6" t="s">
        <v>54</v>
      </c>
      <c r="T201" s="6" t="s">
        <v>48</v>
      </c>
      <c r="U201" s="6" t="s">
        <v>28</v>
      </c>
      <c r="V201" s="6" t="s">
        <v>146</v>
      </c>
      <c r="W201" t="s">
        <v>354</v>
      </c>
    </row>
    <row r="202" spans="1:23" x14ac:dyDescent="0.3">
      <c r="A202" s="6" t="s">
        <v>305</v>
      </c>
      <c r="B202" s="1">
        <v>45733</v>
      </c>
      <c r="C202" s="6" t="s">
        <v>343</v>
      </c>
      <c r="D202" s="6" t="s">
        <v>40</v>
      </c>
      <c r="E202" s="6" t="s">
        <v>35</v>
      </c>
      <c r="F202" s="6" t="s">
        <v>24</v>
      </c>
      <c r="G202" s="6" t="s">
        <v>98</v>
      </c>
      <c r="H202" s="6" t="s">
        <v>48</v>
      </c>
      <c r="I202" s="6" t="s">
        <v>27</v>
      </c>
      <c r="J202" s="6" t="s">
        <v>40</v>
      </c>
      <c r="K202" s="6" t="s">
        <v>48</v>
      </c>
      <c r="L202" s="6" t="s">
        <v>54</v>
      </c>
      <c r="M202" s="6" t="s">
        <v>48</v>
      </c>
      <c r="N202" s="6" t="s">
        <v>28</v>
      </c>
      <c r="O202" s="6" t="s">
        <v>48</v>
      </c>
      <c r="P202" s="6" t="s">
        <v>48</v>
      </c>
      <c r="Q202" s="6" t="s">
        <v>48</v>
      </c>
      <c r="R202" s="6" t="s">
        <v>40</v>
      </c>
      <c r="S202" s="6" t="s">
        <v>54</v>
      </c>
      <c r="T202" s="6" t="s">
        <v>48</v>
      </c>
      <c r="U202" s="6" t="s">
        <v>94</v>
      </c>
      <c r="V202" s="6" t="s">
        <v>82</v>
      </c>
      <c r="W202" t="s">
        <v>354</v>
      </c>
    </row>
    <row r="203" spans="1:23" x14ac:dyDescent="0.3">
      <c r="A203" s="6" t="s">
        <v>305</v>
      </c>
      <c r="B203" s="1">
        <v>45733</v>
      </c>
      <c r="C203" s="6" t="s">
        <v>343</v>
      </c>
      <c r="D203" s="6" t="s">
        <v>40</v>
      </c>
      <c r="E203" s="6" t="s">
        <v>35</v>
      </c>
      <c r="F203" s="6" t="s">
        <v>24</v>
      </c>
      <c r="G203" s="6" t="s">
        <v>98</v>
      </c>
      <c r="H203" s="6" t="s">
        <v>48</v>
      </c>
      <c r="I203" s="6" t="s">
        <v>27</v>
      </c>
      <c r="J203" s="6" t="s">
        <v>40</v>
      </c>
      <c r="K203" s="6" t="s">
        <v>48</v>
      </c>
      <c r="L203" s="6" t="s">
        <v>54</v>
      </c>
      <c r="M203" s="6" t="s">
        <v>48</v>
      </c>
      <c r="N203" s="6" t="s">
        <v>28</v>
      </c>
      <c r="O203" s="6" t="s">
        <v>48</v>
      </c>
      <c r="P203" s="6" t="s">
        <v>48</v>
      </c>
      <c r="Q203" s="6" t="s">
        <v>48</v>
      </c>
      <c r="R203" s="6" t="s">
        <v>40</v>
      </c>
      <c r="S203" s="6" t="s">
        <v>54</v>
      </c>
      <c r="T203" s="6" t="s">
        <v>48</v>
      </c>
      <c r="U203" s="6" t="s">
        <v>94</v>
      </c>
      <c r="V203" s="6" t="s">
        <v>146</v>
      </c>
      <c r="W203" t="s">
        <v>354</v>
      </c>
    </row>
    <row r="204" spans="1:23" x14ac:dyDescent="0.3">
      <c r="A204" s="6" t="s">
        <v>306</v>
      </c>
      <c r="B204" s="1">
        <v>45733</v>
      </c>
      <c r="C204" s="6" t="s">
        <v>343</v>
      </c>
      <c r="D204" s="6" t="s">
        <v>40</v>
      </c>
      <c r="E204" s="6" t="s">
        <v>35</v>
      </c>
      <c r="F204" s="6" t="s">
        <v>24</v>
      </c>
      <c r="G204" s="6" t="s">
        <v>46</v>
      </c>
      <c r="H204" s="6" t="s">
        <v>26</v>
      </c>
      <c r="I204" s="6" t="s">
        <v>37</v>
      </c>
      <c r="J204" s="6" t="s">
        <v>40</v>
      </c>
      <c r="K204" s="6" t="s">
        <v>48</v>
      </c>
      <c r="L204" s="6" t="s">
        <v>54</v>
      </c>
      <c r="M204" s="6" t="s">
        <v>32</v>
      </c>
      <c r="N204" s="6" t="s">
        <v>28</v>
      </c>
      <c r="O204" s="6" t="s">
        <v>48</v>
      </c>
      <c r="P204" s="6" t="s">
        <v>48</v>
      </c>
      <c r="Q204" s="6" t="s">
        <v>48</v>
      </c>
      <c r="R204" s="6" t="s">
        <v>49</v>
      </c>
      <c r="S204" s="6" t="s">
        <v>54</v>
      </c>
      <c r="T204" s="6" t="s">
        <v>48</v>
      </c>
      <c r="U204" s="6" t="s">
        <v>28</v>
      </c>
      <c r="V204" s="6" t="s">
        <v>82</v>
      </c>
      <c r="W204" t="s">
        <v>354</v>
      </c>
    </row>
    <row r="205" spans="1:23" x14ac:dyDescent="0.3">
      <c r="A205" s="6" t="s">
        <v>307</v>
      </c>
      <c r="B205" s="1">
        <v>45733</v>
      </c>
      <c r="C205" s="6" t="s">
        <v>84</v>
      </c>
      <c r="D205" s="6" t="s">
        <v>40</v>
      </c>
      <c r="E205" s="6" t="s">
        <v>46</v>
      </c>
      <c r="F205" s="6" t="s">
        <v>24</v>
      </c>
      <c r="G205" s="6" t="s">
        <v>145</v>
      </c>
      <c r="H205" s="6" t="s">
        <v>26</v>
      </c>
      <c r="I205" s="6" t="s">
        <v>52</v>
      </c>
      <c r="J205" s="6" t="s">
        <v>40</v>
      </c>
      <c r="K205" s="6" t="s">
        <v>48</v>
      </c>
      <c r="L205" s="6" t="s">
        <v>152</v>
      </c>
      <c r="M205" s="6" t="s">
        <v>55</v>
      </c>
      <c r="N205" s="6" t="s">
        <v>28</v>
      </c>
      <c r="O205" s="6" t="s">
        <v>26</v>
      </c>
      <c r="P205" s="6" t="s">
        <v>788</v>
      </c>
      <c r="Q205" s="6" t="s">
        <v>31</v>
      </c>
      <c r="R205" s="6" t="s">
        <v>40</v>
      </c>
      <c r="S205" s="6" t="s">
        <v>54</v>
      </c>
      <c r="T205" s="6" t="s">
        <v>32</v>
      </c>
      <c r="U205" s="6" t="s">
        <v>28</v>
      </c>
      <c r="V205" s="6" t="s">
        <v>146</v>
      </c>
      <c r="W205" t="s">
        <v>354</v>
      </c>
    </row>
    <row r="206" spans="1:23" x14ac:dyDescent="0.3">
      <c r="A206" s="6" t="s">
        <v>308</v>
      </c>
      <c r="B206" s="1">
        <v>45733</v>
      </c>
      <c r="C206" s="6" t="s">
        <v>343</v>
      </c>
      <c r="D206" s="6" t="s">
        <v>22</v>
      </c>
      <c r="E206" s="6" t="s">
        <v>68</v>
      </c>
      <c r="F206" s="6" t="s">
        <v>24</v>
      </c>
      <c r="G206" s="6" t="s">
        <v>98</v>
      </c>
      <c r="H206" s="6" t="s">
        <v>26</v>
      </c>
      <c r="I206" s="6" t="s">
        <v>52</v>
      </c>
      <c r="J206" s="6" t="s">
        <v>22</v>
      </c>
      <c r="K206" s="6" t="s">
        <v>106</v>
      </c>
      <c r="L206" s="6" t="s">
        <v>54</v>
      </c>
      <c r="M206" s="6" t="s">
        <v>29</v>
      </c>
      <c r="N206" s="6" t="s">
        <v>28</v>
      </c>
      <c r="O206" s="6" t="s">
        <v>48</v>
      </c>
      <c r="P206" s="6" t="s">
        <v>48</v>
      </c>
      <c r="Q206" s="6" t="s">
        <v>48</v>
      </c>
      <c r="R206" s="6" t="s">
        <v>22</v>
      </c>
      <c r="S206" s="6" t="s">
        <v>54</v>
      </c>
      <c r="T206" s="6" t="s">
        <v>48</v>
      </c>
      <c r="U206" s="6" t="s">
        <v>149</v>
      </c>
      <c r="V206" s="6" t="s">
        <v>146</v>
      </c>
      <c r="W206" t="s">
        <v>354</v>
      </c>
    </row>
    <row r="207" spans="1:23" x14ac:dyDescent="0.3">
      <c r="A207" s="6" t="s">
        <v>308</v>
      </c>
      <c r="B207" s="1">
        <v>45733</v>
      </c>
      <c r="C207" s="6" t="s">
        <v>343</v>
      </c>
      <c r="D207" s="6" t="s">
        <v>22</v>
      </c>
      <c r="E207" s="6" t="s">
        <v>68</v>
      </c>
      <c r="F207" s="6" t="s">
        <v>24</v>
      </c>
      <c r="G207" s="6" t="s">
        <v>98</v>
      </c>
      <c r="H207" s="6" t="s">
        <v>26</v>
      </c>
      <c r="I207" s="6" t="s">
        <v>52</v>
      </c>
      <c r="J207" s="6" t="s">
        <v>22</v>
      </c>
      <c r="K207" s="6" t="s">
        <v>106</v>
      </c>
      <c r="L207" s="6" t="s">
        <v>54</v>
      </c>
      <c r="M207" s="6" t="s">
        <v>29</v>
      </c>
      <c r="N207" s="6" t="s">
        <v>28</v>
      </c>
      <c r="O207" s="6" t="s">
        <v>48</v>
      </c>
      <c r="P207" s="6" t="s">
        <v>48</v>
      </c>
      <c r="Q207" s="6" t="s">
        <v>48</v>
      </c>
      <c r="R207" s="6" t="s">
        <v>22</v>
      </c>
      <c r="S207" s="6" t="s">
        <v>54</v>
      </c>
      <c r="T207" s="6" t="s">
        <v>48</v>
      </c>
      <c r="U207" s="6" t="s">
        <v>149</v>
      </c>
      <c r="V207" s="6" t="s">
        <v>82</v>
      </c>
      <c r="W207" t="s">
        <v>354</v>
      </c>
    </row>
    <row r="208" spans="1:23" x14ac:dyDescent="0.3">
      <c r="A208" s="6" t="s">
        <v>309</v>
      </c>
      <c r="B208" s="1">
        <v>45733</v>
      </c>
      <c r="C208" s="6" t="s">
        <v>84</v>
      </c>
      <c r="D208" s="6" t="s">
        <v>48</v>
      </c>
      <c r="E208" s="6" t="s">
        <v>23</v>
      </c>
      <c r="F208" s="6" t="s">
        <v>24</v>
      </c>
      <c r="G208" s="6" t="s">
        <v>61</v>
      </c>
      <c r="H208" s="6" t="s">
        <v>26</v>
      </c>
      <c r="I208" s="6" t="s">
        <v>52</v>
      </c>
      <c r="J208" s="6" t="s">
        <v>83</v>
      </c>
      <c r="K208" s="6" t="s">
        <v>48</v>
      </c>
      <c r="L208" s="6" t="s">
        <v>54</v>
      </c>
      <c r="M208" s="6" t="s">
        <v>55</v>
      </c>
      <c r="N208" s="6" t="s">
        <v>28</v>
      </c>
      <c r="O208" s="6" t="s">
        <v>26</v>
      </c>
      <c r="P208" s="6" t="s">
        <v>48</v>
      </c>
      <c r="Q208" s="6" t="s">
        <v>48</v>
      </c>
      <c r="R208" s="6" t="s">
        <v>93</v>
      </c>
      <c r="S208" s="6" t="s">
        <v>54</v>
      </c>
      <c r="T208" s="6" t="s">
        <v>32</v>
      </c>
      <c r="U208" s="6" t="s">
        <v>28</v>
      </c>
      <c r="V208" s="6" t="s">
        <v>82</v>
      </c>
      <c r="W208" t="s">
        <v>354</v>
      </c>
    </row>
    <row r="209" spans="1:23" x14ac:dyDescent="0.3">
      <c r="A209" s="6" t="s">
        <v>310</v>
      </c>
      <c r="B209" s="1">
        <v>45734</v>
      </c>
      <c r="C209" s="6" t="s">
        <v>343</v>
      </c>
      <c r="D209" s="6" t="s">
        <v>40</v>
      </c>
      <c r="E209" s="6" t="s">
        <v>64</v>
      </c>
      <c r="F209" s="6" t="s">
        <v>24</v>
      </c>
      <c r="G209" s="6" t="s">
        <v>69</v>
      </c>
      <c r="H209" s="6" t="s">
        <v>48</v>
      </c>
      <c r="I209" s="6" t="s">
        <v>52</v>
      </c>
      <c r="J209" s="6" t="s">
        <v>40</v>
      </c>
      <c r="K209" s="6" t="s">
        <v>48</v>
      </c>
      <c r="L209" s="6" t="s">
        <v>152</v>
      </c>
      <c r="M209" s="6" t="s">
        <v>48</v>
      </c>
      <c r="N209" s="6" t="s">
        <v>159</v>
      </c>
      <c r="O209" s="6" t="s">
        <v>26</v>
      </c>
      <c r="P209" s="6" t="s">
        <v>48</v>
      </c>
      <c r="Q209" s="6" t="s">
        <v>31</v>
      </c>
      <c r="R209" s="6" t="s">
        <v>40</v>
      </c>
      <c r="S209" s="6" t="s">
        <v>54</v>
      </c>
      <c r="T209" s="6" t="s">
        <v>48</v>
      </c>
      <c r="U209" s="6" t="s">
        <v>28</v>
      </c>
      <c r="V209" s="6" t="s">
        <v>82</v>
      </c>
      <c r="W209" t="s">
        <v>354</v>
      </c>
    </row>
    <row r="210" spans="1:23" x14ac:dyDescent="0.3">
      <c r="A210" s="6" t="s">
        <v>310</v>
      </c>
      <c r="B210" s="1">
        <v>45734</v>
      </c>
      <c r="C210" s="6" t="s">
        <v>343</v>
      </c>
      <c r="D210" s="6" t="s">
        <v>40</v>
      </c>
      <c r="E210" s="6" t="s">
        <v>64</v>
      </c>
      <c r="F210" s="6" t="s">
        <v>24</v>
      </c>
      <c r="G210" s="6" t="s">
        <v>69</v>
      </c>
      <c r="H210" s="6" t="s">
        <v>48</v>
      </c>
      <c r="I210" s="6" t="s">
        <v>52</v>
      </c>
      <c r="J210" s="6" t="s">
        <v>40</v>
      </c>
      <c r="K210" s="6" t="s">
        <v>48</v>
      </c>
      <c r="L210" s="6" t="s">
        <v>152</v>
      </c>
      <c r="M210" s="6" t="s">
        <v>48</v>
      </c>
      <c r="N210" s="6" t="s">
        <v>159</v>
      </c>
      <c r="O210" s="6" t="s">
        <v>26</v>
      </c>
      <c r="P210" s="6" t="s">
        <v>48</v>
      </c>
      <c r="Q210" s="6" t="s">
        <v>31</v>
      </c>
      <c r="R210" s="6" t="s">
        <v>40</v>
      </c>
      <c r="S210" s="6" t="s">
        <v>54</v>
      </c>
      <c r="T210" s="6" t="s">
        <v>48</v>
      </c>
      <c r="U210" s="6" t="s">
        <v>28</v>
      </c>
      <c r="V210" s="6" t="s">
        <v>146</v>
      </c>
      <c r="W210" t="s">
        <v>354</v>
      </c>
    </row>
    <row r="211" spans="1:23" x14ac:dyDescent="0.3">
      <c r="A211" s="6" t="s">
        <v>311</v>
      </c>
      <c r="B211" s="1">
        <v>45734</v>
      </c>
      <c r="C211" s="6" t="s">
        <v>343</v>
      </c>
      <c r="D211" s="6" t="s">
        <v>40</v>
      </c>
      <c r="E211" s="6" t="s">
        <v>46</v>
      </c>
      <c r="F211" s="6" t="s">
        <v>24</v>
      </c>
      <c r="G211" s="6" t="s">
        <v>69</v>
      </c>
      <c r="H211" s="6" t="s">
        <v>26</v>
      </c>
      <c r="I211" s="6" t="s">
        <v>27</v>
      </c>
      <c r="J211" s="6" t="s">
        <v>40</v>
      </c>
      <c r="K211" s="6" t="s">
        <v>48</v>
      </c>
      <c r="L211" s="6" t="s">
        <v>54</v>
      </c>
      <c r="M211" s="6" t="s">
        <v>55</v>
      </c>
      <c r="N211" s="6" t="s">
        <v>28</v>
      </c>
      <c r="O211" s="6" t="s">
        <v>26</v>
      </c>
      <c r="P211" s="6" t="s">
        <v>48</v>
      </c>
      <c r="Q211" s="6" t="s">
        <v>31</v>
      </c>
      <c r="R211" s="6" t="s">
        <v>40</v>
      </c>
      <c r="S211" s="6" t="s">
        <v>54</v>
      </c>
      <c r="T211" s="6" t="s">
        <v>32</v>
      </c>
      <c r="U211" s="6" t="s">
        <v>28</v>
      </c>
      <c r="V211" s="6" t="s">
        <v>82</v>
      </c>
      <c r="W211" t="s">
        <v>354</v>
      </c>
    </row>
    <row r="212" spans="1:23" x14ac:dyDescent="0.3">
      <c r="A212" s="6" t="s">
        <v>312</v>
      </c>
      <c r="B212" s="1">
        <v>45734</v>
      </c>
      <c r="C212" s="6" t="s">
        <v>33</v>
      </c>
      <c r="D212" s="6" t="s">
        <v>40</v>
      </c>
      <c r="E212" s="6" t="s">
        <v>46</v>
      </c>
      <c r="F212" s="6" t="s">
        <v>24</v>
      </c>
      <c r="G212" s="6" t="s">
        <v>69</v>
      </c>
      <c r="H212" s="6" t="s">
        <v>26</v>
      </c>
      <c r="I212" s="6" t="s">
        <v>27</v>
      </c>
      <c r="J212" s="6" t="s">
        <v>40</v>
      </c>
      <c r="K212" s="6" t="s">
        <v>120</v>
      </c>
      <c r="L212" s="6" t="s">
        <v>54</v>
      </c>
      <c r="M212" s="6" t="s">
        <v>55</v>
      </c>
      <c r="N212" s="6" t="s">
        <v>28</v>
      </c>
      <c r="O212" s="6" t="s">
        <v>26</v>
      </c>
      <c r="P212" s="6" t="s">
        <v>37</v>
      </c>
      <c r="Q212" s="6" t="s">
        <v>31</v>
      </c>
      <c r="R212" s="6" t="s">
        <v>40</v>
      </c>
      <c r="S212" s="6" t="s">
        <v>54</v>
      </c>
      <c r="T212" s="6" t="s">
        <v>29</v>
      </c>
      <c r="U212" s="6" t="s">
        <v>28</v>
      </c>
      <c r="V212" s="6" t="s">
        <v>82</v>
      </c>
      <c r="W212" t="s">
        <v>354</v>
      </c>
    </row>
    <row r="213" spans="1:23" x14ac:dyDescent="0.3">
      <c r="A213" s="6" t="s">
        <v>312</v>
      </c>
      <c r="B213" s="1">
        <v>45734</v>
      </c>
      <c r="C213" s="6" t="s">
        <v>33</v>
      </c>
      <c r="D213" s="6" t="s">
        <v>40</v>
      </c>
      <c r="E213" s="6" t="s">
        <v>46</v>
      </c>
      <c r="F213" s="6" t="s">
        <v>24</v>
      </c>
      <c r="G213" s="6" t="s">
        <v>69</v>
      </c>
      <c r="H213" s="6" t="s">
        <v>26</v>
      </c>
      <c r="I213" s="6" t="s">
        <v>27</v>
      </c>
      <c r="J213" s="6" t="s">
        <v>40</v>
      </c>
      <c r="K213" s="6" t="s">
        <v>120</v>
      </c>
      <c r="L213" s="6" t="s">
        <v>54</v>
      </c>
      <c r="M213" s="6" t="s">
        <v>55</v>
      </c>
      <c r="N213" s="6" t="s">
        <v>28</v>
      </c>
      <c r="O213" s="6" t="s">
        <v>26</v>
      </c>
      <c r="P213" s="6" t="s">
        <v>37</v>
      </c>
      <c r="Q213" s="6" t="s">
        <v>31</v>
      </c>
      <c r="R213" s="6" t="s">
        <v>40</v>
      </c>
      <c r="S213" s="6" t="s">
        <v>54</v>
      </c>
      <c r="T213" s="6" t="s">
        <v>29</v>
      </c>
      <c r="U213" s="6" t="s">
        <v>28</v>
      </c>
      <c r="V213" s="6" t="s">
        <v>146</v>
      </c>
      <c r="W213" t="s">
        <v>354</v>
      </c>
    </row>
    <row r="214" spans="1:23" x14ac:dyDescent="0.3">
      <c r="A214" s="6" t="s">
        <v>313</v>
      </c>
      <c r="B214" s="1">
        <v>45734</v>
      </c>
      <c r="C214" s="6" t="s">
        <v>33</v>
      </c>
      <c r="D214" s="6" t="s">
        <v>40</v>
      </c>
      <c r="E214" s="6" t="s">
        <v>35</v>
      </c>
      <c r="F214" s="6" t="s">
        <v>24</v>
      </c>
      <c r="G214" s="6" t="s">
        <v>69</v>
      </c>
      <c r="H214" s="6" t="s">
        <v>48</v>
      </c>
      <c r="I214" s="6" t="s">
        <v>38</v>
      </c>
      <c r="J214" s="6" t="s">
        <v>40</v>
      </c>
      <c r="K214" s="6" t="s">
        <v>48</v>
      </c>
      <c r="L214" s="6" t="s">
        <v>152</v>
      </c>
      <c r="M214" s="6" t="s">
        <v>48</v>
      </c>
      <c r="N214" s="6" t="s">
        <v>28</v>
      </c>
      <c r="O214" s="6" t="s">
        <v>48</v>
      </c>
      <c r="P214" s="6" t="s">
        <v>48</v>
      </c>
      <c r="Q214" s="6" t="s">
        <v>48</v>
      </c>
      <c r="R214" s="6" t="s">
        <v>40</v>
      </c>
      <c r="S214" s="6" t="s">
        <v>54</v>
      </c>
      <c r="T214" s="6" t="s">
        <v>48</v>
      </c>
      <c r="U214" s="6" t="s">
        <v>56</v>
      </c>
      <c r="V214" s="6" t="s">
        <v>82</v>
      </c>
      <c r="W214" t="s">
        <v>354</v>
      </c>
    </row>
    <row r="215" spans="1:23" x14ac:dyDescent="0.3">
      <c r="A215" s="6" t="s">
        <v>314</v>
      </c>
      <c r="B215" s="1">
        <v>45734</v>
      </c>
      <c r="C215" s="6" t="s">
        <v>33</v>
      </c>
      <c r="D215" s="6" t="s">
        <v>40</v>
      </c>
      <c r="E215" s="6" t="s">
        <v>35</v>
      </c>
      <c r="F215" s="6" t="s">
        <v>24</v>
      </c>
      <c r="G215" s="6" t="s">
        <v>69</v>
      </c>
      <c r="H215" s="6" t="s">
        <v>48</v>
      </c>
      <c r="I215" s="6" t="s">
        <v>38</v>
      </c>
      <c r="J215" s="6" t="s">
        <v>40</v>
      </c>
      <c r="K215" s="6" t="s">
        <v>48</v>
      </c>
      <c r="L215" s="6" t="s">
        <v>152</v>
      </c>
      <c r="M215" s="6" t="s">
        <v>48</v>
      </c>
      <c r="N215" s="6" t="s">
        <v>28</v>
      </c>
      <c r="O215" s="6" t="s">
        <v>26</v>
      </c>
      <c r="P215" s="6" t="s">
        <v>48</v>
      </c>
      <c r="Q215" s="6" t="s">
        <v>31</v>
      </c>
      <c r="R215" s="6" t="s">
        <v>40</v>
      </c>
      <c r="S215" s="6" t="s">
        <v>54</v>
      </c>
      <c r="T215" s="6" t="s">
        <v>48</v>
      </c>
      <c r="U215" s="6" t="s">
        <v>28</v>
      </c>
      <c r="V215" s="6" t="s">
        <v>82</v>
      </c>
      <c r="W215" t="s">
        <v>354</v>
      </c>
    </row>
    <row r="216" spans="1:23" x14ac:dyDescent="0.3">
      <c r="A216" s="6" t="s">
        <v>315</v>
      </c>
      <c r="B216" s="1">
        <v>45734</v>
      </c>
      <c r="C216" s="6" t="s">
        <v>343</v>
      </c>
      <c r="D216" s="6" t="s">
        <v>60</v>
      </c>
      <c r="E216" s="6" t="s">
        <v>46</v>
      </c>
      <c r="F216" s="6" t="s">
        <v>24</v>
      </c>
      <c r="G216" s="6" t="s">
        <v>71</v>
      </c>
      <c r="H216" s="6" t="s">
        <v>26</v>
      </c>
      <c r="I216" s="6" t="s">
        <v>27</v>
      </c>
      <c r="J216" s="6" t="s">
        <v>60</v>
      </c>
      <c r="K216" s="6" t="s">
        <v>48</v>
      </c>
      <c r="L216" s="6" t="s">
        <v>54</v>
      </c>
      <c r="M216" s="6" t="s">
        <v>32</v>
      </c>
      <c r="N216" s="6" t="s">
        <v>28</v>
      </c>
      <c r="O216" s="6" t="s">
        <v>30</v>
      </c>
      <c r="P216" s="6" t="s">
        <v>48</v>
      </c>
      <c r="Q216" s="6" t="s">
        <v>31</v>
      </c>
      <c r="R216" s="6" t="s">
        <v>60</v>
      </c>
      <c r="S216" s="6" t="s">
        <v>54</v>
      </c>
      <c r="T216" s="6" t="s">
        <v>32</v>
      </c>
      <c r="U216" s="6" t="s">
        <v>28</v>
      </c>
      <c r="V216" s="6" t="s">
        <v>82</v>
      </c>
      <c r="W216" t="s">
        <v>354</v>
      </c>
    </row>
    <row r="217" spans="1:23" x14ac:dyDescent="0.3">
      <c r="A217" s="6" t="s">
        <v>316</v>
      </c>
      <c r="B217" s="1">
        <v>45734</v>
      </c>
      <c r="C217" s="6" t="s">
        <v>343</v>
      </c>
      <c r="D217" s="6" t="s">
        <v>40</v>
      </c>
      <c r="E217" s="6" t="s">
        <v>64</v>
      </c>
      <c r="F217" s="6" t="s">
        <v>24</v>
      </c>
      <c r="G217" s="6" t="s">
        <v>69</v>
      </c>
      <c r="H217" s="6" t="s">
        <v>48</v>
      </c>
      <c r="I217" s="6" t="s">
        <v>27</v>
      </c>
      <c r="J217" s="6" t="s">
        <v>40</v>
      </c>
      <c r="K217" s="6" t="s">
        <v>48</v>
      </c>
      <c r="L217" s="6" t="s">
        <v>54</v>
      </c>
      <c r="M217" s="6" t="s">
        <v>48</v>
      </c>
      <c r="N217" s="6" t="s">
        <v>28</v>
      </c>
      <c r="O217" s="6" t="s">
        <v>30</v>
      </c>
      <c r="P217" s="6" t="s">
        <v>48</v>
      </c>
      <c r="Q217" s="6" t="s">
        <v>48</v>
      </c>
      <c r="R217" s="6" t="s">
        <v>40</v>
      </c>
      <c r="S217" s="6" t="s">
        <v>54</v>
      </c>
      <c r="T217" s="6" t="s">
        <v>48</v>
      </c>
      <c r="U217" s="6" t="s">
        <v>28</v>
      </c>
      <c r="V217" s="6" t="s">
        <v>146</v>
      </c>
      <c r="W217" t="s">
        <v>354</v>
      </c>
    </row>
    <row r="218" spans="1:23" x14ac:dyDescent="0.3">
      <c r="A218" s="6" t="s">
        <v>316</v>
      </c>
      <c r="B218" s="1">
        <v>45734</v>
      </c>
      <c r="C218" s="6" t="s">
        <v>343</v>
      </c>
      <c r="D218" s="6" t="s">
        <v>40</v>
      </c>
      <c r="E218" s="6" t="s">
        <v>64</v>
      </c>
      <c r="F218" s="6" t="s">
        <v>24</v>
      </c>
      <c r="G218" s="6" t="s">
        <v>69</v>
      </c>
      <c r="H218" s="6" t="s">
        <v>48</v>
      </c>
      <c r="I218" s="6" t="s">
        <v>27</v>
      </c>
      <c r="J218" s="6" t="s">
        <v>40</v>
      </c>
      <c r="K218" s="6" t="s">
        <v>48</v>
      </c>
      <c r="L218" s="6" t="s">
        <v>54</v>
      </c>
      <c r="M218" s="6" t="s">
        <v>48</v>
      </c>
      <c r="N218" s="6" t="s">
        <v>28</v>
      </c>
      <c r="O218" s="6" t="s">
        <v>30</v>
      </c>
      <c r="P218" s="6" t="s">
        <v>48</v>
      </c>
      <c r="Q218" s="6" t="s">
        <v>48</v>
      </c>
      <c r="R218" s="6" t="s">
        <v>40</v>
      </c>
      <c r="S218" s="6" t="s">
        <v>54</v>
      </c>
      <c r="T218" s="6" t="s">
        <v>48</v>
      </c>
      <c r="U218" s="6" t="s">
        <v>28</v>
      </c>
      <c r="V218" s="6" t="s">
        <v>82</v>
      </c>
      <c r="W218" t="s">
        <v>354</v>
      </c>
    </row>
    <row r="219" spans="1:23" x14ac:dyDescent="0.3">
      <c r="A219" s="6" t="s">
        <v>317</v>
      </c>
      <c r="B219" s="1">
        <v>45734</v>
      </c>
      <c r="C219" s="6" t="s">
        <v>343</v>
      </c>
      <c r="D219" s="6" t="s">
        <v>40</v>
      </c>
      <c r="E219" s="6" t="s">
        <v>46</v>
      </c>
      <c r="F219" s="6" t="s">
        <v>24</v>
      </c>
      <c r="G219" s="6" t="s">
        <v>69</v>
      </c>
      <c r="H219" s="6" t="s">
        <v>26</v>
      </c>
      <c r="I219" s="6" t="s">
        <v>38</v>
      </c>
      <c r="J219" s="6" t="s">
        <v>40</v>
      </c>
      <c r="K219" s="6" t="s">
        <v>48</v>
      </c>
      <c r="L219" s="6" t="s">
        <v>152</v>
      </c>
      <c r="M219" s="6" t="s">
        <v>55</v>
      </c>
      <c r="N219" s="6" t="s">
        <v>28</v>
      </c>
      <c r="O219" s="6" t="s">
        <v>26</v>
      </c>
      <c r="P219" s="6" t="s">
        <v>48</v>
      </c>
      <c r="Q219" s="6" t="s">
        <v>48</v>
      </c>
      <c r="R219" s="6" t="s">
        <v>40</v>
      </c>
      <c r="S219" s="6" t="s">
        <v>54</v>
      </c>
      <c r="T219" s="6" t="s">
        <v>48</v>
      </c>
      <c r="U219" s="6" t="s">
        <v>28</v>
      </c>
      <c r="V219" s="6" t="s">
        <v>82</v>
      </c>
      <c r="W219" t="s">
        <v>354</v>
      </c>
    </row>
    <row r="220" spans="1:23" x14ac:dyDescent="0.3">
      <c r="A220" s="6" t="s">
        <v>317</v>
      </c>
      <c r="B220" s="1">
        <v>45734</v>
      </c>
      <c r="C220" s="6" t="s">
        <v>343</v>
      </c>
      <c r="D220" s="6" t="s">
        <v>40</v>
      </c>
      <c r="E220" s="6" t="s">
        <v>46</v>
      </c>
      <c r="F220" s="6" t="s">
        <v>24</v>
      </c>
      <c r="G220" s="6" t="s">
        <v>69</v>
      </c>
      <c r="H220" s="6" t="s">
        <v>26</v>
      </c>
      <c r="I220" s="6" t="s">
        <v>38</v>
      </c>
      <c r="J220" s="6" t="s">
        <v>40</v>
      </c>
      <c r="K220" s="6" t="s">
        <v>48</v>
      </c>
      <c r="L220" s="6" t="s">
        <v>152</v>
      </c>
      <c r="M220" s="6" t="s">
        <v>55</v>
      </c>
      <c r="N220" s="6" t="s">
        <v>28</v>
      </c>
      <c r="O220" s="6" t="s">
        <v>26</v>
      </c>
      <c r="P220" s="6" t="s">
        <v>48</v>
      </c>
      <c r="Q220" s="6" t="s">
        <v>48</v>
      </c>
      <c r="R220" s="6" t="s">
        <v>40</v>
      </c>
      <c r="S220" s="6" t="s">
        <v>54</v>
      </c>
      <c r="T220" s="6" t="s">
        <v>48</v>
      </c>
      <c r="U220" s="6" t="s">
        <v>28</v>
      </c>
      <c r="V220" s="6" t="s">
        <v>146</v>
      </c>
      <c r="W220" t="s">
        <v>354</v>
      </c>
    </row>
    <row r="221" spans="1:23" x14ac:dyDescent="0.3">
      <c r="A221" s="6" t="s">
        <v>318</v>
      </c>
      <c r="B221" s="1">
        <v>45734</v>
      </c>
      <c r="C221" s="6" t="s">
        <v>57</v>
      </c>
      <c r="D221" s="6" t="s">
        <v>40</v>
      </c>
      <c r="E221" s="6" t="s">
        <v>73</v>
      </c>
      <c r="F221" s="6" t="s">
        <v>24</v>
      </c>
      <c r="G221" s="6" t="s">
        <v>61</v>
      </c>
      <c r="H221" s="6" t="s">
        <v>26</v>
      </c>
      <c r="I221" s="6" t="s">
        <v>27</v>
      </c>
      <c r="J221" s="6" t="s">
        <v>40</v>
      </c>
      <c r="K221" s="6" t="s">
        <v>115</v>
      </c>
      <c r="L221" s="6" t="s">
        <v>54</v>
      </c>
      <c r="M221" s="6" t="s">
        <v>29</v>
      </c>
      <c r="N221" s="6" t="s">
        <v>28</v>
      </c>
      <c r="O221" s="6" t="s">
        <v>26</v>
      </c>
      <c r="P221" s="6" t="s">
        <v>45</v>
      </c>
      <c r="Q221" s="6" t="s">
        <v>48</v>
      </c>
      <c r="R221" s="6" t="s">
        <v>40</v>
      </c>
      <c r="S221" s="6" t="s">
        <v>54</v>
      </c>
      <c r="T221" s="6" t="s">
        <v>32</v>
      </c>
      <c r="U221" s="6" t="s">
        <v>28</v>
      </c>
      <c r="V221" s="6" t="s">
        <v>137</v>
      </c>
      <c r="W221" t="s">
        <v>354</v>
      </c>
    </row>
    <row r="222" spans="1:23" x14ac:dyDescent="0.3">
      <c r="A222" s="6" t="s">
        <v>318</v>
      </c>
      <c r="B222" s="1">
        <v>45734</v>
      </c>
      <c r="C222" s="6" t="s">
        <v>57</v>
      </c>
      <c r="D222" s="6" t="s">
        <v>40</v>
      </c>
      <c r="E222" s="6" t="s">
        <v>73</v>
      </c>
      <c r="F222" s="6" t="s">
        <v>24</v>
      </c>
      <c r="G222" s="6" t="s">
        <v>61</v>
      </c>
      <c r="H222" s="6" t="s">
        <v>26</v>
      </c>
      <c r="I222" s="6" t="s">
        <v>27</v>
      </c>
      <c r="J222" s="6" t="s">
        <v>40</v>
      </c>
      <c r="K222" s="6" t="s">
        <v>115</v>
      </c>
      <c r="L222" s="6" t="s">
        <v>54</v>
      </c>
      <c r="M222" s="6" t="s">
        <v>29</v>
      </c>
      <c r="N222" s="6" t="s">
        <v>28</v>
      </c>
      <c r="O222" s="6" t="s">
        <v>26</v>
      </c>
      <c r="P222" s="6" t="s">
        <v>45</v>
      </c>
      <c r="Q222" s="6" t="s">
        <v>48</v>
      </c>
      <c r="R222" s="6" t="s">
        <v>40</v>
      </c>
      <c r="S222" s="6" t="s">
        <v>54</v>
      </c>
      <c r="T222" s="6" t="s">
        <v>32</v>
      </c>
      <c r="U222" s="6" t="s">
        <v>28</v>
      </c>
      <c r="V222" s="6" t="s">
        <v>82</v>
      </c>
      <c r="W222" t="s">
        <v>354</v>
      </c>
    </row>
    <row r="223" spans="1:23" x14ac:dyDescent="0.3">
      <c r="A223" s="6" t="s">
        <v>320</v>
      </c>
      <c r="B223" s="1">
        <v>45736</v>
      </c>
      <c r="C223" s="6" t="s">
        <v>343</v>
      </c>
      <c r="D223" s="6" t="s">
        <v>78</v>
      </c>
      <c r="E223" s="6" t="s">
        <v>46</v>
      </c>
      <c r="F223" s="6" t="s">
        <v>24</v>
      </c>
      <c r="G223" s="6" t="s">
        <v>71</v>
      </c>
      <c r="H223" s="6" t="s">
        <v>48</v>
      </c>
      <c r="I223" s="6" t="s">
        <v>58</v>
      </c>
      <c r="J223" s="6" t="s">
        <v>78</v>
      </c>
      <c r="K223" s="6" t="s">
        <v>48</v>
      </c>
      <c r="L223" s="6" t="s">
        <v>54</v>
      </c>
      <c r="M223" s="6" t="s">
        <v>48</v>
      </c>
      <c r="N223" s="6" t="s">
        <v>28</v>
      </c>
      <c r="O223" s="6" t="s">
        <v>26</v>
      </c>
      <c r="P223" s="6" t="s">
        <v>48</v>
      </c>
      <c r="Q223" s="6" t="s">
        <v>48</v>
      </c>
      <c r="R223" s="6" t="s">
        <v>78</v>
      </c>
      <c r="S223" s="6" t="s">
        <v>54</v>
      </c>
      <c r="T223" s="6" t="s">
        <v>48</v>
      </c>
      <c r="U223" s="6" t="s">
        <v>28</v>
      </c>
      <c r="V223" s="6" t="s">
        <v>82</v>
      </c>
      <c r="W223" t="s">
        <v>354</v>
      </c>
    </row>
    <row r="224" spans="1:23" x14ac:dyDescent="0.3">
      <c r="A224" s="6" t="s">
        <v>319</v>
      </c>
      <c r="B224" s="1">
        <v>45736</v>
      </c>
      <c r="C224" s="6" t="s">
        <v>343</v>
      </c>
      <c r="D224" s="6" t="s">
        <v>78</v>
      </c>
      <c r="E224" s="6" t="s">
        <v>46</v>
      </c>
      <c r="F224" s="6" t="s">
        <v>24</v>
      </c>
      <c r="G224" s="6" t="s">
        <v>71</v>
      </c>
      <c r="H224" s="6" t="s">
        <v>48</v>
      </c>
      <c r="I224" s="6" t="s">
        <v>58</v>
      </c>
      <c r="J224" s="6" t="s">
        <v>78</v>
      </c>
      <c r="K224" s="6" t="s">
        <v>48</v>
      </c>
      <c r="L224" s="6" t="s">
        <v>54</v>
      </c>
      <c r="M224" s="6" t="s">
        <v>48</v>
      </c>
      <c r="N224" s="6" t="s">
        <v>28</v>
      </c>
      <c r="O224" s="6" t="s">
        <v>26</v>
      </c>
      <c r="P224" s="6" t="s">
        <v>48</v>
      </c>
      <c r="Q224" s="6" t="s">
        <v>48</v>
      </c>
      <c r="R224" s="6" t="s">
        <v>78</v>
      </c>
      <c r="S224" s="6" t="s">
        <v>54</v>
      </c>
      <c r="T224" s="6" t="s">
        <v>48</v>
      </c>
      <c r="U224" s="6" t="s">
        <v>28</v>
      </c>
      <c r="V224" s="6" t="s">
        <v>146</v>
      </c>
      <c r="W224" t="s">
        <v>354</v>
      </c>
    </row>
    <row r="225" spans="1:23" x14ac:dyDescent="0.3">
      <c r="A225" s="6" t="s">
        <v>321</v>
      </c>
      <c r="B225" s="1">
        <v>45736</v>
      </c>
      <c r="C225" s="6" t="s">
        <v>343</v>
      </c>
      <c r="D225" s="6" t="s">
        <v>78</v>
      </c>
      <c r="E225" s="6" t="s">
        <v>46</v>
      </c>
      <c r="F225" s="6" t="s">
        <v>24</v>
      </c>
      <c r="G225" s="6" t="s">
        <v>71</v>
      </c>
      <c r="H225" s="6" t="s">
        <v>48</v>
      </c>
      <c r="I225" s="6" t="s">
        <v>58</v>
      </c>
      <c r="J225" s="6" t="s">
        <v>78</v>
      </c>
      <c r="K225" s="6" t="s">
        <v>48</v>
      </c>
      <c r="L225" s="6" t="s">
        <v>54</v>
      </c>
      <c r="M225" s="6" t="s">
        <v>48</v>
      </c>
      <c r="N225" s="6" t="s">
        <v>28</v>
      </c>
      <c r="O225" s="6" t="s">
        <v>26</v>
      </c>
      <c r="P225" s="6" t="s">
        <v>48</v>
      </c>
      <c r="Q225" s="6" t="s">
        <v>48</v>
      </c>
      <c r="R225" s="6" t="s">
        <v>78</v>
      </c>
      <c r="S225" s="6" t="s">
        <v>54</v>
      </c>
      <c r="T225" s="6" t="s">
        <v>48</v>
      </c>
      <c r="U225" s="6" t="s">
        <v>28</v>
      </c>
      <c r="V225" s="6" t="s">
        <v>137</v>
      </c>
      <c r="W225" t="s">
        <v>354</v>
      </c>
    </row>
    <row r="226" spans="1:23" x14ac:dyDescent="0.3">
      <c r="A226" s="6" t="s">
        <v>319</v>
      </c>
      <c r="B226" s="1">
        <v>45736</v>
      </c>
      <c r="C226" s="6" t="s">
        <v>343</v>
      </c>
      <c r="D226" s="6" t="s">
        <v>78</v>
      </c>
      <c r="E226" s="6" t="s">
        <v>46</v>
      </c>
      <c r="F226" s="6" t="s">
        <v>24</v>
      </c>
      <c r="G226" s="6" t="s">
        <v>71</v>
      </c>
      <c r="H226" s="6" t="s">
        <v>48</v>
      </c>
      <c r="I226" s="6" t="s">
        <v>58</v>
      </c>
      <c r="J226" s="6" t="s">
        <v>78</v>
      </c>
      <c r="K226" s="6" t="s">
        <v>48</v>
      </c>
      <c r="L226" s="6" t="s">
        <v>54</v>
      </c>
      <c r="M226" s="6" t="s">
        <v>48</v>
      </c>
      <c r="N226" s="6" t="s">
        <v>28</v>
      </c>
      <c r="O226" s="6" t="s">
        <v>26</v>
      </c>
      <c r="P226" s="6" t="s">
        <v>48</v>
      </c>
      <c r="Q226" s="6" t="s">
        <v>48</v>
      </c>
      <c r="R226" s="6" t="s">
        <v>78</v>
      </c>
      <c r="S226" s="6" t="s">
        <v>54</v>
      </c>
      <c r="T226" s="6" t="s">
        <v>48</v>
      </c>
      <c r="U226" s="6" t="s">
        <v>28</v>
      </c>
      <c r="V226" s="6" t="s">
        <v>137</v>
      </c>
      <c r="W226" t="s">
        <v>354</v>
      </c>
    </row>
    <row r="227" spans="1:23" x14ac:dyDescent="0.3">
      <c r="A227" s="6" t="s">
        <v>320</v>
      </c>
      <c r="B227" s="1">
        <v>45736</v>
      </c>
      <c r="C227" s="6" t="s">
        <v>343</v>
      </c>
      <c r="D227" s="6" t="s">
        <v>78</v>
      </c>
      <c r="E227" s="6" t="s">
        <v>46</v>
      </c>
      <c r="F227" s="6" t="s">
        <v>24</v>
      </c>
      <c r="G227" s="6" t="s">
        <v>71</v>
      </c>
      <c r="H227" s="6" t="s">
        <v>48</v>
      </c>
      <c r="I227" s="6" t="s">
        <v>58</v>
      </c>
      <c r="J227" s="6" t="s">
        <v>78</v>
      </c>
      <c r="K227" s="6" t="s">
        <v>48</v>
      </c>
      <c r="L227" s="6" t="s">
        <v>54</v>
      </c>
      <c r="M227" s="6" t="s">
        <v>48</v>
      </c>
      <c r="N227" s="6" t="s">
        <v>28</v>
      </c>
      <c r="O227" s="6" t="s">
        <v>26</v>
      </c>
      <c r="P227" s="6" t="s">
        <v>48</v>
      </c>
      <c r="Q227" s="6" t="s">
        <v>48</v>
      </c>
      <c r="R227" s="6" t="s">
        <v>78</v>
      </c>
      <c r="S227" s="6" t="s">
        <v>54</v>
      </c>
      <c r="T227" s="6" t="s">
        <v>48</v>
      </c>
      <c r="U227" s="6" t="s">
        <v>28</v>
      </c>
      <c r="V227" s="6" t="s">
        <v>137</v>
      </c>
      <c r="W227" t="s">
        <v>354</v>
      </c>
    </row>
    <row r="228" spans="1:23" x14ac:dyDescent="0.3">
      <c r="A228" s="6" t="s">
        <v>320</v>
      </c>
      <c r="B228" s="1">
        <v>45736</v>
      </c>
      <c r="C228" s="6" t="s">
        <v>343</v>
      </c>
      <c r="D228" s="6" t="s">
        <v>78</v>
      </c>
      <c r="E228" s="6" t="s">
        <v>46</v>
      </c>
      <c r="F228" s="6" t="s">
        <v>24</v>
      </c>
      <c r="G228" s="6" t="s">
        <v>71</v>
      </c>
      <c r="H228" s="6" t="s">
        <v>48</v>
      </c>
      <c r="I228" s="6" t="s">
        <v>58</v>
      </c>
      <c r="J228" s="6" t="s">
        <v>78</v>
      </c>
      <c r="K228" s="6" t="s">
        <v>48</v>
      </c>
      <c r="L228" s="6" t="s">
        <v>54</v>
      </c>
      <c r="M228" s="6" t="s">
        <v>48</v>
      </c>
      <c r="N228" s="6" t="s">
        <v>28</v>
      </c>
      <c r="O228" s="6" t="s">
        <v>26</v>
      </c>
      <c r="P228" s="6" t="s">
        <v>48</v>
      </c>
      <c r="Q228" s="6" t="s">
        <v>48</v>
      </c>
      <c r="R228" s="6" t="s">
        <v>78</v>
      </c>
      <c r="S228" s="6" t="s">
        <v>54</v>
      </c>
      <c r="T228" s="6" t="s">
        <v>48</v>
      </c>
      <c r="U228" s="6" t="s">
        <v>28</v>
      </c>
      <c r="V228" s="6" t="s">
        <v>146</v>
      </c>
      <c r="W228" t="s">
        <v>354</v>
      </c>
    </row>
    <row r="229" spans="1:23" x14ac:dyDescent="0.3">
      <c r="A229" s="6" t="s">
        <v>322</v>
      </c>
      <c r="B229" s="1">
        <v>45736</v>
      </c>
      <c r="C229" s="6" t="s">
        <v>343</v>
      </c>
      <c r="D229" s="6" t="s">
        <v>78</v>
      </c>
      <c r="E229" s="6" t="s">
        <v>46</v>
      </c>
      <c r="F229" s="6" t="s">
        <v>24</v>
      </c>
      <c r="G229" s="6" t="s">
        <v>71</v>
      </c>
      <c r="H229" s="6" t="s">
        <v>48</v>
      </c>
      <c r="I229" s="6" t="s">
        <v>58</v>
      </c>
      <c r="J229" s="6" t="s">
        <v>78</v>
      </c>
      <c r="K229" s="6" t="s">
        <v>48</v>
      </c>
      <c r="L229" s="6" t="s">
        <v>54</v>
      </c>
      <c r="M229" s="6" t="s">
        <v>48</v>
      </c>
      <c r="N229" s="6" t="s">
        <v>28</v>
      </c>
      <c r="O229" s="6" t="s">
        <v>26</v>
      </c>
      <c r="P229" s="6" t="s">
        <v>48</v>
      </c>
      <c r="Q229" s="6" t="s">
        <v>48</v>
      </c>
      <c r="R229" s="6" t="s">
        <v>78</v>
      </c>
      <c r="S229" s="6" t="s">
        <v>54</v>
      </c>
      <c r="T229" s="6" t="s">
        <v>48</v>
      </c>
      <c r="U229" s="6" t="s">
        <v>28</v>
      </c>
      <c r="V229" s="6" t="s">
        <v>146</v>
      </c>
      <c r="W229" t="s">
        <v>354</v>
      </c>
    </row>
    <row r="230" spans="1:23" x14ac:dyDescent="0.3">
      <c r="A230" s="6" t="s">
        <v>322</v>
      </c>
      <c r="B230" s="1">
        <v>45736</v>
      </c>
      <c r="C230" s="6" t="s">
        <v>343</v>
      </c>
      <c r="D230" s="6" t="s">
        <v>78</v>
      </c>
      <c r="E230" s="6" t="s">
        <v>46</v>
      </c>
      <c r="F230" s="6" t="s">
        <v>24</v>
      </c>
      <c r="G230" s="6" t="s">
        <v>71</v>
      </c>
      <c r="H230" s="6" t="s">
        <v>48</v>
      </c>
      <c r="I230" s="6" t="s">
        <v>58</v>
      </c>
      <c r="J230" s="6" t="s">
        <v>78</v>
      </c>
      <c r="K230" s="6" t="s">
        <v>48</v>
      </c>
      <c r="L230" s="6" t="s">
        <v>54</v>
      </c>
      <c r="M230" s="6" t="s">
        <v>48</v>
      </c>
      <c r="N230" s="6" t="s">
        <v>28</v>
      </c>
      <c r="O230" s="6" t="s">
        <v>26</v>
      </c>
      <c r="P230" s="6" t="s">
        <v>48</v>
      </c>
      <c r="Q230" s="6" t="s">
        <v>48</v>
      </c>
      <c r="R230" s="6" t="s">
        <v>78</v>
      </c>
      <c r="S230" s="6" t="s">
        <v>54</v>
      </c>
      <c r="T230" s="6" t="s">
        <v>48</v>
      </c>
      <c r="U230" s="6" t="s">
        <v>28</v>
      </c>
      <c r="V230" s="6" t="s">
        <v>82</v>
      </c>
      <c r="W230" t="s">
        <v>354</v>
      </c>
    </row>
    <row r="231" spans="1:23" x14ac:dyDescent="0.3">
      <c r="A231" s="6" t="s">
        <v>322</v>
      </c>
      <c r="B231" s="1">
        <v>45736</v>
      </c>
      <c r="C231" s="6" t="s">
        <v>343</v>
      </c>
      <c r="D231" s="6" t="s">
        <v>78</v>
      </c>
      <c r="E231" s="6" t="s">
        <v>46</v>
      </c>
      <c r="F231" s="6" t="s">
        <v>24</v>
      </c>
      <c r="G231" s="6" t="s">
        <v>71</v>
      </c>
      <c r="H231" s="6" t="s">
        <v>48</v>
      </c>
      <c r="I231" s="6" t="s">
        <v>58</v>
      </c>
      <c r="J231" s="6" t="s">
        <v>78</v>
      </c>
      <c r="K231" s="6" t="s">
        <v>48</v>
      </c>
      <c r="L231" s="6" t="s">
        <v>54</v>
      </c>
      <c r="M231" s="6" t="s">
        <v>48</v>
      </c>
      <c r="N231" s="6" t="s">
        <v>28</v>
      </c>
      <c r="O231" s="6" t="s">
        <v>26</v>
      </c>
      <c r="P231" s="6" t="s">
        <v>48</v>
      </c>
      <c r="Q231" s="6" t="s">
        <v>48</v>
      </c>
      <c r="R231" s="6" t="s">
        <v>78</v>
      </c>
      <c r="S231" s="6" t="s">
        <v>54</v>
      </c>
      <c r="T231" s="6" t="s">
        <v>48</v>
      </c>
      <c r="U231" s="6" t="s">
        <v>28</v>
      </c>
      <c r="V231" s="6" t="s">
        <v>137</v>
      </c>
      <c r="W231" t="s">
        <v>354</v>
      </c>
    </row>
    <row r="232" spans="1:23" x14ac:dyDescent="0.3">
      <c r="A232" s="6" t="s">
        <v>319</v>
      </c>
      <c r="B232" s="1">
        <v>45736</v>
      </c>
      <c r="C232" s="6" t="s">
        <v>343</v>
      </c>
      <c r="D232" s="6" t="s">
        <v>78</v>
      </c>
      <c r="E232" s="6" t="s">
        <v>46</v>
      </c>
      <c r="F232" s="6" t="s">
        <v>24</v>
      </c>
      <c r="G232" s="6" t="s">
        <v>71</v>
      </c>
      <c r="H232" s="6" t="s">
        <v>48</v>
      </c>
      <c r="I232" s="6" t="s">
        <v>58</v>
      </c>
      <c r="J232" s="6" t="s">
        <v>78</v>
      </c>
      <c r="K232" s="6" t="s">
        <v>48</v>
      </c>
      <c r="L232" s="6" t="s">
        <v>54</v>
      </c>
      <c r="M232" s="6" t="s">
        <v>48</v>
      </c>
      <c r="N232" s="6" t="s">
        <v>28</v>
      </c>
      <c r="O232" s="6" t="s">
        <v>26</v>
      </c>
      <c r="P232" s="6" t="s">
        <v>48</v>
      </c>
      <c r="Q232" s="6" t="s">
        <v>48</v>
      </c>
      <c r="R232" s="6" t="s">
        <v>78</v>
      </c>
      <c r="S232" s="6" t="s">
        <v>54</v>
      </c>
      <c r="T232" s="6" t="s">
        <v>48</v>
      </c>
      <c r="U232" s="6" t="s">
        <v>28</v>
      </c>
      <c r="V232" s="6" t="s">
        <v>82</v>
      </c>
      <c r="W232" t="s">
        <v>354</v>
      </c>
    </row>
    <row r="233" spans="1:23" x14ac:dyDescent="0.3">
      <c r="A233" s="6" t="s">
        <v>321</v>
      </c>
      <c r="B233" s="1">
        <v>45736</v>
      </c>
      <c r="C233" s="6" t="s">
        <v>343</v>
      </c>
      <c r="D233" s="6" t="s">
        <v>78</v>
      </c>
      <c r="E233" s="6" t="s">
        <v>46</v>
      </c>
      <c r="F233" s="6" t="s">
        <v>24</v>
      </c>
      <c r="G233" s="6" t="s">
        <v>71</v>
      </c>
      <c r="H233" s="6" t="s">
        <v>48</v>
      </c>
      <c r="I233" s="6" t="s">
        <v>58</v>
      </c>
      <c r="J233" s="6" t="s">
        <v>78</v>
      </c>
      <c r="K233" s="6" t="s">
        <v>48</v>
      </c>
      <c r="L233" s="6" t="s">
        <v>54</v>
      </c>
      <c r="M233" s="6" t="s">
        <v>48</v>
      </c>
      <c r="N233" s="6" t="s">
        <v>28</v>
      </c>
      <c r="O233" s="6" t="s">
        <v>26</v>
      </c>
      <c r="P233" s="6" t="s">
        <v>48</v>
      </c>
      <c r="Q233" s="6" t="s">
        <v>48</v>
      </c>
      <c r="R233" s="6" t="s">
        <v>78</v>
      </c>
      <c r="S233" s="6" t="s">
        <v>54</v>
      </c>
      <c r="T233" s="6" t="s">
        <v>48</v>
      </c>
      <c r="U233" s="6" t="s">
        <v>28</v>
      </c>
      <c r="V233" s="6" t="s">
        <v>146</v>
      </c>
      <c r="W233" t="s">
        <v>354</v>
      </c>
    </row>
    <row r="234" spans="1:23" x14ac:dyDescent="0.3">
      <c r="A234" s="6" t="s">
        <v>321</v>
      </c>
      <c r="B234" s="1">
        <v>45736</v>
      </c>
      <c r="C234" s="6" t="s">
        <v>343</v>
      </c>
      <c r="D234" s="6" t="s">
        <v>78</v>
      </c>
      <c r="E234" s="6" t="s">
        <v>46</v>
      </c>
      <c r="F234" s="6" t="s">
        <v>24</v>
      </c>
      <c r="G234" s="6" t="s">
        <v>71</v>
      </c>
      <c r="H234" s="6" t="s">
        <v>48</v>
      </c>
      <c r="I234" s="6" t="s">
        <v>58</v>
      </c>
      <c r="J234" s="6" t="s">
        <v>78</v>
      </c>
      <c r="K234" s="6" t="s">
        <v>48</v>
      </c>
      <c r="L234" s="6" t="s">
        <v>54</v>
      </c>
      <c r="M234" s="6" t="s">
        <v>48</v>
      </c>
      <c r="N234" s="6" t="s">
        <v>28</v>
      </c>
      <c r="O234" s="6" t="s">
        <v>26</v>
      </c>
      <c r="P234" s="6" t="s">
        <v>48</v>
      </c>
      <c r="Q234" s="6" t="s">
        <v>48</v>
      </c>
      <c r="R234" s="6" t="s">
        <v>78</v>
      </c>
      <c r="S234" s="6" t="s">
        <v>54</v>
      </c>
      <c r="T234" s="6" t="s">
        <v>48</v>
      </c>
      <c r="U234" s="6" t="s">
        <v>28</v>
      </c>
      <c r="V234" s="6" t="s">
        <v>82</v>
      </c>
      <c r="W234" t="s">
        <v>354</v>
      </c>
    </row>
    <row r="235" spans="1:23" x14ac:dyDescent="0.3">
      <c r="A235" s="6" t="s">
        <v>323</v>
      </c>
      <c r="B235" s="1">
        <v>45738</v>
      </c>
      <c r="C235" s="6" t="s">
        <v>33</v>
      </c>
      <c r="D235" s="6" t="s">
        <v>83</v>
      </c>
      <c r="E235" s="6" t="s">
        <v>44</v>
      </c>
      <c r="F235" s="6" t="s">
        <v>24</v>
      </c>
      <c r="G235" s="6" t="s">
        <v>47</v>
      </c>
      <c r="H235" s="6" t="s">
        <v>26</v>
      </c>
      <c r="I235" s="6" t="s">
        <v>37</v>
      </c>
      <c r="J235" s="6" t="s">
        <v>83</v>
      </c>
      <c r="K235" s="6" t="s">
        <v>102</v>
      </c>
      <c r="L235" s="6" t="s">
        <v>54</v>
      </c>
      <c r="M235" s="6" t="s">
        <v>29</v>
      </c>
      <c r="N235" s="6" t="s">
        <v>28</v>
      </c>
      <c r="O235" s="6" t="s">
        <v>48</v>
      </c>
      <c r="P235" s="6" t="s">
        <v>48</v>
      </c>
      <c r="Q235" s="6" t="s">
        <v>48</v>
      </c>
      <c r="R235" s="6" t="s">
        <v>83</v>
      </c>
      <c r="S235" s="6" t="s">
        <v>54</v>
      </c>
      <c r="T235" s="6" t="s">
        <v>48</v>
      </c>
      <c r="U235" s="6" t="s">
        <v>56</v>
      </c>
      <c r="V235" s="6" t="s">
        <v>137</v>
      </c>
      <c r="W235" t="s">
        <v>354</v>
      </c>
    </row>
    <row r="236" spans="1:23" x14ac:dyDescent="0.3">
      <c r="A236" s="6" t="s">
        <v>324</v>
      </c>
      <c r="B236" s="1">
        <v>45738</v>
      </c>
      <c r="C236" s="6" t="s">
        <v>33</v>
      </c>
      <c r="D236" s="6" t="s">
        <v>83</v>
      </c>
      <c r="E236" s="6" t="s">
        <v>44</v>
      </c>
      <c r="F236" s="6" t="s">
        <v>24</v>
      </c>
      <c r="G236" s="6" t="s">
        <v>47</v>
      </c>
      <c r="H236" s="6" t="s">
        <v>26</v>
      </c>
      <c r="I236" s="6" t="s">
        <v>37</v>
      </c>
      <c r="J236" s="6" t="s">
        <v>83</v>
      </c>
      <c r="K236" s="6" t="s">
        <v>102</v>
      </c>
      <c r="L236" s="6" t="s">
        <v>54</v>
      </c>
      <c r="M236" s="6" t="s">
        <v>29</v>
      </c>
      <c r="N236" s="6" t="s">
        <v>28</v>
      </c>
      <c r="O236" s="6" t="s">
        <v>48</v>
      </c>
      <c r="P236" s="6" t="s">
        <v>48</v>
      </c>
      <c r="Q236" s="6" t="s">
        <v>48</v>
      </c>
      <c r="R236" s="6" t="s">
        <v>83</v>
      </c>
      <c r="S236" s="6" t="s">
        <v>54</v>
      </c>
      <c r="T236" s="6" t="s">
        <v>48</v>
      </c>
      <c r="U236" s="6" t="s">
        <v>56</v>
      </c>
      <c r="V236" s="6" t="s">
        <v>137</v>
      </c>
      <c r="W236" t="s">
        <v>354</v>
      </c>
    </row>
    <row r="237" spans="1:23" x14ac:dyDescent="0.3">
      <c r="A237" s="6" t="s">
        <v>325</v>
      </c>
      <c r="B237" s="1">
        <v>45738</v>
      </c>
      <c r="C237" s="6" t="s">
        <v>343</v>
      </c>
      <c r="D237" s="6" t="s">
        <v>43</v>
      </c>
      <c r="E237" s="6" t="s">
        <v>23</v>
      </c>
      <c r="F237" s="6" t="s">
        <v>24</v>
      </c>
      <c r="G237" s="6" t="s">
        <v>97</v>
      </c>
      <c r="H237" s="6" t="s">
        <v>26</v>
      </c>
      <c r="I237" s="6" t="s">
        <v>66</v>
      </c>
      <c r="J237" s="6" t="s">
        <v>43</v>
      </c>
      <c r="K237" s="6" t="s">
        <v>48</v>
      </c>
      <c r="L237" s="6" t="s">
        <v>54</v>
      </c>
      <c r="M237" s="6" t="s">
        <v>29</v>
      </c>
      <c r="N237" s="6" t="s">
        <v>28</v>
      </c>
      <c r="O237" s="6" t="s">
        <v>30</v>
      </c>
      <c r="P237" s="6" t="s">
        <v>58</v>
      </c>
      <c r="Q237" s="6" t="s">
        <v>31</v>
      </c>
      <c r="R237" s="6" t="s">
        <v>43</v>
      </c>
      <c r="S237" s="6" t="s">
        <v>54</v>
      </c>
      <c r="T237" s="6" t="s">
        <v>55</v>
      </c>
      <c r="U237" s="6" t="s">
        <v>28</v>
      </c>
      <c r="V237" s="6" t="s">
        <v>146</v>
      </c>
      <c r="W237" t="s">
        <v>354</v>
      </c>
    </row>
    <row r="238" spans="1:23" x14ac:dyDescent="0.3">
      <c r="A238" s="6" t="s">
        <v>326</v>
      </c>
      <c r="B238" s="1">
        <v>45739</v>
      </c>
      <c r="C238" s="6" t="s">
        <v>343</v>
      </c>
      <c r="D238" s="6" t="s">
        <v>22</v>
      </c>
      <c r="E238" s="6" t="s">
        <v>68</v>
      </c>
      <c r="F238" s="6" t="s">
        <v>24</v>
      </c>
      <c r="G238" s="6" t="s">
        <v>69</v>
      </c>
      <c r="H238" s="6" t="s">
        <v>48</v>
      </c>
      <c r="I238" s="6" t="s">
        <v>38</v>
      </c>
      <c r="J238" s="6" t="s">
        <v>49</v>
      </c>
      <c r="K238" s="6" t="s">
        <v>48</v>
      </c>
      <c r="L238" s="6" t="s">
        <v>54</v>
      </c>
      <c r="M238" s="6" t="s">
        <v>48</v>
      </c>
      <c r="N238" s="6" t="s">
        <v>28</v>
      </c>
      <c r="O238" s="6" t="s">
        <v>30</v>
      </c>
      <c r="P238" s="6" t="s">
        <v>38</v>
      </c>
      <c r="Q238" s="6" t="s">
        <v>31</v>
      </c>
      <c r="R238" s="6" t="s">
        <v>22</v>
      </c>
      <c r="S238" s="6" t="s">
        <v>54</v>
      </c>
      <c r="T238" s="6" t="s">
        <v>32</v>
      </c>
      <c r="U238" s="6" t="s">
        <v>28</v>
      </c>
      <c r="V238" s="6" t="s">
        <v>146</v>
      </c>
      <c r="W238" t="s">
        <v>354</v>
      </c>
    </row>
    <row r="239" spans="1:23" x14ac:dyDescent="0.3">
      <c r="A239" s="6" t="s">
        <v>326</v>
      </c>
      <c r="B239" s="1">
        <v>45739</v>
      </c>
      <c r="C239" s="6" t="s">
        <v>343</v>
      </c>
      <c r="D239" s="6" t="s">
        <v>22</v>
      </c>
      <c r="E239" s="6" t="s">
        <v>68</v>
      </c>
      <c r="F239" s="6" t="s">
        <v>24</v>
      </c>
      <c r="G239" s="6" t="s">
        <v>69</v>
      </c>
      <c r="H239" s="6" t="s">
        <v>48</v>
      </c>
      <c r="I239" s="6" t="s">
        <v>38</v>
      </c>
      <c r="J239" s="6" t="s">
        <v>49</v>
      </c>
      <c r="K239" s="6" t="s">
        <v>48</v>
      </c>
      <c r="L239" s="6" t="s">
        <v>54</v>
      </c>
      <c r="M239" s="6" t="s">
        <v>48</v>
      </c>
      <c r="N239" s="6" t="s">
        <v>28</v>
      </c>
      <c r="O239" s="6" t="s">
        <v>30</v>
      </c>
      <c r="P239" s="6" t="s">
        <v>38</v>
      </c>
      <c r="Q239" s="6" t="s">
        <v>31</v>
      </c>
      <c r="R239" s="6" t="s">
        <v>22</v>
      </c>
      <c r="S239" s="6" t="s">
        <v>54</v>
      </c>
      <c r="T239" s="6" t="s">
        <v>32</v>
      </c>
      <c r="U239" s="6" t="s">
        <v>28</v>
      </c>
      <c r="V239" s="6" t="s">
        <v>82</v>
      </c>
      <c r="W239" t="s">
        <v>354</v>
      </c>
    </row>
    <row r="240" spans="1:23" x14ac:dyDescent="0.3">
      <c r="A240" s="6" t="s">
        <v>327</v>
      </c>
      <c r="B240" s="1">
        <v>45740</v>
      </c>
      <c r="C240" s="6" t="s">
        <v>33</v>
      </c>
      <c r="D240" s="6" t="s">
        <v>95</v>
      </c>
      <c r="E240" s="6" t="s">
        <v>23</v>
      </c>
      <c r="F240" s="6" t="s">
        <v>24</v>
      </c>
      <c r="G240" s="6" t="s">
        <v>61</v>
      </c>
      <c r="H240" s="6" t="s">
        <v>26</v>
      </c>
      <c r="I240" s="6" t="s">
        <v>42</v>
      </c>
      <c r="J240" s="6" t="s">
        <v>95</v>
      </c>
      <c r="K240" s="6" t="s">
        <v>76</v>
      </c>
      <c r="L240" s="6" t="s">
        <v>152</v>
      </c>
      <c r="M240" s="6" t="s">
        <v>32</v>
      </c>
      <c r="N240" s="6" t="s">
        <v>28</v>
      </c>
      <c r="O240" s="6" t="s">
        <v>30</v>
      </c>
      <c r="P240" s="6" t="s">
        <v>45</v>
      </c>
      <c r="Q240" s="6" t="s">
        <v>31</v>
      </c>
      <c r="R240" s="6" t="s">
        <v>95</v>
      </c>
      <c r="S240" s="6" t="s">
        <v>54</v>
      </c>
      <c r="T240" s="6" t="s">
        <v>32</v>
      </c>
      <c r="U240" s="6" t="s">
        <v>28</v>
      </c>
      <c r="V240" s="6" t="s">
        <v>146</v>
      </c>
      <c r="W240" t="s">
        <v>354</v>
      </c>
    </row>
    <row r="241" spans="1:23" x14ac:dyDescent="0.3">
      <c r="A241" s="6" t="s">
        <v>328</v>
      </c>
      <c r="B241" s="1">
        <v>45740</v>
      </c>
      <c r="C241" s="6" t="s">
        <v>39</v>
      </c>
      <c r="D241" s="6" t="s">
        <v>43</v>
      </c>
      <c r="E241" s="6" t="s">
        <v>35</v>
      </c>
      <c r="F241" s="6" t="s">
        <v>24</v>
      </c>
      <c r="G241" s="6" t="s">
        <v>61</v>
      </c>
      <c r="H241" s="6" t="s">
        <v>26</v>
      </c>
      <c r="I241" s="6" t="s">
        <v>66</v>
      </c>
      <c r="J241" s="6" t="s">
        <v>43</v>
      </c>
      <c r="K241" s="6" t="s">
        <v>48</v>
      </c>
      <c r="L241" s="6" t="s">
        <v>152</v>
      </c>
      <c r="M241" s="6" t="s">
        <v>29</v>
      </c>
      <c r="N241" s="6" t="s">
        <v>28</v>
      </c>
      <c r="O241" s="6" t="s">
        <v>30</v>
      </c>
      <c r="P241" s="6" t="s">
        <v>45</v>
      </c>
      <c r="Q241" s="6" t="s">
        <v>31</v>
      </c>
      <c r="R241" s="6" t="s">
        <v>43</v>
      </c>
      <c r="S241" s="6" t="s">
        <v>54</v>
      </c>
      <c r="T241" s="6" t="s">
        <v>55</v>
      </c>
      <c r="U241" s="6" t="s">
        <v>28</v>
      </c>
      <c r="V241" s="6" t="s">
        <v>82</v>
      </c>
      <c r="W241" t="s">
        <v>354</v>
      </c>
    </row>
    <row r="242" spans="1:23" x14ac:dyDescent="0.3">
      <c r="A242" s="6" t="s">
        <v>329</v>
      </c>
      <c r="B242" s="1">
        <v>45740</v>
      </c>
      <c r="C242" s="6" t="s">
        <v>21</v>
      </c>
      <c r="D242" s="6" t="s">
        <v>60</v>
      </c>
      <c r="E242" s="6" t="s">
        <v>35</v>
      </c>
      <c r="F242" s="6" t="s">
        <v>24</v>
      </c>
      <c r="G242" s="6" t="s">
        <v>61</v>
      </c>
      <c r="H242" s="6" t="s">
        <v>48</v>
      </c>
      <c r="I242" s="6" t="s">
        <v>27</v>
      </c>
      <c r="J242" s="6" t="s">
        <v>60</v>
      </c>
      <c r="K242" s="6" t="s">
        <v>48</v>
      </c>
      <c r="L242" s="6" t="s">
        <v>54</v>
      </c>
      <c r="M242" s="6" t="s">
        <v>48</v>
      </c>
      <c r="N242" s="6" t="s">
        <v>28</v>
      </c>
      <c r="O242" s="6" t="s">
        <v>48</v>
      </c>
      <c r="P242" s="6" t="s">
        <v>48</v>
      </c>
      <c r="Q242" s="6" t="s">
        <v>48</v>
      </c>
      <c r="R242" s="6" t="s">
        <v>60</v>
      </c>
      <c r="S242" s="6" t="s">
        <v>54</v>
      </c>
      <c r="T242" s="6" t="s">
        <v>48</v>
      </c>
      <c r="U242" s="6" t="s">
        <v>123</v>
      </c>
      <c r="V242" s="6" t="s">
        <v>82</v>
      </c>
      <c r="W242" t="s">
        <v>354</v>
      </c>
    </row>
    <row r="243" spans="1:23" x14ac:dyDescent="0.3">
      <c r="A243" s="6" t="s">
        <v>330</v>
      </c>
      <c r="B243" s="1">
        <v>45740</v>
      </c>
      <c r="C243" s="6" t="s">
        <v>84</v>
      </c>
      <c r="D243" s="6" t="s">
        <v>43</v>
      </c>
      <c r="E243" s="6" t="s">
        <v>23</v>
      </c>
      <c r="F243" s="6" t="s">
        <v>24</v>
      </c>
      <c r="G243" s="6" t="s">
        <v>61</v>
      </c>
      <c r="H243" s="6" t="s">
        <v>26</v>
      </c>
      <c r="I243" s="6" t="s">
        <v>38</v>
      </c>
      <c r="J243" s="6" t="s">
        <v>43</v>
      </c>
      <c r="K243" s="6" t="s">
        <v>48</v>
      </c>
      <c r="L243" s="6" t="s">
        <v>54</v>
      </c>
      <c r="M243" s="6" t="s">
        <v>48</v>
      </c>
      <c r="N243" s="6" t="s">
        <v>28</v>
      </c>
      <c r="O243" s="6" t="s">
        <v>30</v>
      </c>
      <c r="P243" s="6" t="s">
        <v>48</v>
      </c>
      <c r="Q243" s="6" t="s">
        <v>48</v>
      </c>
      <c r="R243" s="6" t="s">
        <v>43</v>
      </c>
      <c r="S243" s="6" t="s">
        <v>54</v>
      </c>
      <c r="T243" s="6" t="s">
        <v>48</v>
      </c>
      <c r="U243" s="6" t="s">
        <v>28</v>
      </c>
      <c r="V243" s="6" t="s">
        <v>82</v>
      </c>
      <c r="W243" t="s">
        <v>354</v>
      </c>
    </row>
    <row r="244" spans="1:23" x14ac:dyDescent="0.3">
      <c r="A244" s="6" t="s">
        <v>330</v>
      </c>
      <c r="B244" s="1">
        <v>45740</v>
      </c>
      <c r="C244" s="6" t="s">
        <v>84</v>
      </c>
      <c r="D244" s="6" t="s">
        <v>43</v>
      </c>
      <c r="E244" s="6" t="s">
        <v>23</v>
      </c>
      <c r="F244" s="6" t="s">
        <v>24</v>
      </c>
      <c r="G244" s="6" t="s">
        <v>61</v>
      </c>
      <c r="H244" s="6" t="s">
        <v>26</v>
      </c>
      <c r="I244" s="6" t="s">
        <v>38</v>
      </c>
      <c r="J244" s="6" t="s">
        <v>43</v>
      </c>
      <c r="K244" s="6" t="s">
        <v>48</v>
      </c>
      <c r="L244" s="6" t="s">
        <v>54</v>
      </c>
      <c r="M244" s="6" t="s">
        <v>48</v>
      </c>
      <c r="N244" s="6" t="s">
        <v>28</v>
      </c>
      <c r="O244" s="6" t="s">
        <v>30</v>
      </c>
      <c r="P244" s="6" t="s">
        <v>48</v>
      </c>
      <c r="Q244" s="6" t="s">
        <v>48</v>
      </c>
      <c r="R244" s="6" t="s">
        <v>43</v>
      </c>
      <c r="S244" s="6" t="s">
        <v>54</v>
      </c>
      <c r="T244" s="6" t="s">
        <v>48</v>
      </c>
      <c r="U244" s="6" t="s">
        <v>28</v>
      </c>
      <c r="V244" s="6" t="s">
        <v>146</v>
      </c>
      <c r="W244" t="s">
        <v>354</v>
      </c>
    </row>
    <row r="245" spans="1:23" x14ac:dyDescent="0.3">
      <c r="A245" s="6" t="s">
        <v>330</v>
      </c>
      <c r="B245" s="1">
        <v>45740</v>
      </c>
      <c r="C245" s="6" t="s">
        <v>84</v>
      </c>
      <c r="D245" s="6" t="s">
        <v>43</v>
      </c>
      <c r="E245" s="6" t="s">
        <v>23</v>
      </c>
      <c r="F245" s="6" t="s">
        <v>24</v>
      </c>
      <c r="G245" s="6" t="s">
        <v>61</v>
      </c>
      <c r="H245" s="6" t="s">
        <v>26</v>
      </c>
      <c r="I245" s="6" t="s">
        <v>38</v>
      </c>
      <c r="J245" s="6" t="s">
        <v>43</v>
      </c>
      <c r="K245" s="6" t="s">
        <v>48</v>
      </c>
      <c r="L245" s="6" t="s">
        <v>54</v>
      </c>
      <c r="M245" s="6" t="s">
        <v>48</v>
      </c>
      <c r="N245" s="6" t="s">
        <v>28</v>
      </c>
      <c r="O245" s="6" t="s">
        <v>30</v>
      </c>
      <c r="P245" s="6" t="s">
        <v>48</v>
      </c>
      <c r="Q245" s="6" t="s">
        <v>48</v>
      </c>
      <c r="R245" s="6" t="s">
        <v>43</v>
      </c>
      <c r="S245" s="6" t="s">
        <v>54</v>
      </c>
      <c r="T245" s="6" t="s">
        <v>48</v>
      </c>
      <c r="U245" s="6" t="s">
        <v>28</v>
      </c>
      <c r="V245" s="6" t="s">
        <v>137</v>
      </c>
      <c r="W245" t="s">
        <v>354</v>
      </c>
    </row>
    <row r="246" spans="1:23" x14ac:dyDescent="0.3">
      <c r="A246" s="6" t="s">
        <v>331</v>
      </c>
      <c r="B246" s="1">
        <v>45740</v>
      </c>
      <c r="C246" s="6" t="s">
        <v>343</v>
      </c>
      <c r="D246" s="6" t="s">
        <v>22</v>
      </c>
      <c r="E246" s="6" t="s">
        <v>46</v>
      </c>
      <c r="F246" s="6" t="s">
        <v>24</v>
      </c>
      <c r="G246" s="6" t="s">
        <v>61</v>
      </c>
      <c r="H246" s="6" t="s">
        <v>26</v>
      </c>
      <c r="I246" s="6" t="s">
        <v>37</v>
      </c>
      <c r="J246" s="6" t="s">
        <v>22</v>
      </c>
      <c r="K246" s="6" t="s">
        <v>48</v>
      </c>
      <c r="L246" s="6" t="s">
        <v>54</v>
      </c>
      <c r="M246" s="6" t="s">
        <v>48</v>
      </c>
      <c r="N246" s="6" t="s">
        <v>28</v>
      </c>
      <c r="O246" s="6" t="s">
        <v>48</v>
      </c>
      <c r="P246" s="6" t="s">
        <v>48</v>
      </c>
      <c r="Q246" s="6" t="s">
        <v>48</v>
      </c>
      <c r="R246" s="6" t="s">
        <v>22</v>
      </c>
      <c r="S246" s="6" t="s">
        <v>54</v>
      </c>
      <c r="T246" s="6" t="s">
        <v>48</v>
      </c>
      <c r="U246" s="6" t="s">
        <v>94</v>
      </c>
      <c r="V246" s="6" t="s">
        <v>82</v>
      </c>
      <c r="W246" t="s">
        <v>354</v>
      </c>
    </row>
    <row r="247" spans="1:23" x14ac:dyDescent="0.3">
      <c r="A247" s="6" t="s">
        <v>332</v>
      </c>
      <c r="B247" s="1">
        <v>45741</v>
      </c>
      <c r="C247" s="6" t="s">
        <v>21</v>
      </c>
      <c r="D247" s="6" t="s">
        <v>22</v>
      </c>
      <c r="E247" s="6" t="s">
        <v>23</v>
      </c>
      <c r="F247" s="6" t="s">
        <v>24</v>
      </c>
      <c r="G247" s="6" t="s">
        <v>101</v>
      </c>
      <c r="H247" s="6" t="s">
        <v>26</v>
      </c>
      <c r="I247" s="6" t="s">
        <v>58</v>
      </c>
      <c r="J247" s="6" t="s">
        <v>22</v>
      </c>
      <c r="K247" s="6" t="s">
        <v>48</v>
      </c>
      <c r="L247" s="6" t="s">
        <v>54</v>
      </c>
      <c r="M247" s="6" t="s">
        <v>29</v>
      </c>
      <c r="N247" s="6" t="s">
        <v>28</v>
      </c>
      <c r="O247" s="6" t="s">
        <v>26</v>
      </c>
      <c r="P247" s="6" t="s">
        <v>38</v>
      </c>
      <c r="Q247" s="6" t="s">
        <v>31</v>
      </c>
      <c r="R247" s="6" t="s">
        <v>22</v>
      </c>
      <c r="S247" s="6" t="s">
        <v>54</v>
      </c>
      <c r="T247" s="6" t="s">
        <v>48</v>
      </c>
      <c r="U247" s="6" t="s">
        <v>28</v>
      </c>
      <c r="V247" s="6" t="s">
        <v>82</v>
      </c>
      <c r="W247" t="s">
        <v>354</v>
      </c>
    </row>
    <row r="248" spans="1:23" x14ac:dyDescent="0.3">
      <c r="A248" s="6" t="s">
        <v>333</v>
      </c>
      <c r="B248" s="1">
        <v>45741</v>
      </c>
      <c r="C248" s="6" t="s">
        <v>33</v>
      </c>
      <c r="D248" s="6" t="s">
        <v>50</v>
      </c>
      <c r="E248" s="6" t="s">
        <v>23</v>
      </c>
      <c r="F248" s="6" t="s">
        <v>24</v>
      </c>
      <c r="G248" s="6" t="s">
        <v>69</v>
      </c>
      <c r="H248" s="6" t="s">
        <v>26</v>
      </c>
      <c r="I248" s="6" t="s">
        <v>52</v>
      </c>
      <c r="J248" s="6" t="s">
        <v>50</v>
      </c>
      <c r="K248" s="6" t="s">
        <v>48</v>
      </c>
      <c r="L248" s="6" t="s">
        <v>54</v>
      </c>
      <c r="M248" s="6" t="s">
        <v>32</v>
      </c>
      <c r="N248" s="6" t="s">
        <v>28</v>
      </c>
      <c r="O248" s="6" t="s">
        <v>26</v>
      </c>
      <c r="P248" s="6" t="s">
        <v>27</v>
      </c>
      <c r="Q248" s="6" t="s">
        <v>31</v>
      </c>
      <c r="R248" s="6" t="s">
        <v>50</v>
      </c>
      <c r="S248" s="6" t="s">
        <v>54</v>
      </c>
      <c r="T248" s="6" t="s">
        <v>32</v>
      </c>
      <c r="U248" s="6" t="s">
        <v>28</v>
      </c>
      <c r="V248" s="6" t="s">
        <v>82</v>
      </c>
      <c r="W248" t="s">
        <v>354</v>
      </c>
    </row>
    <row r="249" spans="1:23" x14ac:dyDescent="0.3">
      <c r="A249" s="6" t="s">
        <v>335</v>
      </c>
      <c r="B249" s="1">
        <v>45741</v>
      </c>
      <c r="C249" s="6" t="s">
        <v>84</v>
      </c>
      <c r="D249" s="6" t="s">
        <v>92</v>
      </c>
      <c r="E249" s="6" t="s">
        <v>46</v>
      </c>
      <c r="F249" s="6" t="s">
        <v>24</v>
      </c>
      <c r="G249" s="6" t="s">
        <v>97</v>
      </c>
      <c r="H249" s="6" t="s">
        <v>48</v>
      </c>
      <c r="I249" s="6" t="s">
        <v>52</v>
      </c>
      <c r="J249" s="6" t="s">
        <v>92</v>
      </c>
      <c r="K249" s="6" t="s">
        <v>48</v>
      </c>
      <c r="L249" s="6" t="s">
        <v>54</v>
      </c>
      <c r="M249" s="6" t="s">
        <v>48</v>
      </c>
      <c r="N249" s="6" t="s">
        <v>28</v>
      </c>
      <c r="O249" s="6" t="s">
        <v>26</v>
      </c>
      <c r="P249" s="6" t="s">
        <v>48</v>
      </c>
      <c r="Q249" s="6" t="s">
        <v>31</v>
      </c>
      <c r="R249" s="6" t="s">
        <v>49</v>
      </c>
      <c r="S249" s="6" t="s">
        <v>153</v>
      </c>
      <c r="T249" s="6" t="s">
        <v>32</v>
      </c>
      <c r="U249" s="6" t="s">
        <v>28</v>
      </c>
      <c r="V249" s="6" t="s">
        <v>137</v>
      </c>
      <c r="W249" t="s">
        <v>354</v>
      </c>
    </row>
    <row r="250" spans="1:23" x14ac:dyDescent="0.3">
      <c r="A250" s="6" t="s">
        <v>334</v>
      </c>
      <c r="B250" s="1">
        <v>45741</v>
      </c>
      <c r="C250" s="6" t="s">
        <v>84</v>
      </c>
      <c r="D250" s="6" t="s">
        <v>92</v>
      </c>
      <c r="E250" s="6" t="s">
        <v>46</v>
      </c>
      <c r="F250" s="6" t="s">
        <v>24</v>
      </c>
      <c r="G250" s="6" t="s">
        <v>97</v>
      </c>
      <c r="H250" s="6" t="s">
        <v>48</v>
      </c>
      <c r="I250" s="6" t="s">
        <v>52</v>
      </c>
      <c r="J250" s="6" t="s">
        <v>92</v>
      </c>
      <c r="K250" s="6" t="s">
        <v>48</v>
      </c>
      <c r="L250" s="6" t="s">
        <v>54</v>
      </c>
      <c r="M250" s="6" t="s">
        <v>48</v>
      </c>
      <c r="N250" s="6" t="s">
        <v>28</v>
      </c>
      <c r="O250" s="6" t="s">
        <v>26</v>
      </c>
      <c r="P250" s="6" t="s">
        <v>48</v>
      </c>
      <c r="Q250" s="6" t="s">
        <v>31</v>
      </c>
      <c r="R250" s="6" t="s">
        <v>92</v>
      </c>
      <c r="S250" s="6" t="s">
        <v>128</v>
      </c>
      <c r="T250" s="6" t="s">
        <v>32</v>
      </c>
      <c r="U250" s="6" t="s">
        <v>28</v>
      </c>
      <c r="V250" s="6" t="s">
        <v>137</v>
      </c>
      <c r="W250" t="s">
        <v>354</v>
      </c>
    </row>
    <row r="251" spans="1:23" x14ac:dyDescent="0.3">
      <c r="A251" s="6" t="s">
        <v>336</v>
      </c>
      <c r="B251" s="1">
        <v>45742</v>
      </c>
      <c r="C251" s="6" t="s">
        <v>21</v>
      </c>
      <c r="D251" s="6" t="s">
        <v>34</v>
      </c>
      <c r="E251" s="6" t="s">
        <v>41</v>
      </c>
      <c r="F251" s="6" t="s">
        <v>24</v>
      </c>
      <c r="G251" s="6" t="s">
        <v>36</v>
      </c>
      <c r="H251" s="6" t="s">
        <v>26</v>
      </c>
      <c r="I251" s="6" t="s">
        <v>38</v>
      </c>
      <c r="J251" s="6" t="s">
        <v>34</v>
      </c>
      <c r="K251" s="6" t="s">
        <v>48</v>
      </c>
      <c r="L251" s="6" t="s">
        <v>128</v>
      </c>
      <c r="M251" s="6" t="s">
        <v>29</v>
      </c>
      <c r="N251" s="6" t="s">
        <v>28</v>
      </c>
      <c r="O251" s="6" t="s">
        <v>26</v>
      </c>
      <c r="P251" s="6" t="s">
        <v>38</v>
      </c>
      <c r="Q251" s="6" t="s">
        <v>31</v>
      </c>
      <c r="R251" s="6" t="s">
        <v>34</v>
      </c>
      <c r="S251" s="6" t="s">
        <v>54</v>
      </c>
      <c r="T251" s="6" t="s">
        <v>29</v>
      </c>
      <c r="U251" s="6" t="s">
        <v>28</v>
      </c>
      <c r="V251" s="6" t="s">
        <v>146</v>
      </c>
      <c r="W251" t="s">
        <v>354</v>
      </c>
    </row>
    <row r="252" spans="1:23" x14ac:dyDescent="0.3">
      <c r="A252" s="6" t="s">
        <v>337</v>
      </c>
      <c r="B252" s="1">
        <v>45742</v>
      </c>
      <c r="C252" s="6" t="s">
        <v>21</v>
      </c>
      <c r="D252" s="6" t="s">
        <v>34</v>
      </c>
      <c r="E252" s="6" t="s">
        <v>41</v>
      </c>
      <c r="F252" s="6" t="s">
        <v>24</v>
      </c>
      <c r="G252" s="6" t="s">
        <v>36</v>
      </c>
      <c r="H252" s="6" t="s">
        <v>26</v>
      </c>
      <c r="I252" s="6" t="s">
        <v>38</v>
      </c>
      <c r="J252" s="6" t="s">
        <v>34</v>
      </c>
      <c r="K252" s="6" t="s">
        <v>48</v>
      </c>
      <c r="L252" s="6" t="s">
        <v>128</v>
      </c>
      <c r="M252" s="6" t="s">
        <v>29</v>
      </c>
      <c r="N252" s="6" t="s">
        <v>28</v>
      </c>
      <c r="O252" s="6" t="s">
        <v>30</v>
      </c>
      <c r="P252" s="6" t="s">
        <v>788</v>
      </c>
      <c r="Q252" s="6" t="s">
        <v>31</v>
      </c>
      <c r="R252" s="6" t="s">
        <v>34</v>
      </c>
      <c r="S252" s="6" t="s">
        <v>704</v>
      </c>
      <c r="T252" s="6" t="s">
        <v>29</v>
      </c>
      <c r="U252" s="6" t="s">
        <v>28</v>
      </c>
      <c r="V252" s="6" t="s">
        <v>146</v>
      </c>
      <c r="W252" t="s">
        <v>354</v>
      </c>
    </row>
    <row r="253" spans="1:23" x14ac:dyDescent="0.3">
      <c r="A253" s="6" t="s">
        <v>338</v>
      </c>
      <c r="B253" s="1">
        <v>45742</v>
      </c>
      <c r="C253" s="6" t="s">
        <v>21</v>
      </c>
      <c r="D253" s="6" t="s">
        <v>43</v>
      </c>
      <c r="E253" s="6" t="s">
        <v>64</v>
      </c>
      <c r="F253" s="6" t="s">
        <v>24</v>
      </c>
      <c r="G253" s="6" t="s">
        <v>111</v>
      </c>
      <c r="H253" s="6" t="s">
        <v>26</v>
      </c>
      <c r="I253" s="6" t="s">
        <v>58</v>
      </c>
      <c r="J253" s="6" t="s">
        <v>43</v>
      </c>
      <c r="K253" s="6" t="s">
        <v>48</v>
      </c>
      <c r="L253" s="6" t="s">
        <v>54</v>
      </c>
      <c r="M253" s="6" t="s">
        <v>29</v>
      </c>
      <c r="N253" s="6" t="s">
        <v>28</v>
      </c>
      <c r="O253" s="6" t="s">
        <v>26</v>
      </c>
      <c r="P253" s="6" t="s">
        <v>27</v>
      </c>
      <c r="Q253" s="6" t="s">
        <v>48</v>
      </c>
      <c r="R253" s="6" t="s">
        <v>43</v>
      </c>
      <c r="S253" s="6" t="s">
        <v>54</v>
      </c>
      <c r="T253" s="6" t="s">
        <v>29</v>
      </c>
      <c r="U253" s="6" t="s">
        <v>28</v>
      </c>
      <c r="V253" s="6" t="s">
        <v>82</v>
      </c>
      <c r="W253" t="s">
        <v>354</v>
      </c>
    </row>
    <row r="254" spans="1:23" x14ac:dyDescent="0.3">
      <c r="A254" s="6" t="s">
        <v>338</v>
      </c>
      <c r="B254" s="1">
        <v>45742</v>
      </c>
      <c r="C254" s="6" t="s">
        <v>21</v>
      </c>
      <c r="D254" s="6" t="s">
        <v>43</v>
      </c>
      <c r="E254" s="6" t="s">
        <v>64</v>
      </c>
      <c r="F254" s="6" t="s">
        <v>24</v>
      </c>
      <c r="G254" s="6" t="s">
        <v>111</v>
      </c>
      <c r="H254" s="6" t="s">
        <v>26</v>
      </c>
      <c r="I254" s="6" t="s">
        <v>58</v>
      </c>
      <c r="J254" s="6" t="s">
        <v>43</v>
      </c>
      <c r="K254" s="6" t="s">
        <v>48</v>
      </c>
      <c r="L254" s="6" t="s">
        <v>54</v>
      </c>
      <c r="M254" s="6" t="s">
        <v>29</v>
      </c>
      <c r="N254" s="6" t="s">
        <v>28</v>
      </c>
      <c r="O254" s="6" t="s">
        <v>26</v>
      </c>
      <c r="P254" s="6" t="s">
        <v>27</v>
      </c>
      <c r="Q254" s="6" t="s">
        <v>48</v>
      </c>
      <c r="R254" s="6" t="s">
        <v>43</v>
      </c>
      <c r="S254" s="6" t="s">
        <v>54</v>
      </c>
      <c r="T254" s="6" t="s">
        <v>29</v>
      </c>
      <c r="U254" s="6" t="s">
        <v>28</v>
      </c>
      <c r="V254" s="6" t="s">
        <v>146</v>
      </c>
      <c r="W254" t="s">
        <v>354</v>
      </c>
    </row>
    <row r="255" spans="1:23" x14ac:dyDescent="0.3">
      <c r="A255" s="6" t="s">
        <v>338</v>
      </c>
      <c r="B255" s="1">
        <v>45742</v>
      </c>
      <c r="C255" s="6" t="s">
        <v>21</v>
      </c>
      <c r="D255" s="6" t="s">
        <v>43</v>
      </c>
      <c r="E255" s="6" t="s">
        <v>64</v>
      </c>
      <c r="F255" s="6" t="s">
        <v>24</v>
      </c>
      <c r="G255" s="6" t="s">
        <v>111</v>
      </c>
      <c r="H255" s="6" t="s">
        <v>26</v>
      </c>
      <c r="I255" s="6" t="s">
        <v>58</v>
      </c>
      <c r="J255" s="6" t="s">
        <v>43</v>
      </c>
      <c r="K255" s="6" t="s">
        <v>48</v>
      </c>
      <c r="L255" s="6" t="s">
        <v>54</v>
      </c>
      <c r="M255" s="6" t="s">
        <v>29</v>
      </c>
      <c r="N255" s="6" t="s">
        <v>28</v>
      </c>
      <c r="O255" s="6" t="s">
        <v>26</v>
      </c>
      <c r="P255" s="6" t="s">
        <v>27</v>
      </c>
      <c r="Q255" s="6" t="s">
        <v>48</v>
      </c>
      <c r="R255" s="6" t="s">
        <v>43</v>
      </c>
      <c r="S255" s="6" t="s">
        <v>54</v>
      </c>
      <c r="T255" s="6" t="s">
        <v>29</v>
      </c>
      <c r="U255" s="6" t="s">
        <v>28</v>
      </c>
      <c r="V255" s="6" t="s">
        <v>137</v>
      </c>
      <c r="W255" t="s">
        <v>354</v>
      </c>
    </row>
    <row r="256" spans="1:23" x14ac:dyDescent="0.3">
      <c r="A256" s="6" t="s">
        <v>339</v>
      </c>
      <c r="B256" s="1">
        <v>45742</v>
      </c>
      <c r="C256" s="6" t="s">
        <v>343</v>
      </c>
      <c r="D256" s="6" t="s">
        <v>60</v>
      </c>
      <c r="E256" s="6" t="s">
        <v>44</v>
      </c>
      <c r="F256" s="6" t="s">
        <v>24</v>
      </c>
      <c r="G256" s="6" t="s">
        <v>98</v>
      </c>
      <c r="H256" s="6" t="s">
        <v>26</v>
      </c>
      <c r="I256" s="6" t="s">
        <v>38</v>
      </c>
      <c r="J256" s="6" t="s">
        <v>60</v>
      </c>
      <c r="K256" s="6" t="s">
        <v>48</v>
      </c>
      <c r="L256" s="6" t="s">
        <v>54</v>
      </c>
      <c r="M256" s="6" t="s">
        <v>32</v>
      </c>
      <c r="N256" s="6" t="s">
        <v>28</v>
      </c>
      <c r="O256" s="6" t="s">
        <v>48</v>
      </c>
      <c r="P256" s="6" t="s">
        <v>48</v>
      </c>
      <c r="Q256" s="6" t="s">
        <v>48</v>
      </c>
      <c r="R256" s="6" t="s">
        <v>60</v>
      </c>
      <c r="S256" s="6" t="s">
        <v>54</v>
      </c>
      <c r="T256" s="6" t="s">
        <v>48</v>
      </c>
      <c r="U256" s="6" t="s">
        <v>136</v>
      </c>
      <c r="V256" s="6" t="s">
        <v>82</v>
      </c>
      <c r="W256" t="s">
        <v>354</v>
      </c>
    </row>
    <row r="257" spans="1:23" x14ac:dyDescent="0.3">
      <c r="A257" s="6" t="s">
        <v>340</v>
      </c>
      <c r="B257" s="1">
        <v>45743</v>
      </c>
      <c r="C257" s="6" t="s">
        <v>21</v>
      </c>
      <c r="D257" s="6" t="s">
        <v>22</v>
      </c>
      <c r="E257" s="6" t="s">
        <v>44</v>
      </c>
      <c r="F257" s="6" t="s">
        <v>24</v>
      </c>
      <c r="G257" s="6" t="s">
        <v>36</v>
      </c>
      <c r="H257" s="6" t="s">
        <v>26</v>
      </c>
      <c r="I257" s="6" t="s">
        <v>66</v>
      </c>
      <c r="J257" s="6" t="s">
        <v>22</v>
      </c>
      <c r="K257" s="6" t="s">
        <v>53</v>
      </c>
      <c r="L257" s="6" t="s">
        <v>128</v>
      </c>
      <c r="M257" s="6" t="s">
        <v>48</v>
      </c>
      <c r="N257" s="6" t="s">
        <v>28</v>
      </c>
      <c r="O257" s="6" t="s">
        <v>30</v>
      </c>
      <c r="P257" s="6" t="s">
        <v>788</v>
      </c>
      <c r="Q257" s="6" t="s">
        <v>48</v>
      </c>
      <c r="R257" s="6" t="s">
        <v>22</v>
      </c>
      <c r="S257" s="6" t="s">
        <v>103</v>
      </c>
      <c r="T257" s="6" t="s">
        <v>29</v>
      </c>
      <c r="U257" s="6" t="s">
        <v>28</v>
      </c>
      <c r="V257" s="6" t="s">
        <v>82</v>
      </c>
      <c r="W257" t="s">
        <v>354</v>
      </c>
    </row>
    <row r="258" spans="1:23" x14ac:dyDescent="0.3">
      <c r="A258" s="6" t="s">
        <v>340</v>
      </c>
      <c r="B258" s="1">
        <v>45743</v>
      </c>
      <c r="C258" s="6" t="s">
        <v>21</v>
      </c>
      <c r="D258" s="6" t="s">
        <v>22</v>
      </c>
      <c r="E258" s="6" t="s">
        <v>44</v>
      </c>
      <c r="F258" s="6" t="s">
        <v>24</v>
      </c>
      <c r="G258" s="6" t="s">
        <v>36</v>
      </c>
      <c r="H258" s="6" t="s">
        <v>26</v>
      </c>
      <c r="I258" s="6" t="s">
        <v>66</v>
      </c>
      <c r="J258" s="6" t="s">
        <v>22</v>
      </c>
      <c r="K258" s="6" t="s">
        <v>53</v>
      </c>
      <c r="L258" s="6" t="s">
        <v>128</v>
      </c>
      <c r="M258" s="6" t="s">
        <v>48</v>
      </c>
      <c r="N258" s="6" t="s">
        <v>28</v>
      </c>
      <c r="O258" s="6" t="s">
        <v>30</v>
      </c>
      <c r="P258" s="6" t="s">
        <v>788</v>
      </c>
      <c r="Q258" s="6" t="s">
        <v>48</v>
      </c>
      <c r="R258" s="6" t="s">
        <v>22</v>
      </c>
      <c r="S258" s="6" t="s">
        <v>103</v>
      </c>
      <c r="T258" s="6" t="s">
        <v>29</v>
      </c>
      <c r="U258" s="6" t="s">
        <v>28</v>
      </c>
      <c r="V258" s="6" t="s">
        <v>146</v>
      </c>
      <c r="W258" t="s">
        <v>354</v>
      </c>
    </row>
    <row r="259" spans="1:23" x14ac:dyDescent="0.3">
      <c r="A259" s="6" t="s">
        <v>356</v>
      </c>
      <c r="B259" s="1">
        <v>45743</v>
      </c>
      <c r="C259" s="6" t="s">
        <v>33</v>
      </c>
      <c r="D259" s="6" t="s">
        <v>60</v>
      </c>
      <c r="E259" s="6" t="s">
        <v>64</v>
      </c>
      <c r="F259" s="6" t="s">
        <v>24</v>
      </c>
      <c r="G259" s="6" t="s">
        <v>69</v>
      </c>
      <c r="H259" s="6" t="s">
        <v>26</v>
      </c>
      <c r="I259" s="6" t="s">
        <v>52</v>
      </c>
      <c r="J259" s="6" t="s">
        <v>60</v>
      </c>
      <c r="K259" s="6" t="s">
        <v>48</v>
      </c>
      <c r="L259" s="6" t="s">
        <v>54</v>
      </c>
      <c r="M259" s="6" t="s">
        <v>29</v>
      </c>
      <c r="N259" s="6" t="s">
        <v>28</v>
      </c>
      <c r="O259" s="6" t="s">
        <v>26</v>
      </c>
      <c r="P259" s="6" t="s">
        <v>48</v>
      </c>
      <c r="Q259" s="6" t="s">
        <v>48</v>
      </c>
      <c r="R259" s="6" t="s">
        <v>60</v>
      </c>
      <c r="S259" s="6" t="s">
        <v>54</v>
      </c>
      <c r="T259" s="6" t="s">
        <v>48</v>
      </c>
      <c r="U259" s="6" t="s">
        <v>28</v>
      </c>
      <c r="V259" s="6" t="s">
        <v>82</v>
      </c>
      <c r="W259" t="s">
        <v>354</v>
      </c>
    </row>
    <row r="260" spans="1:23" x14ac:dyDescent="0.3">
      <c r="A260" s="6" t="s">
        <v>357</v>
      </c>
      <c r="B260" s="1">
        <v>45744</v>
      </c>
      <c r="C260" s="6" t="s">
        <v>39</v>
      </c>
      <c r="D260" s="6" t="s">
        <v>67</v>
      </c>
      <c r="E260" s="6" t="s">
        <v>23</v>
      </c>
      <c r="F260" s="6" t="s">
        <v>24</v>
      </c>
      <c r="G260" s="6" t="s">
        <v>69</v>
      </c>
      <c r="H260" s="6" t="s">
        <v>48</v>
      </c>
      <c r="I260" s="6" t="s">
        <v>58</v>
      </c>
      <c r="J260" s="6" t="s">
        <v>67</v>
      </c>
      <c r="K260" s="6" t="s">
        <v>48</v>
      </c>
      <c r="L260" s="6" t="s">
        <v>54</v>
      </c>
      <c r="M260" s="6" t="s">
        <v>48</v>
      </c>
      <c r="N260" s="6" t="s">
        <v>28</v>
      </c>
      <c r="O260" s="6" t="s">
        <v>26</v>
      </c>
      <c r="P260" s="6" t="s">
        <v>48</v>
      </c>
      <c r="Q260" s="6" t="s">
        <v>48</v>
      </c>
      <c r="R260" s="6" t="s">
        <v>67</v>
      </c>
      <c r="S260" s="6" t="s">
        <v>54</v>
      </c>
      <c r="T260" s="6" t="s">
        <v>48</v>
      </c>
      <c r="U260" s="6" t="s">
        <v>28</v>
      </c>
      <c r="V260" s="6" t="s">
        <v>137</v>
      </c>
      <c r="W260" t="s">
        <v>354</v>
      </c>
    </row>
    <row r="261" spans="1:23" x14ac:dyDescent="0.3">
      <c r="A261" s="6" t="s">
        <v>357</v>
      </c>
      <c r="B261" s="1">
        <v>45744</v>
      </c>
      <c r="C261" s="6" t="s">
        <v>39</v>
      </c>
      <c r="D261" s="6" t="s">
        <v>67</v>
      </c>
      <c r="E261" s="6" t="s">
        <v>23</v>
      </c>
      <c r="F261" s="6" t="s">
        <v>24</v>
      </c>
      <c r="G261" s="6" t="s">
        <v>69</v>
      </c>
      <c r="H261" s="6" t="s">
        <v>48</v>
      </c>
      <c r="I261" s="6" t="s">
        <v>58</v>
      </c>
      <c r="J261" s="6" t="s">
        <v>67</v>
      </c>
      <c r="K261" s="6" t="s">
        <v>48</v>
      </c>
      <c r="L261" s="6" t="s">
        <v>54</v>
      </c>
      <c r="M261" s="6" t="s">
        <v>48</v>
      </c>
      <c r="N261" s="6" t="s">
        <v>28</v>
      </c>
      <c r="O261" s="6" t="s">
        <v>26</v>
      </c>
      <c r="P261" s="6" t="s">
        <v>48</v>
      </c>
      <c r="Q261" s="6" t="s">
        <v>48</v>
      </c>
      <c r="R261" s="6" t="s">
        <v>67</v>
      </c>
      <c r="S261" s="6" t="s">
        <v>54</v>
      </c>
      <c r="T261" s="6" t="s">
        <v>48</v>
      </c>
      <c r="U261" s="6" t="s">
        <v>28</v>
      </c>
      <c r="V261" s="6" t="s">
        <v>82</v>
      </c>
      <c r="W261" t="s">
        <v>354</v>
      </c>
    </row>
    <row r="262" spans="1:23" x14ac:dyDescent="0.3">
      <c r="A262" s="6" t="s">
        <v>357</v>
      </c>
      <c r="B262" s="1">
        <v>45744</v>
      </c>
      <c r="C262" s="6" t="s">
        <v>39</v>
      </c>
      <c r="D262" s="6" t="s">
        <v>67</v>
      </c>
      <c r="E262" s="6" t="s">
        <v>23</v>
      </c>
      <c r="F262" s="6" t="s">
        <v>24</v>
      </c>
      <c r="G262" s="6" t="s">
        <v>69</v>
      </c>
      <c r="H262" s="6" t="s">
        <v>48</v>
      </c>
      <c r="I262" s="6" t="s">
        <v>58</v>
      </c>
      <c r="J262" s="6" t="s">
        <v>67</v>
      </c>
      <c r="K262" s="6" t="s">
        <v>48</v>
      </c>
      <c r="L262" s="6" t="s">
        <v>54</v>
      </c>
      <c r="M262" s="6" t="s">
        <v>48</v>
      </c>
      <c r="N262" s="6" t="s">
        <v>28</v>
      </c>
      <c r="O262" s="6" t="s">
        <v>26</v>
      </c>
      <c r="P262" s="6" t="s">
        <v>48</v>
      </c>
      <c r="Q262" s="6" t="s">
        <v>48</v>
      </c>
      <c r="R262" s="6" t="s">
        <v>67</v>
      </c>
      <c r="S262" s="6" t="s">
        <v>54</v>
      </c>
      <c r="T262" s="6" t="s">
        <v>48</v>
      </c>
      <c r="U262" s="6" t="s">
        <v>28</v>
      </c>
      <c r="V262" s="6" t="s">
        <v>146</v>
      </c>
      <c r="W262" t="s">
        <v>354</v>
      </c>
    </row>
    <row r="263" spans="1:23" x14ac:dyDescent="0.3">
      <c r="A263" s="6" t="s">
        <v>358</v>
      </c>
      <c r="B263" s="1">
        <v>45744</v>
      </c>
      <c r="C263" s="6" t="s">
        <v>343</v>
      </c>
      <c r="D263" s="6" t="s">
        <v>40</v>
      </c>
      <c r="E263" s="6" t="s">
        <v>35</v>
      </c>
      <c r="F263" s="6" t="s">
        <v>24</v>
      </c>
      <c r="G263" s="6" t="s">
        <v>69</v>
      </c>
      <c r="H263" s="6" t="s">
        <v>48</v>
      </c>
      <c r="I263" s="6" t="s">
        <v>27</v>
      </c>
      <c r="J263" s="6" t="s">
        <v>40</v>
      </c>
      <c r="K263" s="6" t="s">
        <v>48</v>
      </c>
      <c r="L263" s="6" t="s">
        <v>152</v>
      </c>
      <c r="M263" s="6" t="s">
        <v>48</v>
      </c>
      <c r="N263" s="6" t="s">
        <v>28</v>
      </c>
      <c r="O263" s="6" t="s">
        <v>26</v>
      </c>
      <c r="P263" s="6" t="s">
        <v>27</v>
      </c>
      <c r="Q263" s="6" t="s">
        <v>31</v>
      </c>
      <c r="R263" s="6" t="s">
        <v>40</v>
      </c>
      <c r="S263" s="6" t="s">
        <v>54</v>
      </c>
      <c r="T263" s="6" t="s">
        <v>48</v>
      </c>
      <c r="U263" s="6" t="s">
        <v>28</v>
      </c>
      <c r="V263" s="6" t="s">
        <v>82</v>
      </c>
      <c r="W263" t="s">
        <v>354</v>
      </c>
    </row>
    <row r="264" spans="1:23" x14ac:dyDescent="0.3">
      <c r="A264" s="6" t="s">
        <v>358</v>
      </c>
      <c r="B264" s="1">
        <v>45744</v>
      </c>
      <c r="C264" s="6" t="s">
        <v>343</v>
      </c>
      <c r="D264" s="6" t="s">
        <v>40</v>
      </c>
      <c r="E264" s="6" t="s">
        <v>35</v>
      </c>
      <c r="F264" s="6" t="s">
        <v>24</v>
      </c>
      <c r="G264" s="6" t="s">
        <v>69</v>
      </c>
      <c r="H264" s="6" t="s">
        <v>48</v>
      </c>
      <c r="I264" s="6" t="s">
        <v>27</v>
      </c>
      <c r="J264" s="6" t="s">
        <v>40</v>
      </c>
      <c r="K264" s="6" t="s">
        <v>48</v>
      </c>
      <c r="L264" s="6" t="s">
        <v>152</v>
      </c>
      <c r="M264" s="6" t="s">
        <v>48</v>
      </c>
      <c r="N264" s="6" t="s">
        <v>28</v>
      </c>
      <c r="O264" s="6" t="s">
        <v>26</v>
      </c>
      <c r="P264" s="6" t="s">
        <v>27</v>
      </c>
      <c r="Q264" s="6" t="s">
        <v>31</v>
      </c>
      <c r="R264" s="6" t="s">
        <v>40</v>
      </c>
      <c r="S264" s="6" t="s">
        <v>54</v>
      </c>
      <c r="T264" s="6" t="s">
        <v>48</v>
      </c>
      <c r="U264" s="6" t="s">
        <v>28</v>
      </c>
      <c r="V264" s="6" t="s">
        <v>146</v>
      </c>
      <c r="W264" t="s">
        <v>354</v>
      </c>
    </row>
    <row r="265" spans="1:23" x14ac:dyDescent="0.3">
      <c r="A265" s="6" t="s">
        <v>359</v>
      </c>
      <c r="B265" s="1">
        <v>45744</v>
      </c>
      <c r="C265" s="6" t="s">
        <v>33</v>
      </c>
      <c r="D265" s="6" t="s">
        <v>43</v>
      </c>
      <c r="E265" s="6" t="s">
        <v>68</v>
      </c>
      <c r="F265" s="6" t="s">
        <v>24</v>
      </c>
      <c r="G265" s="6" t="s">
        <v>69</v>
      </c>
      <c r="H265" s="6" t="s">
        <v>26</v>
      </c>
      <c r="I265" s="6" t="s">
        <v>45</v>
      </c>
      <c r="J265" s="6" t="s">
        <v>43</v>
      </c>
      <c r="K265" s="6" t="s">
        <v>48</v>
      </c>
      <c r="L265" s="6" t="s">
        <v>54</v>
      </c>
      <c r="M265" s="6" t="s">
        <v>32</v>
      </c>
      <c r="N265" s="6" t="s">
        <v>28</v>
      </c>
      <c r="O265" s="6" t="s">
        <v>48</v>
      </c>
      <c r="P265" s="6" t="s">
        <v>48</v>
      </c>
      <c r="Q265" s="6" t="s">
        <v>48</v>
      </c>
      <c r="R265" s="6" t="s">
        <v>43</v>
      </c>
      <c r="S265" s="6" t="s">
        <v>54</v>
      </c>
      <c r="T265" s="6" t="s">
        <v>48</v>
      </c>
      <c r="U265" s="6" t="s">
        <v>28</v>
      </c>
      <c r="V265" s="6" t="s">
        <v>137</v>
      </c>
      <c r="W265" t="s">
        <v>354</v>
      </c>
    </row>
    <row r="266" spans="1:23" x14ac:dyDescent="0.3">
      <c r="A266" s="6" t="s">
        <v>360</v>
      </c>
      <c r="B266" s="1">
        <v>45744</v>
      </c>
      <c r="C266" s="6" t="s">
        <v>343</v>
      </c>
      <c r="D266" s="6" t="s">
        <v>43</v>
      </c>
      <c r="E266" s="6" t="s">
        <v>35</v>
      </c>
      <c r="F266" s="6" t="s">
        <v>24</v>
      </c>
      <c r="G266" s="6" t="s">
        <v>61</v>
      </c>
      <c r="H266" s="6" t="s">
        <v>26</v>
      </c>
      <c r="I266" s="6" t="s">
        <v>66</v>
      </c>
      <c r="J266" s="6" t="s">
        <v>43</v>
      </c>
      <c r="K266" s="6" t="s">
        <v>48</v>
      </c>
      <c r="L266" s="6" t="s">
        <v>152</v>
      </c>
      <c r="M266" s="6" t="s">
        <v>29</v>
      </c>
      <c r="N266" s="6" t="s">
        <v>28</v>
      </c>
      <c r="O266" s="6" t="s">
        <v>26</v>
      </c>
      <c r="P266" s="6" t="s">
        <v>66</v>
      </c>
      <c r="Q266" s="6" t="s">
        <v>31</v>
      </c>
      <c r="R266" s="6" t="s">
        <v>43</v>
      </c>
      <c r="S266" s="6" t="s">
        <v>54</v>
      </c>
      <c r="T266" s="6" t="s">
        <v>29</v>
      </c>
      <c r="U266" s="6" t="s">
        <v>28</v>
      </c>
      <c r="V266" s="6" t="s">
        <v>82</v>
      </c>
      <c r="W266" t="s">
        <v>354</v>
      </c>
    </row>
    <row r="267" spans="1:23" x14ac:dyDescent="0.3">
      <c r="A267" s="6" t="s">
        <v>361</v>
      </c>
      <c r="B267" s="1">
        <v>45745</v>
      </c>
      <c r="C267" s="6" t="s">
        <v>84</v>
      </c>
      <c r="D267" s="6" t="s">
        <v>48</v>
      </c>
      <c r="E267" s="6" t="s">
        <v>35</v>
      </c>
      <c r="F267" s="6" t="s">
        <v>24</v>
      </c>
      <c r="G267" s="6" t="s">
        <v>71</v>
      </c>
      <c r="H267" s="6" t="s">
        <v>48</v>
      </c>
      <c r="I267" s="6" t="s">
        <v>42</v>
      </c>
      <c r="J267" s="6" t="s">
        <v>49</v>
      </c>
      <c r="K267" s="6" t="s">
        <v>48</v>
      </c>
      <c r="L267" s="6" t="s">
        <v>54</v>
      </c>
      <c r="M267" s="6" t="s">
        <v>48</v>
      </c>
      <c r="N267" s="6" t="s">
        <v>28</v>
      </c>
      <c r="O267" s="6" t="s">
        <v>26</v>
      </c>
      <c r="P267" s="6" t="s">
        <v>38</v>
      </c>
      <c r="Q267" s="6" t="s">
        <v>31</v>
      </c>
      <c r="R267" s="6" t="s">
        <v>22</v>
      </c>
      <c r="S267" s="6" t="s">
        <v>54</v>
      </c>
      <c r="T267" s="6" t="s">
        <v>32</v>
      </c>
      <c r="U267" s="6" t="s">
        <v>28</v>
      </c>
      <c r="V267" s="6" t="s">
        <v>137</v>
      </c>
      <c r="W267" t="s">
        <v>354</v>
      </c>
    </row>
    <row r="268" spans="1:23" x14ac:dyDescent="0.3">
      <c r="A268" s="6" t="s">
        <v>361</v>
      </c>
      <c r="B268" s="1">
        <v>45745</v>
      </c>
      <c r="C268" s="6" t="s">
        <v>84</v>
      </c>
      <c r="D268" s="6" t="s">
        <v>48</v>
      </c>
      <c r="E268" s="6" t="s">
        <v>35</v>
      </c>
      <c r="F268" s="6" t="s">
        <v>24</v>
      </c>
      <c r="G268" s="6" t="s">
        <v>71</v>
      </c>
      <c r="H268" s="6" t="s">
        <v>48</v>
      </c>
      <c r="I268" s="6" t="s">
        <v>42</v>
      </c>
      <c r="J268" s="6" t="s">
        <v>49</v>
      </c>
      <c r="K268" s="6" t="s">
        <v>48</v>
      </c>
      <c r="L268" s="6" t="s">
        <v>54</v>
      </c>
      <c r="M268" s="6" t="s">
        <v>48</v>
      </c>
      <c r="N268" s="6" t="s">
        <v>28</v>
      </c>
      <c r="O268" s="6" t="s">
        <v>26</v>
      </c>
      <c r="P268" s="6" t="s">
        <v>38</v>
      </c>
      <c r="Q268" s="6" t="s">
        <v>31</v>
      </c>
      <c r="R268" s="6" t="s">
        <v>22</v>
      </c>
      <c r="S268" s="6" t="s">
        <v>54</v>
      </c>
      <c r="T268" s="6" t="s">
        <v>32</v>
      </c>
      <c r="U268" s="6" t="s">
        <v>28</v>
      </c>
      <c r="V268" s="6" t="s">
        <v>82</v>
      </c>
      <c r="W268" t="s">
        <v>354</v>
      </c>
    </row>
    <row r="269" spans="1:23" x14ac:dyDescent="0.3">
      <c r="A269" s="6" t="s">
        <v>362</v>
      </c>
      <c r="B269" s="1">
        <v>45746</v>
      </c>
      <c r="C269" s="6" t="s">
        <v>343</v>
      </c>
      <c r="D269" s="6" t="s">
        <v>95</v>
      </c>
      <c r="E269" s="6" t="s">
        <v>68</v>
      </c>
      <c r="F269" s="6" t="s">
        <v>24</v>
      </c>
      <c r="G269" s="6" t="s">
        <v>97</v>
      </c>
      <c r="H269" s="6" t="s">
        <v>48</v>
      </c>
      <c r="I269" s="6" t="s">
        <v>58</v>
      </c>
      <c r="J269" s="6" t="s">
        <v>95</v>
      </c>
      <c r="K269" s="6" t="s">
        <v>48</v>
      </c>
      <c r="L269" s="6" t="s">
        <v>54</v>
      </c>
      <c r="M269" s="6" t="s">
        <v>48</v>
      </c>
      <c r="N269" s="6" t="s">
        <v>28</v>
      </c>
      <c r="O269" s="6" t="s">
        <v>48</v>
      </c>
      <c r="P269" s="6" t="s">
        <v>48</v>
      </c>
      <c r="Q269" s="6" t="s">
        <v>31</v>
      </c>
      <c r="R269" s="6" t="s">
        <v>95</v>
      </c>
      <c r="S269" s="6" t="s">
        <v>54</v>
      </c>
      <c r="T269" s="6" t="s">
        <v>48</v>
      </c>
      <c r="U269" s="6" t="s">
        <v>28</v>
      </c>
      <c r="V269" s="6" t="s">
        <v>82</v>
      </c>
      <c r="W269" t="s">
        <v>354</v>
      </c>
    </row>
    <row r="270" spans="1:23" x14ac:dyDescent="0.3">
      <c r="A270" s="6" t="s">
        <v>363</v>
      </c>
      <c r="B270" s="1">
        <v>45746</v>
      </c>
      <c r="C270" s="6" t="s">
        <v>21</v>
      </c>
      <c r="D270" s="6" t="s">
        <v>22</v>
      </c>
      <c r="E270" s="6" t="s">
        <v>35</v>
      </c>
      <c r="F270" s="6" t="s">
        <v>24</v>
      </c>
      <c r="G270" s="6" t="s">
        <v>114</v>
      </c>
      <c r="H270" s="6" t="s">
        <v>26</v>
      </c>
      <c r="I270" s="6" t="s">
        <v>38</v>
      </c>
      <c r="J270" s="6" t="s">
        <v>22</v>
      </c>
      <c r="K270" s="6" t="s">
        <v>115</v>
      </c>
      <c r="L270" s="6" t="s">
        <v>128</v>
      </c>
      <c r="M270" s="6" t="s">
        <v>29</v>
      </c>
      <c r="N270" s="6" t="s">
        <v>28</v>
      </c>
      <c r="O270" s="6" t="s">
        <v>30</v>
      </c>
      <c r="P270" s="6" t="s">
        <v>42</v>
      </c>
      <c r="Q270" s="6" t="s">
        <v>48</v>
      </c>
      <c r="R270" s="6" t="s">
        <v>22</v>
      </c>
      <c r="S270" s="6" t="s">
        <v>54</v>
      </c>
      <c r="T270" s="6" t="s">
        <v>55</v>
      </c>
      <c r="U270" s="6" t="s">
        <v>28</v>
      </c>
      <c r="V270" s="6" t="s">
        <v>82</v>
      </c>
      <c r="W270" t="s">
        <v>354</v>
      </c>
    </row>
    <row r="271" spans="1:23" x14ac:dyDescent="0.3">
      <c r="A271" s="6" t="s">
        <v>364</v>
      </c>
      <c r="B271" s="1">
        <v>45746</v>
      </c>
      <c r="C271" s="6" t="s">
        <v>21</v>
      </c>
      <c r="D271" s="6" t="s">
        <v>22</v>
      </c>
      <c r="E271" s="6" t="s">
        <v>35</v>
      </c>
      <c r="F271" s="6" t="s">
        <v>24</v>
      </c>
      <c r="G271" s="6" t="s">
        <v>114</v>
      </c>
      <c r="H271" s="6" t="s">
        <v>26</v>
      </c>
      <c r="I271" s="6" t="s">
        <v>38</v>
      </c>
      <c r="J271" s="6" t="s">
        <v>22</v>
      </c>
      <c r="K271" s="6" t="s">
        <v>115</v>
      </c>
      <c r="L271" s="6" t="s">
        <v>128</v>
      </c>
      <c r="M271" s="6" t="s">
        <v>29</v>
      </c>
      <c r="N271" s="6" t="s">
        <v>28</v>
      </c>
      <c r="O271" s="6" t="s">
        <v>26</v>
      </c>
      <c r="P271" s="6" t="s">
        <v>108</v>
      </c>
      <c r="Q271" s="6" t="s">
        <v>48</v>
      </c>
      <c r="R271" s="6" t="s">
        <v>22</v>
      </c>
      <c r="S271" s="6" t="s">
        <v>54</v>
      </c>
      <c r="T271" s="6" t="s">
        <v>29</v>
      </c>
      <c r="U271" s="6" t="s">
        <v>28</v>
      </c>
      <c r="V271" s="6" t="s">
        <v>82</v>
      </c>
      <c r="W271" t="s">
        <v>354</v>
      </c>
    </row>
    <row r="272" spans="1:23" x14ac:dyDescent="0.3">
      <c r="A272" s="6" t="s">
        <v>365</v>
      </c>
      <c r="B272" s="1">
        <v>45746</v>
      </c>
      <c r="C272" s="6" t="s">
        <v>62</v>
      </c>
      <c r="D272" s="6" t="s">
        <v>22</v>
      </c>
      <c r="E272" s="6" t="s">
        <v>35</v>
      </c>
      <c r="F272" s="6" t="s">
        <v>24</v>
      </c>
      <c r="G272" s="6" t="s">
        <v>114</v>
      </c>
      <c r="H272" s="6" t="s">
        <v>26</v>
      </c>
      <c r="I272" s="6" t="s">
        <v>38</v>
      </c>
      <c r="J272" s="6" t="s">
        <v>22</v>
      </c>
      <c r="K272" s="6" t="s">
        <v>48</v>
      </c>
      <c r="L272" s="6" t="s">
        <v>54</v>
      </c>
      <c r="M272" s="6" t="s">
        <v>29</v>
      </c>
      <c r="N272" s="6" t="s">
        <v>28</v>
      </c>
      <c r="O272" s="6" t="s">
        <v>30</v>
      </c>
      <c r="P272" s="6" t="s">
        <v>42</v>
      </c>
      <c r="Q272" s="6" t="s">
        <v>31</v>
      </c>
      <c r="R272" s="6" t="s">
        <v>22</v>
      </c>
      <c r="S272" s="6" t="s">
        <v>54</v>
      </c>
      <c r="T272" s="6" t="s">
        <v>29</v>
      </c>
      <c r="U272" s="6" t="s">
        <v>28</v>
      </c>
      <c r="V272" s="6" t="s">
        <v>82</v>
      </c>
      <c r="W272" t="s">
        <v>354</v>
      </c>
    </row>
    <row r="273" spans="1:23" x14ac:dyDescent="0.3">
      <c r="A273" s="6" t="s">
        <v>367</v>
      </c>
      <c r="B273" s="1">
        <v>45746</v>
      </c>
      <c r="C273" s="6" t="s">
        <v>62</v>
      </c>
      <c r="D273" s="6" t="s">
        <v>22</v>
      </c>
      <c r="E273" s="6" t="s">
        <v>35</v>
      </c>
      <c r="F273" s="6" t="s">
        <v>24</v>
      </c>
      <c r="G273" s="6" t="s">
        <v>114</v>
      </c>
      <c r="H273" s="6" t="s">
        <v>26</v>
      </c>
      <c r="I273" s="6" t="s">
        <v>38</v>
      </c>
      <c r="J273" s="6" t="s">
        <v>22</v>
      </c>
      <c r="K273" s="6" t="s">
        <v>48</v>
      </c>
      <c r="L273" s="6" t="s">
        <v>54</v>
      </c>
      <c r="M273" s="6" t="s">
        <v>29</v>
      </c>
      <c r="N273" s="6" t="s">
        <v>28</v>
      </c>
      <c r="O273" s="6" t="s">
        <v>30</v>
      </c>
      <c r="P273" s="6" t="s">
        <v>45</v>
      </c>
      <c r="Q273" s="6" t="s">
        <v>31</v>
      </c>
      <c r="R273" s="6" t="s">
        <v>22</v>
      </c>
      <c r="S273" s="6" t="s">
        <v>54</v>
      </c>
      <c r="T273" s="6" t="s">
        <v>29</v>
      </c>
      <c r="U273" s="6" t="s">
        <v>28</v>
      </c>
      <c r="V273" s="6" t="s">
        <v>82</v>
      </c>
      <c r="W273" t="s">
        <v>354</v>
      </c>
    </row>
    <row r="274" spans="1:23" x14ac:dyDescent="0.3">
      <c r="A274" s="6" t="s">
        <v>366</v>
      </c>
      <c r="B274" s="1">
        <v>45746</v>
      </c>
      <c r="C274" s="6" t="s">
        <v>62</v>
      </c>
      <c r="D274" s="6" t="s">
        <v>22</v>
      </c>
      <c r="E274" s="6" t="s">
        <v>35</v>
      </c>
      <c r="F274" s="6" t="s">
        <v>24</v>
      </c>
      <c r="G274" s="6" t="s">
        <v>114</v>
      </c>
      <c r="H274" s="6" t="s">
        <v>26</v>
      </c>
      <c r="I274" s="6" t="s">
        <v>38</v>
      </c>
      <c r="J274" s="6" t="s">
        <v>22</v>
      </c>
      <c r="K274" s="6" t="s">
        <v>48</v>
      </c>
      <c r="L274" s="6" t="s">
        <v>54</v>
      </c>
      <c r="M274" s="6" t="s">
        <v>29</v>
      </c>
      <c r="N274" s="6" t="s">
        <v>28</v>
      </c>
      <c r="O274" s="6" t="s">
        <v>26</v>
      </c>
      <c r="P274" s="6" t="s">
        <v>37</v>
      </c>
      <c r="Q274" s="6" t="s">
        <v>31</v>
      </c>
      <c r="R274" s="6" t="s">
        <v>49</v>
      </c>
      <c r="S274" s="6" t="s">
        <v>54</v>
      </c>
      <c r="T274" s="6" t="s">
        <v>129</v>
      </c>
      <c r="U274" s="6" t="s">
        <v>28</v>
      </c>
      <c r="V274" s="6" t="s">
        <v>82</v>
      </c>
      <c r="W274" t="s">
        <v>354</v>
      </c>
    </row>
    <row r="275" spans="1:23" x14ac:dyDescent="0.3">
      <c r="A275" s="6" t="s">
        <v>368</v>
      </c>
      <c r="B275" s="1">
        <v>45747</v>
      </c>
      <c r="C275" s="6" t="s">
        <v>343</v>
      </c>
      <c r="D275" s="6" t="s">
        <v>81</v>
      </c>
      <c r="E275" s="6" t="s">
        <v>68</v>
      </c>
      <c r="F275" s="6" t="s">
        <v>24</v>
      </c>
      <c r="G275" s="6" t="s">
        <v>61</v>
      </c>
      <c r="H275" s="6" t="s">
        <v>148</v>
      </c>
      <c r="I275" s="6" t="s">
        <v>27</v>
      </c>
      <c r="J275" s="6" t="s">
        <v>81</v>
      </c>
      <c r="K275" s="6" t="s">
        <v>48</v>
      </c>
      <c r="L275" s="6" t="s">
        <v>54</v>
      </c>
      <c r="M275" s="6" t="s">
        <v>55</v>
      </c>
      <c r="N275" s="6" t="s">
        <v>159</v>
      </c>
      <c r="O275" s="6" t="s">
        <v>48</v>
      </c>
      <c r="P275" s="6" t="s">
        <v>48</v>
      </c>
      <c r="Q275" s="6" t="s">
        <v>48</v>
      </c>
      <c r="R275" s="6" t="s">
        <v>81</v>
      </c>
      <c r="S275" s="6" t="s">
        <v>54</v>
      </c>
      <c r="T275" s="6" t="s">
        <v>48</v>
      </c>
      <c r="U275" s="6" t="s">
        <v>87</v>
      </c>
      <c r="V275" s="6" t="s">
        <v>82</v>
      </c>
      <c r="W275" t="s">
        <v>354</v>
      </c>
    </row>
    <row r="276" spans="1:23" x14ac:dyDescent="0.3">
      <c r="A276" s="6" t="s">
        <v>369</v>
      </c>
      <c r="B276" s="1">
        <v>45747</v>
      </c>
      <c r="C276" s="6" t="s">
        <v>343</v>
      </c>
      <c r="D276" s="6" t="s">
        <v>81</v>
      </c>
      <c r="E276" s="6" t="s">
        <v>68</v>
      </c>
      <c r="F276" s="6" t="s">
        <v>24</v>
      </c>
      <c r="G276" s="6" t="s">
        <v>61</v>
      </c>
      <c r="H276" s="6" t="s">
        <v>148</v>
      </c>
      <c r="I276" s="6" t="s">
        <v>27</v>
      </c>
      <c r="J276" s="6" t="s">
        <v>81</v>
      </c>
      <c r="K276" s="6" t="s">
        <v>48</v>
      </c>
      <c r="L276" s="6" t="s">
        <v>54</v>
      </c>
      <c r="M276" s="6" t="s">
        <v>55</v>
      </c>
      <c r="N276" s="6" t="s">
        <v>159</v>
      </c>
      <c r="O276" s="6" t="s">
        <v>48</v>
      </c>
      <c r="P276" s="6" t="s">
        <v>48</v>
      </c>
      <c r="Q276" s="6" t="s">
        <v>48</v>
      </c>
      <c r="R276" s="6" t="s">
        <v>81</v>
      </c>
      <c r="S276" s="6" t="s">
        <v>54</v>
      </c>
      <c r="T276" s="6" t="s">
        <v>48</v>
      </c>
      <c r="U276" s="6" t="s">
        <v>87</v>
      </c>
      <c r="V276" s="6" t="s">
        <v>82</v>
      </c>
      <c r="W276" t="s">
        <v>354</v>
      </c>
    </row>
    <row r="277" spans="1:23" x14ac:dyDescent="0.3">
      <c r="A277" s="6" t="s">
        <v>370</v>
      </c>
      <c r="B277" s="1">
        <v>45747</v>
      </c>
      <c r="C277" s="6" t="s">
        <v>33</v>
      </c>
      <c r="D277" s="6" t="s">
        <v>22</v>
      </c>
      <c r="E277" s="6" t="s">
        <v>68</v>
      </c>
      <c r="F277" s="6" t="s">
        <v>24</v>
      </c>
      <c r="G277" s="6" t="s">
        <v>36</v>
      </c>
      <c r="H277" s="6" t="s">
        <v>26</v>
      </c>
      <c r="I277" s="6" t="s">
        <v>42</v>
      </c>
      <c r="J277" s="6" t="s">
        <v>22</v>
      </c>
      <c r="K277" s="6" t="s">
        <v>48</v>
      </c>
      <c r="L277" s="6" t="s">
        <v>152</v>
      </c>
      <c r="M277" s="6" t="s">
        <v>32</v>
      </c>
      <c r="N277" s="6" t="s">
        <v>28</v>
      </c>
      <c r="O277" s="6" t="s">
        <v>30</v>
      </c>
      <c r="P277" s="6" t="s">
        <v>27</v>
      </c>
      <c r="Q277" s="6" t="s">
        <v>31</v>
      </c>
      <c r="R277" s="6" t="s">
        <v>22</v>
      </c>
      <c r="S277" s="6" t="s">
        <v>128</v>
      </c>
      <c r="T277" s="6" t="s">
        <v>48</v>
      </c>
      <c r="U277" s="6" t="s">
        <v>28</v>
      </c>
      <c r="V277" s="6" t="s">
        <v>146</v>
      </c>
      <c r="W277" t="s">
        <v>354</v>
      </c>
    </row>
    <row r="278" spans="1:23" x14ac:dyDescent="0.3">
      <c r="A278" s="6" t="s">
        <v>370</v>
      </c>
      <c r="B278" s="1">
        <v>45747</v>
      </c>
      <c r="C278" s="6" t="s">
        <v>33</v>
      </c>
      <c r="D278" s="6" t="s">
        <v>22</v>
      </c>
      <c r="E278" s="6" t="s">
        <v>68</v>
      </c>
      <c r="F278" s="6" t="s">
        <v>24</v>
      </c>
      <c r="G278" s="6" t="s">
        <v>36</v>
      </c>
      <c r="H278" s="6" t="s">
        <v>26</v>
      </c>
      <c r="I278" s="6" t="s">
        <v>42</v>
      </c>
      <c r="J278" s="6" t="s">
        <v>22</v>
      </c>
      <c r="K278" s="6" t="s">
        <v>48</v>
      </c>
      <c r="L278" s="6" t="s">
        <v>152</v>
      </c>
      <c r="M278" s="6" t="s">
        <v>32</v>
      </c>
      <c r="N278" s="6" t="s">
        <v>28</v>
      </c>
      <c r="O278" s="6" t="s">
        <v>30</v>
      </c>
      <c r="P278" s="6" t="s">
        <v>27</v>
      </c>
      <c r="Q278" s="6" t="s">
        <v>31</v>
      </c>
      <c r="R278" s="6" t="s">
        <v>22</v>
      </c>
      <c r="S278" s="6" t="s">
        <v>128</v>
      </c>
      <c r="T278" s="6" t="s">
        <v>48</v>
      </c>
      <c r="U278" s="6" t="s">
        <v>28</v>
      </c>
      <c r="V278" s="6" t="s">
        <v>82</v>
      </c>
      <c r="W278" t="s">
        <v>354</v>
      </c>
    </row>
    <row r="279" spans="1:23" x14ac:dyDescent="0.3">
      <c r="A279" s="6" t="s">
        <v>371</v>
      </c>
      <c r="B279" s="1">
        <v>45748</v>
      </c>
      <c r="C279" s="6" t="s">
        <v>343</v>
      </c>
      <c r="D279" s="6" t="s">
        <v>48</v>
      </c>
      <c r="E279" s="6" t="s">
        <v>44</v>
      </c>
      <c r="F279" s="6" t="s">
        <v>24</v>
      </c>
      <c r="G279" s="6" t="s">
        <v>68</v>
      </c>
      <c r="H279" s="6" t="s">
        <v>48</v>
      </c>
      <c r="I279" s="6" t="s">
        <v>38</v>
      </c>
      <c r="J279" s="6" t="s">
        <v>49</v>
      </c>
      <c r="K279" s="6" t="s">
        <v>48</v>
      </c>
      <c r="L279" s="6" t="s">
        <v>54</v>
      </c>
      <c r="M279" s="6" t="s">
        <v>48</v>
      </c>
      <c r="N279" s="6" t="s">
        <v>28</v>
      </c>
      <c r="O279" s="6" t="s">
        <v>48</v>
      </c>
      <c r="P279" s="6" t="s">
        <v>48</v>
      </c>
      <c r="Q279" s="6" t="s">
        <v>48</v>
      </c>
      <c r="R279" s="6" t="s">
        <v>43</v>
      </c>
      <c r="S279" s="6" t="s">
        <v>54</v>
      </c>
      <c r="T279" s="6" t="s">
        <v>48</v>
      </c>
      <c r="U279" s="6" t="s">
        <v>59</v>
      </c>
      <c r="V279" s="6" t="s">
        <v>137</v>
      </c>
      <c r="W279" t="s">
        <v>785</v>
      </c>
    </row>
    <row r="280" spans="1:23" x14ac:dyDescent="0.3">
      <c r="A280" s="6" t="s">
        <v>372</v>
      </c>
      <c r="B280" s="1">
        <v>45748</v>
      </c>
      <c r="C280" s="6" t="s">
        <v>343</v>
      </c>
      <c r="D280" s="6" t="s">
        <v>48</v>
      </c>
      <c r="E280" s="6" t="s">
        <v>44</v>
      </c>
      <c r="F280" s="6" t="s">
        <v>24</v>
      </c>
      <c r="G280" s="6" t="s">
        <v>68</v>
      </c>
      <c r="H280" s="6" t="s">
        <v>48</v>
      </c>
      <c r="I280" s="6" t="s">
        <v>38</v>
      </c>
      <c r="J280" s="6" t="s">
        <v>49</v>
      </c>
      <c r="K280" s="6" t="s">
        <v>48</v>
      </c>
      <c r="L280" s="6" t="s">
        <v>54</v>
      </c>
      <c r="M280" s="6" t="s">
        <v>48</v>
      </c>
      <c r="N280" s="6" t="s">
        <v>28</v>
      </c>
      <c r="O280" s="6" t="s">
        <v>48</v>
      </c>
      <c r="P280" s="6" t="s">
        <v>48</v>
      </c>
      <c r="Q280" s="6" t="s">
        <v>48</v>
      </c>
      <c r="R280" s="6" t="s">
        <v>43</v>
      </c>
      <c r="S280" s="6" t="s">
        <v>54</v>
      </c>
      <c r="T280" s="6" t="s">
        <v>48</v>
      </c>
      <c r="U280" s="6" t="s">
        <v>59</v>
      </c>
      <c r="V280" s="6" t="s">
        <v>137</v>
      </c>
      <c r="W280" t="s">
        <v>785</v>
      </c>
    </row>
    <row r="281" spans="1:23" x14ac:dyDescent="0.3">
      <c r="A281" s="6" t="s">
        <v>373</v>
      </c>
      <c r="B281" s="1">
        <v>45748</v>
      </c>
      <c r="C281" s="6" t="s">
        <v>33</v>
      </c>
      <c r="D281" s="6" t="s">
        <v>78</v>
      </c>
      <c r="E281" s="6" t="s">
        <v>68</v>
      </c>
      <c r="F281" s="6" t="s">
        <v>24</v>
      </c>
      <c r="G281" s="6" t="s">
        <v>69</v>
      </c>
      <c r="H281" s="6" t="s">
        <v>48</v>
      </c>
      <c r="I281" s="6" t="s">
        <v>27</v>
      </c>
      <c r="J281" s="6" t="s">
        <v>78</v>
      </c>
      <c r="K281" s="6" t="s">
        <v>48</v>
      </c>
      <c r="L281" s="6" t="s">
        <v>152</v>
      </c>
      <c r="M281" s="6" t="s">
        <v>48</v>
      </c>
      <c r="N281" s="6" t="s">
        <v>159</v>
      </c>
      <c r="O281" s="6" t="s">
        <v>26</v>
      </c>
      <c r="P281" s="6" t="s">
        <v>100</v>
      </c>
      <c r="Q281" s="6" t="s">
        <v>31</v>
      </c>
      <c r="R281" s="6" t="s">
        <v>78</v>
      </c>
      <c r="S281" s="6" t="s">
        <v>54</v>
      </c>
      <c r="T281" s="6" t="s">
        <v>32</v>
      </c>
      <c r="U281" s="6" t="s">
        <v>28</v>
      </c>
      <c r="V281" s="6" t="s">
        <v>146</v>
      </c>
      <c r="W281" t="s">
        <v>785</v>
      </c>
    </row>
    <row r="282" spans="1:23" x14ac:dyDescent="0.3">
      <c r="A282" s="6" t="s">
        <v>374</v>
      </c>
      <c r="B282" s="1">
        <v>45748</v>
      </c>
      <c r="C282" s="6" t="s">
        <v>33</v>
      </c>
      <c r="D282" s="6" t="s">
        <v>78</v>
      </c>
      <c r="E282" s="6" t="s">
        <v>68</v>
      </c>
      <c r="F282" s="6" t="s">
        <v>24</v>
      </c>
      <c r="G282" s="6" t="s">
        <v>69</v>
      </c>
      <c r="H282" s="6" t="s">
        <v>48</v>
      </c>
      <c r="I282" s="6" t="s">
        <v>27</v>
      </c>
      <c r="J282" s="6" t="s">
        <v>78</v>
      </c>
      <c r="K282" s="6" t="s">
        <v>48</v>
      </c>
      <c r="L282" s="6" t="s">
        <v>152</v>
      </c>
      <c r="M282" s="6" t="s">
        <v>48</v>
      </c>
      <c r="N282" s="6" t="s">
        <v>159</v>
      </c>
      <c r="O282" s="6" t="s">
        <v>48</v>
      </c>
      <c r="P282" s="6" t="s">
        <v>48</v>
      </c>
      <c r="Q282" s="6" t="s">
        <v>31</v>
      </c>
      <c r="R282" s="6" t="s">
        <v>78</v>
      </c>
      <c r="S282" s="6" t="s">
        <v>54</v>
      </c>
      <c r="T282" s="6" t="s">
        <v>29</v>
      </c>
      <c r="U282" s="6" t="s">
        <v>28</v>
      </c>
      <c r="V282" s="6" t="s">
        <v>146</v>
      </c>
      <c r="W282" t="s">
        <v>785</v>
      </c>
    </row>
    <row r="283" spans="1:23" x14ac:dyDescent="0.3">
      <c r="A283" s="6" t="s">
        <v>375</v>
      </c>
      <c r="B283" s="1">
        <v>45748</v>
      </c>
      <c r="C283" s="6" t="s">
        <v>33</v>
      </c>
      <c r="D283" s="6" t="s">
        <v>78</v>
      </c>
      <c r="E283" s="6" t="s">
        <v>68</v>
      </c>
      <c r="F283" s="6" t="s">
        <v>24</v>
      </c>
      <c r="G283" s="6" t="s">
        <v>69</v>
      </c>
      <c r="H283" s="6" t="s">
        <v>48</v>
      </c>
      <c r="I283" s="6" t="s">
        <v>27</v>
      </c>
      <c r="J283" s="6" t="s">
        <v>78</v>
      </c>
      <c r="K283" s="6" t="s">
        <v>48</v>
      </c>
      <c r="L283" s="6" t="s">
        <v>152</v>
      </c>
      <c r="M283" s="6" t="s">
        <v>48</v>
      </c>
      <c r="N283" s="6" t="s">
        <v>159</v>
      </c>
      <c r="O283" s="6" t="s">
        <v>30</v>
      </c>
      <c r="P283" s="6" t="s">
        <v>58</v>
      </c>
      <c r="Q283" s="6" t="s">
        <v>31</v>
      </c>
      <c r="R283" s="6" t="s">
        <v>78</v>
      </c>
      <c r="S283" s="6" t="s">
        <v>54</v>
      </c>
      <c r="T283" s="6" t="s">
        <v>32</v>
      </c>
      <c r="U283" s="6" t="s">
        <v>28</v>
      </c>
      <c r="V283" s="6" t="s">
        <v>146</v>
      </c>
      <c r="W283" t="s">
        <v>785</v>
      </c>
    </row>
    <row r="284" spans="1:23" x14ac:dyDescent="0.3">
      <c r="A284" s="6" t="s">
        <v>373</v>
      </c>
      <c r="B284" s="1">
        <v>45748</v>
      </c>
      <c r="C284" s="6" t="s">
        <v>33</v>
      </c>
      <c r="D284" s="6" t="s">
        <v>78</v>
      </c>
      <c r="E284" s="6" t="s">
        <v>68</v>
      </c>
      <c r="F284" s="6" t="s">
        <v>24</v>
      </c>
      <c r="G284" s="6" t="s">
        <v>69</v>
      </c>
      <c r="H284" s="6" t="s">
        <v>48</v>
      </c>
      <c r="I284" s="6" t="s">
        <v>27</v>
      </c>
      <c r="J284" s="6" t="s">
        <v>78</v>
      </c>
      <c r="K284" s="6" t="s">
        <v>48</v>
      </c>
      <c r="L284" s="6" t="s">
        <v>152</v>
      </c>
      <c r="M284" s="6" t="s">
        <v>48</v>
      </c>
      <c r="N284" s="6" t="s">
        <v>159</v>
      </c>
      <c r="O284" s="6" t="s">
        <v>26</v>
      </c>
      <c r="P284" s="6" t="s">
        <v>100</v>
      </c>
      <c r="Q284" s="6" t="s">
        <v>31</v>
      </c>
      <c r="R284" s="6" t="s">
        <v>78</v>
      </c>
      <c r="S284" s="6" t="s">
        <v>54</v>
      </c>
      <c r="T284" s="6" t="s">
        <v>32</v>
      </c>
      <c r="U284" s="6" t="s">
        <v>28</v>
      </c>
      <c r="V284" s="6" t="s">
        <v>82</v>
      </c>
      <c r="W284" t="s">
        <v>785</v>
      </c>
    </row>
    <row r="285" spans="1:23" x14ac:dyDescent="0.3">
      <c r="A285" s="6" t="s">
        <v>374</v>
      </c>
      <c r="B285" s="1">
        <v>45748</v>
      </c>
      <c r="C285" s="6" t="s">
        <v>33</v>
      </c>
      <c r="D285" s="6" t="s">
        <v>78</v>
      </c>
      <c r="E285" s="6" t="s">
        <v>68</v>
      </c>
      <c r="F285" s="6" t="s">
        <v>24</v>
      </c>
      <c r="G285" s="6" t="s">
        <v>69</v>
      </c>
      <c r="H285" s="6" t="s">
        <v>48</v>
      </c>
      <c r="I285" s="6" t="s">
        <v>27</v>
      </c>
      <c r="J285" s="6" t="s">
        <v>78</v>
      </c>
      <c r="K285" s="6" t="s">
        <v>48</v>
      </c>
      <c r="L285" s="6" t="s">
        <v>152</v>
      </c>
      <c r="M285" s="6" t="s">
        <v>48</v>
      </c>
      <c r="N285" s="6" t="s">
        <v>159</v>
      </c>
      <c r="O285" s="6" t="s">
        <v>48</v>
      </c>
      <c r="P285" s="6" t="s">
        <v>48</v>
      </c>
      <c r="Q285" s="6" t="s">
        <v>31</v>
      </c>
      <c r="R285" s="6" t="s">
        <v>78</v>
      </c>
      <c r="S285" s="6" t="s">
        <v>54</v>
      </c>
      <c r="T285" s="6" t="s">
        <v>29</v>
      </c>
      <c r="U285" s="6" t="s">
        <v>28</v>
      </c>
      <c r="V285" s="6" t="s">
        <v>82</v>
      </c>
      <c r="W285" t="s">
        <v>785</v>
      </c>
    </row>
    <row r="286" spans="1:23" x14ac:dyDescent="0.3">
      <c r="A286" s="6" t="s">
        <v>375</v>
      </c>
      <c r="B286" s="1">
        <v>45748</v>
      </c>
      <c r="C286" s="6" t="s">
        <v>33</v>
      </c>
      <c r="D286" s="6" t="s">
        <v>78</v>
      </c>
      <c r="E286" s="6" t="s">
        <v>68</v>
      </c>
      <c r="F286" s="6" t="s">
        <v>24</v>
      </c>
      <c r="G286" s="6" t="s">
        <v>69</v>
      </c>
      <c r="H286" s="6" t="s">
        <v>48</v>
      </c>
      <c r="I286" s="6" t="s">
        <v>27</v>
      </c>
      <c r="J286" s="6" t="s">
        <v>78</v>
      </c>
      <c r="K286" s="6" t="s">
        <v>48</v>
      </c>
      <c r="L286" s="6" t="s">
        <v>152</v>
      </c>
      <c r="M286" s="6" t="s">
        <v>48</v>
      </c>
      <c r="N286" s="6" t="s">
        <v>159</v>
      </c>
      <c r="O286" s="6" t="s">
        <v>30</v>
      </c>
      <c r="P286" s="6" t="s">
        <v>58</v>
      </c>
      <c r="Q286" s="6" t="s">
        <v>31</v>
      </c>
      <c r="R286" s="6" t="s">
        <v>78</v>
      </c>
      <c r="S286" s="6" t="s">
        <v>54</v>
      </c>
      <c r="T286" s="6" t="s">
        <v>32</v>
      </c>
      <c r="U286" s="6" t="s">
        <v>28</v>
      </c>
      <c r="V286" s="6" t="s">
        <v>82</v>
      </c>
      <c r="W286" t="s">
        <v>785</v>
      </c>
    </row>
    <row r="287" spans="1:23" x14ac:dyDescent="0.3">
      <c r="A287" s="6" t="s">
        <v>376</v>
      </c>
      <c r="B287" s="1">
        <v>45749</v>
      </c>
      <c r="C287" s="6" t="s">
        <v>21</v>
      </c>
      <c r="D287" s="6" t="s">
        <v>22</v>
      </c>
      <c r="E287" s="6" t="s">
        <v>64</v>
      </c>
      <c r="F287" s="6" t="s">
        <v>24</v>
      </c>
      <c r="G287" s="6" t="s">
        <v>47</v>
      </c>
      <c r="H287" s="6" t="s">
        <v>48</v>
      </c>
      <c r="I287" s="6" t="s">
        <v>27</v>
      </c>
      <c r="J287" s="6" t="s">
        <v>22</v>
      </c>
      <c r="K287" s="6" t="s">
        <v>48</v>
      </c>
      <c r="L287" s="6" t="s">
        <v>54</v>
      </c>
      <c r="M287" s="6" t="s">
        <v>48</v>
      </c>
      <c r="N287" s="6" t="s">
        <v>28</v>
      </c>
      <c r="O287" s="6" t="s">
        <v>48</v>
      </c>
      <c r="P287" s="6" t="s">
        <v>48</v>
      </c>
      <c r="Q287" s="6" t="s">
        <v>48</v>
      </c>
      <c r="R287" s="6" t="s">
        <v>22</v>
      </c>
      <c r="S287" s="6" t="s">
        <v>54</v>
      </c>
      <c r="T287" s="6" t="s">
        <v>48</v>
      </c>
      <c r="U287" s="6" t="s">
        <v>59</v>
      </c>
      <c r="V287" s="6" t="s">
        <v>82</v>
      </c>
      <c r="W287" t="s">
        <v>785</v>
      </c>
    </row>
    <row r="288" spans="1:23" x14ac:dyDescent="0.3">
      <c r="A288" s="6" t="s">
        <v>377</v>
      </c>
      <c r="B288" s="1">
        <v>45750</v>
      </c>
      <c r="C288" s="6" t="s">
        <v>84</v>
      </c>
      <c r="D288" s="6" t="s">
        <v>22</v>
      </c>
      <c r="E288" s="6" t="s">
        <v>68</v>
      </c>
      <c r="F288" s="6" t="s">
        <v>24</v>
      </c>
      <c r="G288" s="6" t="s">
        <v>104</v>
      </c>
      <c r="H288" s="6" t="s">
        <v>26</v>
      </c>
      <c r="I288" s="6" t="s">
        <v>38</v>
      </c>
      <c r="J288" s="6" t="s">
        <v>22</v>
      </c>
      <c r="K288" s="6" t="s">
        <v>120</v>
      </c>
      <c r="L288" s="6" t="s">
        <v>378</v>
      </c>
      <c r="M288" s="6" t="s">
        <v>32</v>
      </c>
      <c r="N288" s="6" t="s">
        <v>63</v>
      </c>
      <c r="O288" s="6" t="s">
        <v>26</v>
      </c>
      <c r="P288" s="6" t="s">
        <v>48</v>
      </c>
      <c r="Q288" s="6" t="s">
        <v>48</v>
      </c>
      <c r="R288" s="6" t="s">
        <v>22</v>
      </c>
      <c r="S288" s="6" t="s">
        <v>54</v>
      </c>
      <c r="T288" s="6" t="s">
        <v>48</v>
      </c>
      <c r="U288" s="6" t="s">
        <v>28</v>
      </c>
      <c r="V288" s="6" t="s">
        <v>82</v>
      </c>
      <c r="W288" t="s">
        <v>785</v>
      </c>
    </row>
    <row r="289" spans="1:23" x14ac:dyDescent="0.3">
      <c r="A289" s="6" t="s">
        <v>379</v>
      </c>
      <c r="B289" s="1">
        <v>45750</v>
      </c>
      <c r="C289" s="6" t="s">
        <v>84</v>
      </c>
      <c r="D289" s="6" t="s">
        <v>22</v>
      </c>
      <c r="E289" s="6" t="s">
        <v>68</v>
      </c>
      <c r="F289" s="6" t="s">
        <v>24</v>
      </c>
      <c r="G289" s="6" t="s">
        <v>104</v>
      </c>
      <c r="H289" s="6" t="s">
        <v>26</v>
      </c>
      <c r="I289" s="6" t="s">
        <v>38</v>
      </c>
      <c r="J289" s="6" t="s">
        <v>22</v>
      </c>
      <c r="K289" s="6" t="s">
        <v>120</v>
      </c>
      <c r="L289" s="6" t="s">
        <v>378</v>
      </c>
      <c r="M289" s="6" t="s">
        <v>32</v>
      </c>
      <c r="N289" s="6" t="s">
        <v>63</v>
      </c>
      <c r="O289" s="6" t="s">
        <v>26</v>
      </c>
      <c r="P289" s="6" t="s">
        <v>48</v>
      </c>
      <c r="Q289" s="6" t="s">
        <v>48</v>
      </c>
      <c r="R289" s="6" t="s">
        <v>22</v>
      </c>
      <c r="S289" s="6" t="s">
        <v>54</v>
      </c>
      <c r="T289" s="6" t="s">
        <v>48</v>
      </c>
      <c r="U289" s="6" t="s">
        <v>28</v>
      </c>
      <c r="V289" s="6" t="s">
        <v>82</v>
      </c>
      <c r="W289" t="s">
        <v>785</v>
      </c>
    </row>
    <row r="290" spans="1:23" x14ac:dyDescent="0.3">
      <c r="A290" s="6" t="s">
        <v>380</v>
      </c>
      <c r="B290" s="1">
        <v>45750</v>
      </c>
      <c r="C290" s="6" t="s">
        <v>39</v>
      </c>
      <c r="D290" s="6" t="s">
        <v>43</v>
      </c>
      <c r="E290" s="6" t="s">
        <v>35</v>
      </c>
      <c r="F290" s="6" t="s">
        <v>24</v>
      </c>
      <c r="G290" s="6" t="s">
        <v>69</v>
      </c>
      <c r="H290" s="6" t="s">
        <v>26</v>
      </c>
      <c r="I290" s="6" t="s">
        <v>52</v>
      </c>
      <c r="J290" s="6" t="s">
        <v>43</v>
      </c>
      <c r="K290" s="6" t="s">
        <v>48</v>
      </c>
      <c r="L290" s="6" t="s">
        <v>54</v>
      </c>
      <c r="M290" s="6" t="s">
        <v>55</v>
      </c>
      <c r="N290" s="6" t="s">
        <v>28</v>
      </c>
      <c r="O290" s="6" t="s">
        <v>26</v>
      </c>
      <c r="P290" s="6" t="s">
        <v>45</v>
      </c>
      <c r="Q290" s="6" t="s">
        <v>31</v>
      </c>
      <c r="R290" s="6" t="s">
        <v>43</v>
      </c>
      <c r="S290" s="6" t="s">
        <v>54</v>
      </c>
      <c r="T290" s="6" t="s">
        <v>29</v>
      </c>
      <c r="U290" s="6" t="s">
        <v>28</v>
      </c>
      <c r="V290" s="6" t="s">
        <v>82</v>
      </c>
      <c r="W290" t="s">
        <v>785</v>
      </c>
    </row>
    <row r="291" spans="1:23" x14ac:dyDescent="0.3">
      <c r="A291" s="6" t="s">
        <v>381</v>
      </c>
      <c r="B291" s="1">
        <v>45750</v>
      </c>
      <c r="C291" s="6" t="s">
        <v>343</v>
      </c>
      <c r="D291" s="6" t="s">
        <v>43</v>
      </c>
      <c r="E291" s="6" t="s">
        <v>35</v>
      </c>
      <c r="F291" s="6" t="s">
        <v>24</v>
      </c>
      <c r="G291" s="6" t="s">
        <v>97</v>
      </c>
      <c r="H291" s="6" t="s">
        <v>26</v>
      </c>
      <c r="I291" s="6" t="s">
        <v>45</v>
      </c>
      <c r="J291" s="6" t="s">
        <v>43</v>
      </c>
      <c r="K291" s="6" t="s">
        <v>48</v>
      </c>
      <c r="L291" s="6" t="s">
        <v>54</v>
      </c>
      <c r="M291" s="6" t="s">
        <v>29</v>
      </c>
      <c r="N291" s="6" t="s">
        <v>28</v>
      </c>
      <c r="O291" s="6" t="s">
        <v>26</v>
      </c>
      <c r="P291" s="6" t="s">
        <v>27</v>
      </c>
      <c r="Q291" s="6" t="s">
        <v>31</v>
      </c>
      <c r="R291" s="6" t="s">
        <v>43</v>
      </c>
      <c r="S291" s="6" t="s">
        <v>54</v>
      </c>
      <c r="T291" s="6" t="s">
        <v>55</v>
      </c>
      <c r="U291" s="6" t="s">
        <v>28</v>
      </c>
      <c r="V291" s="6" t="s">
        <v>82</v>
      </c>
      <c r="W291" t="s">
        <v>785</v>
      </c>
    </row>
    <row r="292" spans="1:23" x14ac:dyDescent="0.3">
      <c r="A292" s="6" t="s">
        <v>382</v>
      </c>
      <c r="B292" s="1">
        <v>45750</v>
      </c>
      <c r="C292" s="6" t="s">
        <v>33</v>
      </c>
      <c r="D292" s="6" t="s">
        <v>43</v>
      </c>
      <c r="E292" s="6" t="s">
        <v>64</v>
      </c>
      <c r="F292" s="6" t="s">
        <v>24</v>
      </c>
      <c r="G292" s="6" t="s">
        <v>61</v>
      </c>
      <c r="H292" s="6" t="s">
        <v>26</v>
      </c>
      <c r="I292" s="6" t="s">
        <v>58</v>
      </c>
      <c r="J292" s="6" t="s">
        <v>43</v>
      </c>
      <c r="K292" s="6" t="s">
        <v>48</v>
      </c>
      <c r="L292" s="6" t="s">
        <v>54</v>
      </c>
      <c r="M292" s="6" t="s">
        <v>32</v>
      </c>
      <c r="N292" s="6" t="s">
        <v>28</v>
      </c>
      <c r="O292" s="6" t="s">
        <v>30</v>
      </c>
      <c r="P292" s="6" t="s">
        <v>48</v>
      </c>
      <c r="Q292" s="6" t="s">
        <v>48</v>
      </c>
      <c r="R292" s="6" t="s">
        <v>43</v>
      </c>
      <c r="S292" s="6" t="s">
        <v>54</v>
      </c>
      <c r="T292" s="6" t="s">
        <v>48</v>
      </c>
      <c r="U292" s="6" t="s">
        <v>28</v>
      </c>
      <c r="V292" s="6" t="s">
        <v>146</v>
      </c>
      <c r="W292" t="s">
        <v>785</v>
      </c>
    </row>
    <row r="293" spans="1:23" x14ac:dyDescent="0.3">
      <c r="A293" s="6" t="s">
        <v>382</v>
      </c>
      <c r="B293" s="1">
        <v>45750</v>
      </c>
      <c r="C293" s="6" t="s">
        <v>33</v>
      </c>
      <c r="D293" s="6" t="s">
        <v>43</v>
      </c>
      <c r="E293" s="6" t="s">
        <v>64</v>
      </c>
      <c r="F293" s="6" t="s">
        <v>24</v>
      </c>
      <c r="G293" s="6" t="s">
        <v>61</v>
      </c>
      <c r="H293" s="6" t="s">
        <v>26</v>
      </c>
      <c r="I293" s="6" t="s">
        <v>58</v>
      </c>
      <c r="J293" s="6" t="s">
        <v>43</v>
      </c>
      <c r="K293" s="6" t="s">
        <v>48</v>
      </c>
      <c r="L293" s="6" t="s">
        <v>54</v>
      </c>
      <c r="M293" s="6" t="s">
        <v>32</v>
      </c>
      <c r="N293" s="6" t="s">
        <v>28</v>
      </c>
      <c r="O293" s="6" t="s">
        <v>30</v>
      </c>
      <c r="P293" s="6" t="s">
        <v>48</v>
      </c>
      <c r="Q293" s="6" t="s">
        <v>48</v>
      </c>
      <c r="R293" s="6" t="s">
        <v>43</v>
      </c>
      <c r="S293" s="6" t="s">
        <v>54</v>
      </c>
      <c r="T293" s="6" t="s">
        <v>48</v>
      </c>
      <c r="U293" s="6" t="s">
        <v>28</v>
      </c>
      <c r="V293" s="6" t="s">
        <v>82</v>
      </c>
      <c r="W293" t="s">
        <v>785</v>
      </c>
    </row>
    <row r="294" spans="1:23" x14ac:dyDescent="0.3">
      <c r="A294" s="6" t="s">
        <v>383</v>
      </c>
      <c r="B294" s="1">
        <v>45751</v>
      </c>
      <c r="C294" s="6" t="s">
        <v>343</v>
      </c>
      <c r="D294" s="6" t="s">
        <v>40</v>
      </c>
      <c r="E294" s="6" t="s">
        <v>35</v>
      </c>
      <c r="F294" s="6" t="s">
        <v>24</v>
      </c>
      <c r="G294" s="6" t="s">
        <v>61</v>
      </c>
      <c r="H294" s="6" t="s">
        <v>48</v>
      </c>
      <c r="I294" s="6" t="s">
        <v>37</v>
      </c>
      <c r="J294" s="6" t="s">
        <v>40</v>
      </c>
      <c r="K294" s="6" t="s">
        <v>48</v>
      </c>
      <c r="L294" s="6" t="s">
        <v>154</v>
      </c>
      <c r="M294" s="6" t="s">
        <v>48</v>
      </c>
      <c r="N294" s="6" t="s">
        <v>63</v>
      </c>
      <c r="O294" s="6" t="s">
        <v>48</v>
      </c>
      <c r="P294" s="6" t="s">
        <v>45</v>
      </c>
      <c r="Q294" s="6" t="s">
        <v>48</v>
      </c>
      <c r="R294" s="6" t="s">
        <v>49</v>
      </c>
      <c r="S294" s="6" t="s">
        <v>154</v>
      </c>
      <c r="T294" s="6" t="s">
        <v>48</v>
      </c>
      <c r="U294" s="6" t="s">
        <v>28</v>
      </c>
      <c r="V294" s="6" t="s">
        <v>82</v>
      </c>
      <c r="W294" t="s">
        <v>785</v>
      </c>
    </row>
    <row r="295" spans="1:23" x14ac:dyDescent="0.3">
      <c r="A295" s="6" t="s">
        <v>384</v>
      </c>
      <c r="B295" s="1">
        <v>45751</v>
      </c>
      <c r="C295" s="6" t="s">
        <v>343</v>
      </c>
      <c r="D295" s="6" t="s">
        <v>43</v>
      </c>
      <c r="E295" s="6" t="s">
        <v>46</v>
      </c>
      <c r="F295" s="6" t="s">
        <v>24</v>
      </c>
      <c r="G295" s="6" t="s">
        <v>61</v>
      </c>
      <c r="H295" s="6" t="s">
        <v>48</v>
      </c>
      <c r="I295" s="6" t="s">
        <v>38</v>
      </c>
      <c r="J295" s="6" t="s">
        <v>43</v>
      </c>
      <c r="K295" s="6" t="s">
        <v>48</v>
      </c>
      <c r="L295" s="6" t="s">
        <v>54</v>
      </c>
      <c r="M295" s="6" t="s">
        <v>48</v>
      </c>
      <c r="N295" s="6" t="s">
        <v>28</v>
      </c>
      <c r="O295" s="6" t="s">
        <v>48</v>
      </c>
      <c r="P295" s="6" t="s">
        <v>48</v>
      </c>
      <c r="Q295" s="6" t="s">
        <v>48</v>
      </c>
      <c r="R295" s="6" t="s">
        <v>43</v>
      </c>
      <c r="S295" s="6" t="s">
        <v>54</v>
      </c>
      <c r="T295" s="6" t="s">
        <v>48</v>
      </c>
      <c r="U295" s="6" t="s">
        <v>77</v>
      </c>
      <c r="V295" s="6" t="s">
        <v>146</v>
      </c>
      <c r="W295" t="s">
        <v>785</v>
      </c>
    </row>
    <row r="296" spans="1:23" x14ac:dyDescent="0.3">
      <c r="A296" s="6" t="s">
        <v>384</v>
      </c>
      <c r="B296" s="1">
        <v>45751</v>
      </c>
      <c r="C296" s="6" t="s">
        <v>343</v>
      </c>
      <c r="D296" s="6" t="s">
        <v>43</v>
      </c>
      <c r="E296" s="6" t="s">
        <v>46</v>
      </c>
      <c r="F296" s="6" t="s">
        <v>24</v>
      </c>
      <c r="G296" s="6" t="s">
        <v>61</v>
      </c>
      <c r="H296" s="6" t="s">
        <v>48</v>
      </c>
      <c r="I296" s="6" t="s">
        <v>38</v>
      </c>
      <c r="J296" s="6" t="s">
        <v>43</v>
      </c>
      <c r="K296" s="6" t="s">
        <v>48</v>
      </c>
      <c r="L296" s="6" t="s">
        <v>54</v>
      </c>
      <c r="M296" s="6" t="s">
        <v>48</v>
      </c>
      <c r="N296" s="6" t="s">
        <v>28</v>
      </c>
      <c r="O296" s="6" t="s">
        <v>48</v>
      </c>
      <c r="P296" s="6" t="s">
        <v>48</v>
      </c>
      <c r="Q296" s="6" t="s">
        <v>48</v>
      </c>
      <c r="R296" s="6" t="s">
        <v>43</v>
      </c>
      <c r="S296" s="6" t="s">
        <v>54</v>
      </c>
      <c r="T296" s="6" t="s">
        <v>48</v>
      </c>
      <c r="U296" s="6" t="s">
        <v>77</v>
      </c>
      <c r="V296" s="6" t="s">
        <v>137</v>
      </c>
      <c r="W296" t="s">
        <v>785</v>
      </c>
    </row>
    <row r="297" spans="1:23" x14ac:dyDescent="0.3">
      <c r="A297" s="6" t="s">
        <v>385</v>
      </c>
      <c r="B297" s="1">
        <v>45751</v>
      </c>
      <c r="C297" s="6" t="s">
        <v>343</v>
      </c>
      <c r="D297" s="6" t="s">
        <v>43</v>
      </c>
      <c r="E297" s="6" t="s">
        <v>46</v>
      </c>
      <c r="F297" s="6" t="s">
        <v>24</v>
      </c>
      <c r="G297" s="6" t="s">
        <v>61</v>
      </c>
      <c r="H297" s="6" t="s">
        <v>26</v>
      </c>
      <c r="I297" s="6" t="s">
        <v>58</v>
      </c>
      <c r="J297" s="6" t="s">
        <v>43</v>
      </c>
      <c r="K297" s="6" t="s">
        <v>48</v>
      </c>
      <c r="L297" s="6" t="s">
        <v>54</v>
      </c>
      <c r="M297" s="6" t="s">
        <v>29</v>
      </c>
      <c r="N297" s="6" t="s">
        <v>28</v>
      </c>
      <c r="O297" s="6" t="s">
        <v>30</v>
      </c>
      <c r="P297" s="6" t="s">
        <v>52</v>
      </c>
      <c r="Q297" s="6" t="s">
        <v>31</v>
      </c>
      <c r="R297" s="6" t="s">
        <v>43</v>
      </c>
      <c r="S297" s="6" t="s">
        <v>54</v>
      </c>
      <c r="T297" s="6" t="s">
        <v>29</v>
      </c>
      <c r="U297" s="6" t="s">
        <v>28</v>
      </c>
      <c r="V297" s="6" t="s">
        <v>82</v>
      </c>
      <c r="W297" t="s">
        <v>785</v>
      </c>
    </row>
    <row r="298" spans="1:23" x14ac:dyDescent="0.3">
      <c r="A298" s="6" t="s">
        <v>387</v>
      </c>
      <c r="B298" s="1">
        <v>45751</v>
      </c>
      <c r="C298" s="6" t="s">
        <v>343</v>
      </c>
      <c r="D298" s="6" t="s">
        <v>43</v>
      </c>
      <c r="E298" s="6" t="s">
        <v>41</v>
      </c>
      <c r="F298" s="6" t="s">
        <v>24</v>
      </c>
      <c r="G298" s="6" t="s">
        <v>61</v>
      </c>
      <c r="H298" s="6" t="s">
        <v>26</v>
      </c>
      <c r="I298" s="6" t="s">
        <v>66</v>
      </c>
      <c r="J298" s="6" t="s">
        <v>43</v>
      </c>
      <c r="K298" s="6" t="s">
        <v>48</v>
      </c>
      <c r="L298" s="6" t="s">
        <v>54</v>
      </c>
      <c r="M298" s="6" t="s">
        <v>29</v>
      </c>
      <c r="N298" s="6" t="s">
        <v>28</v>
      </c>
      <c r="O298" s="6" t="s">
        <v>26</v>
      </c>
      <c r="P298" s="6" t="s">
        <v>48</v>
      </c>
      <c r="Q298" s="6" t="s">
        <v>48</v>
      </c>
      <c r="R298" s="6" t="s">
        <v>43</v>
      </c>
      <c r="S298" s="6" t="s">
        <v>54</v>
      </c>
      <c r="T298" s="6" t="s">
        <v>48</v>
      </c>
      <c r="U298" s="6" t="s">
        <v>28</v>
      </c>
      <c r="V298" s="6" t="s">
        <v>82</v>
      </c>
      <c r="W298" t="s">
        <v>785</v>
      </c>
    </row>
    <row r="299" spans="1:23" x14ac:dyDescent="0.3">
      <c r="A299" s="6" t="s">
        <v>386</v>
      </c>
      <c r="B299" s="1">
        <v>45751</v>
      </c>
      <c r="C299" s="6" t="s">
        <v>343</v>
      </c>
      <c r="D299" s="6" t="s">
        <v>43</v>
      </c>
      <c r="E299" s="6" t="s">
        <v>41</v>
      </c>
      <c r="F299" s="6" t="s">
        <v>24</v>
      </c>
      <c r="G299" s="6" t="s">
        <v>61</v>
      </c>
      <c r="H299" s="6" t="s">
        <v>26</v>
      </c>
      <c r="I299" s="6" t="s">
        <v>66</v>
      </c>
      <c r="J299" s="6" t="s">
        <v>43</v>
      </c>
      <c r="K299" s="6" t="s">
        <v>48</v>
      </c>
      <c r="L299" s="6" t="s">
        <v>54</v>
      </c>
      <c r="M299" s="6" t="s">
        <v>29</v>
      </c>
      <c r="N299" s="6" t="s">
        <v>28</v>
      </c>
      <c r="O299" s="6" t="s">
        <v>30</v>
      </c>
      <c r="P299" s="6" t="s">
        <v>48</v>
      </c>
      <c r="Q299" s="6" t="s">
        <v>48</v>
      </c>
      <c r="R299" s="6" t="s">
        <v>43</v>
      </c>
      <c r="S299" s="6" t="s">
        <v>54</v>
      </c>
      <c r="T299" s="6" t="s">
        <v>48</v>
      </c>
      <c r="U299" s="6" t="s">
        <v>28</v>
      </c>
      <c r="V299" s="6" t="s">
        <v>137</v>
      </c>
      <c r="W299" t="s">
        <v>785</v>
      </c>
    </row>
    <row r="300" spans="1:23" x14ac:dyDescent="0.3">
      <c r="A300" s="6" t="s">
        <v>387</v>
      </c>
      <c r="B300" s="1">
        <v>45751</v>
      </c>
      <c r="C300" s="6" t="s">
        <v>343</v>
      </c>
      <c r="D300" s="6" t="s">
        <v>43</v>
      </c>
      <c r="E300" s="6" t="s">
        <v>41</v>
      </c>
      <c r="F300" s="6" t="s">
        <v>24</v>
      </c>
      <c r="G300" s="6" t="s">
        <v>61</v>
      </c>
      <c r="H300" s="6" t="s">
        <v>26</v>
      </c>
      <c r="I300" s="6" t="s">
        <v>66</v>
      </c>
      <c r="J300" s="6" t="s">
        <v>43</v>
      </c>
      <c r="K300" s="6" t="s">
        <v>48</v>
      </c>
      <c r="L300" s="6" t="s">
        <v>54</v>
      </c>
      <c r="M300" s="6" t="s">
        <v>29</v>
      </c>
      <c r="N300" s="6" t="s">
        <v>28</v>
      </c>
      <c r="O300" s="6" t="s">
        <v>26</v>
      </c>
      <c r="P300" s="6" t="s">
        <v>48</v>
      </c>
      <c r="Q300" s="6" t="s">
        <v>48</v>
      </c>
      <c r="R300" s="6" t="s">
        <v>43</v>
      </c>
      <c r="S300" s="6" t="s">
        <v>54</v>
      </c>
      <c r="T300" s="6" t="s">
        <v>48</v>
      </c>
      <c r="U300" s="6" t="s">
        <v>28</v>
      </c>
      <c r="V300" s="6" t="s">
        <v>137</v>
      </c>
      <c r="W300" t="s">
        <v>785</v>
      </c>
    </row>
    <row r="301" spans="1:23" x14ac:dyDescent="0.3">
      <c r="A301" s="6" t="s">
        <v>386</v>
      </c>
      <c r="B301" s="1">
        <v>45751</v>
      </c>
      <c r="C301" s="6" t="s">
        <v>343</v>
      </c>
      <c r="D301" s="6" t="s">
        <v>43</v>
      </c>
      <c r="E301" s="6" t="s">
        <v>41</v>
      </c>
      <c r="F301" s="6" t="s">
        <v>24</v>
      </c>
      <c r="G301" s="6" t="s">
        <v>61</v>
      </c>
      <c r="H301" s="6" t="s">
        <v>26</v>
      </c>
      <c r="I301" s="6" t="s">
        <v>66</v>
      </c>
      <c r="J301" s="6" t="s">
        <v>43</v>
      </c>
      <c r="K301" s="6" t="s">
        <v>48</v>
      </c>
      <c r="L301" s="6" t="s">
        <v>54</v>
      </c>
      <c r="M301" s="6" t="s">
        <v>29</v>
      </c>
      <c r="N301" s="6" t="s">
        <v>28</v>
      </c>
      <c r="O301" s="6" t="s">
        <v>30</v>
      </c>
      <c r="P301" s="6" t="s">
        <v>48</v>
      </c>
      <c r="Q301" s="6" t="s">
        <v>48</v>
      </c>
      <c r="R301" s="6" t="s">
        <v>43</v>
      </c>
      <c r="S301" s="6" t="s">
        <v>54</v>
      </c>
      <c r="T301" s="6" t="s">
        <v>48</v>
      </c>
      <c r="U301" s="6" t="s">
        <v>28</v>
      </c>
      <c r="V301" s="6" t="s">
        <v>82</v>
      </c>
      <c r="W301" t="s">
        <v>785</v>
      </c>
    </row>
    <row r="302" spans="1:23" x14ac:dyDescent="0.3">
      <c r="A302" s="6" t="s">
        <v>387</v>
      </c>
      <c r="B302" s="1">
        <v>45751</v>
      </c>
      <c r="C302" s="6" t="s">
        <v>343</v>
      </c>
      <c r="D302" s="6" t="s">
        <v>43</v>
      </c>
      <c r="E302" s="6" t="s">
        <v>41</v>
      </c>
      <c r="F302" s="6" t="s">
        <v>24</v>
      </c>
      <c r="G302" s="6" t="s">
        <v>61</v>
      </c>
      <c r="H302" s="6" t="s">
        <v>26</v>
      </c>
      <c r="I302" s="6" t="s">
        <v>66</v>
      </c>
      <c r="J302" s="6" t="s">
        <v>43</v>
      </c>
      <c r="K302" s="6" t="s">
        <v>48</v>
      </c>
      <c r="L302" s="6" t="s">
        <v>54</v>
      </c>
      <c r="M302" s="6" t="s">
        <v>29</v>
      </c>
      <c r="N302" s="6" t="s">
        <v>28</v>
      </c>
      <c r="O302" s="6" t="s">
        <v>26</v>
      </c>
      <c r="P302" s="6" t="s">
        <v>48</v>
      </c>
      <c r="Q302" s="6" t="s">
        <v>48</v>
      </c>
      <c r="R302" s="6" t="s">
        <v>43</v>
      </c>
      <c r="S302" s="6" t="s">
        <v>54</v>
      </c>
      <c r="T302" s="6" t="s">
        <v>48</v>
      </c>
      <c r="U302" s="6" t="s">
        <v>28</v>
      </c>
      <c r="V302" s="6" t="s">
        <v>146</v>
      </c>
      <c r="W302" t="s">
        <v>785</v>
      </c>
    </row>
    <row r="303" spans="1:23" x14ac:dyDescent="0.3">
      <c r="A303" s="6" t="s">
        <v>386</v>
      </c>
      <c r="B303" s="1">
        <v>45751</v>
      </c>
      <c r="C303" s="6" t="s">
        <v>343</v>
      </c>
      <c r="D303" s="6" t="s">
        <v>43</v>
      </c>
      <c r="E303" s="6" t="s">
        <v>41</v>
      </c>
      <c r="F303" s="6" t="s">
        <v>24</v>
      </c>
      <c r="G303" s="6" t="s">
        <v>61</v>
      </c>
      <c r="H303" s="6" t="s">
        <v>26</v>
      </c>
      <c r="I303" s="6" t="s">
        <v>66</v>
      </c>
      <c r="J303" s="6" t="s">
        <v>43</v>
      </c>
      <c r="K303" s="6" t="s">
        <v>48</v>
      </c>
      <c r="L303" s="6" t="s">
        <v>54</v>
      </c>
      <c r="M303" s="6" t="s">
        <v>29</v>
      </c>
      <c r="N303" s="6" t="s">
        <v>28</v>
      </c>
      <c r="O303" s="6" t="s">
        <v>30</v>
      </c>
      <c r="P303" s="6" t="s">
        <v>48</v>
      </c>
      <c r="Q303" s="6" t="s">
        <v>48</v>
      </c>
      <c r="R303" s="6" t="s">
        <v>43</v>
      </c>
      <c r="S303" s="6" t="s">
        <v>54</v>
      </c>
      <c r="T303" s="6" t="s">
        <v>48</v>
      </c>
      <c r="U303" s="6" t="s">
        <v>28</v>
      </c>
      <c r="V303" s="6" t="s">
        <v>146</v>
      </c>
      <c r="W303" t="s">
        <v>785</v>
      </c>
    </row>
    <row r="304" spans="1:23" x14ac:dyDescent="0.3">
      <c r="A304" s="6" t="s">
        <v>388</v>
      </c>
      <c r="B304" s="1">
        <v>45751</v>
      </c>
      <c r="C304" s="6" t="s">
        <v>343</v>
      </c>
      <c r="D304" s="6" t="s">
        <v>95</v>
      </c>
      <c r="E304" s="6" t="s">
        <v>68</v>
      </c>
      <c r="F304" s="6" t="s">
        <v>24</v>
      </c>
      <c r="G304" s="6" t="s">
        <v>51</v>
      </c>
      <c r="H304" s="6" t="s">
        <v>26</v>
      </c>
      <c r="I304" s="6" t="s">
        <v>42</v>
      </c>
      <c r="J304" s="6" t="s">
        <v>95</v>
      </c>
      <c r="K304" s="6" t="s">
        <v>48</v>
      </c>
      <c r="L304" s="6" t="s">
        <v>54</v>
      </c>
      <c r="M304" s="6" t="s">
        <v>32</v>
      </c>
      <c r="N304" s="6" t="s">
        <v>28</v>
      </c>
      <c r="O304" s="6" t="s">
        <v>48</v>
      </c>
      <c r="P304" s="6" t="s">
        <v>48</v>
      </c>
      <c r="Q304" s="6" t="s">
        <v>48</v>
      </c>
      <c r="R304" s="6" t="s">
        <v>95</v>
      </c>
      <c r="S304" s="6" t="s">
        <v>54</v>
      </c>
      <c r="T304" s="6" t="s">
        <v>48</v>
      </c>
      <c r="U304" s="6" t="s">
        <v>74</v>
      </c>
      <c r="V304" s="6" t="s">
        <v>82</v>
      </c>
      <c r="W304" t="s">
        <v>785</v>
      </c>
    </row>
    <row r="305" spans="1:23" x14ac:dyDescent="0.3">
      <c r="A305" s="6" t="s">
        <v>389</v>
      </c>
      <c r="B305" s="1">
        <v>45752</v>
      </c>
      <c r="C305" s="6" t="s">
        <v>21</v>
      </c>
      <c r="D305" s="6" t="s">
        <v>43</v>
      </c>
      <c r="E305" s="6" t="s">
        <v>41</v>
      </c>
      <c r="F305" s="6" t="s">
        <v>24</v>
      </c>
      <c r="G305" s="6" t="s">
        <v>140</v>
      </c>
      <c r="H305" s="6" t="s">
        <v>26</v>
      </c>
      <c r="I305" s="6" t="s">
        <v>45</v>
      </c>
      <c r="J305" s="6" t="s">
        <v>43</v>
      </c>
      <c r="K305" s="6" t="s">
        <v>48</v>
      </c>
      <c r="L305" s="6" t="s">
        <v>152</v>
      </c>
      <c r="M305" s="6" t="s">
        <v>29</v>
      </c>
      <c r="N305" s="6" t="s">
        <v>28</v>
      </c>
      <c r="O305" s="6" t="s">
        <v>30</v>
      </c>
      <c r="P305" s="6" t="s">
        <v>788</v>
      </c>
      <c r="Q305" s="6" t="s">
        <v>31</v>
      </c>
      <c r="R305" s="6" t="s">
        <v>43</v>
      </c>
      <c r="S305" s="6" t="s">
        <v>128</v>
      </c>
      <c r="T305" s="6" t="s">
        <v>29</v>
      </c>
      <c r="U305" s="6" t="s">
        <v>28</v>
      </c>
      <c r="V305" s="6" t="s">
        <v>146</v>
      </c>
      <c r="W305" t="s">
        <v>785</v>
      </c>
    </row>
    <row r="306" spans="1:23" x14ac:dyDescent="0.3">
      <c r="A306" s="6" t="s">
        <v>389</v>
      </c>
      <c r="B306" s="1">
        <v>45752</v>
      </c>
      <c r="C306" s="6" t="s">
        <v>21</v>
      </c>
      <c r="D306" s="6" t="s">
        <v>43</v>
      </c>
      <c r="E306" s="6" t="s">
        <v>41</v>
      </c>
      <c r="F306" s="6" t="s">
        <v>24</v>
      </c>
      <c r="G306" s="6" t="s">
        <v>140</v>
      </c>
      <c r="H306" s="6" t="s">
        <v>26</v>
      </c>
      <c r="I306" s="6" t="s">
        <v>45</v>
      </c>
      <c r="J306" s="6" t="s">
        <v>43</v>
      </c>
      <c r="K306" s="6" t="s">
        <v>48</v>
      </c>
      <c r="L306" s="6" t="s">
        <v>152</v>
      </c>
      <c r="M306" s="6" t="s">
        <v>29</v>
      </c>
      <c r="N306" s="6" t="s">
        <v>28</v>
      </c>
      <c r="O306" s="6" t="s">
        <v>30</v>
      </c>
      <c r="P306" s="6" t="s">
        <v>788</v>
      </c>
      <c r="Q306" s="6" t="s">
        <v>31</v>
      </c>
      <c r="R306" s="6" t="s">
        <v>43</v>
      </c>
      <c r="S306" s="6" t="s">
        <v>128</v>
      </c>
      <c r="T306" s="6" t="s">
        <v>29</v>
      </c>
      <c r="U306" s="6" t="s">
        <v>28</v>
      </c>
      <c r="V306" s="6" t="s">
        <v>137</v>
      </c>
      <c r="W306" t="s">
        <v>785</v>
      </c>
    </row>
    <row r="307" spans="1:23" x14ac:dyDescent="0.3">
      <c r="A307" s="6" t="s">
        <v>390</v>
      </c>
      <c r="B307" s="1">
        <v>45754</v>
      </c>
      <c r="C307" s="6" t="s">
        <v>343</v>
      </c>
      <c r="D307" s="6" t="s">
        <v>60</v>
      </c>
      <c r="E307" s="6" t="s">
        <v>35</v>
      </c>
      <c r="F307" s="6" t="s">
        <v>24</v>
      </c>
      <c r="G307" s="6" t="s">
        <v>71</v>
      </c>
      <c r="H307" s="6" t="s">
        <v>26</v>
      </c>
      <c r="I307" s="6" t="s">
        <v>38</v>
      </c>
      <c r="J307" s="6" t="s">
        <v>60</v>
      </c>
      <c r="K307" s="6" t="s">
        <v>48</v>
      </c>
      <c r="L307" s="6" t="s">
        <v>54</v>
      </c>
      <c r="M307" s="6" t="s">
        <v>32</v>
      </c>
      <c r="N307" s="6" t="s">
        <v>28</v>
      </c>
      <c r="O307" s="6" t="s">
        <v>48</v>
      </c>
      <c r="P307" s="6" t="s">
        <v>48</v>
      </c>
      <c r="Q307" s="6" t="s">
        <v>48</v>
      </c>
      <c r="R307" s="6" t="s">
        <v>60</v>
      </c>
      <c r="S307" s="6" t="s">
        <v>54</v>
      </c>
      <c r="T307" s="6" t="s">
        <v>48</v>
      </c>
      <c r="U307" s="6" t="s">
        <v>59</v>
      </c>
      <c r="V307" s="6" t="s">
        <v>146</v>
      </c>
      <c r="W307" t="s">
        <v>785</v>
      </c>
    </row>
    <row r="308" spans="1:23" x14ac:dyDescent="0.3">
      <c r="A308" s="6" t="s">
        <v>391</v>
      </c>
      <c r="B308" s="1">
        <v>45754</v>
      </c>
      <c r="C308" s="6" t="s">
        <v>33</v>
      </c>
      <c r="D308" s="6" t="s">
        <v>43</v>
      </c>
      <c r="E308" s="6" t="s">
        <v>41</v>
      </c>
      <c r="F308" s="6" t="s">
        <v>24</v>
      </c>
      <c r="G308" s="6" t="s">
        <v>69</v>
      </c>
      <c r="H308" s="6" t="s">
        <v>26</v>
      </c>
      <c r="I308" s="6" t="s">
        <v>66</v>
      </c>
      <c r="J308" s="6" t="s">
        <v>43</v>
      </c>
      <c r="K308" s="6" t="s">
        <v>80</v>
      </c>
      <c r="L308" s="6" t="s">
        <v>54</v>
      </c>
      <c r="M308" s="6" t="s">
        <v>29</v>
      </c>
      <c r="N308" s="6" t="s">
        <v>28</v>
      </c>
      <c r="O308" s="6" t="s">
        <v>30</v>
      </c>
      <c r="P308" s="6" t="s">
        <v>788</v>
      </c>
      <c r="Q308" s="6" t="s">
        <v>31</v>
      </c>
      <c r="R308" s="6" t="s">
        <v>43</v>
      </c>
      <c r="S308" s="6" t="s">
        <v>54</v>
      </c>
      <c r="T308" s="6" t="s">
        <v>55</v>
      </c>
      <c r="U308" s="6" t="s">
        <v>28</v>
      </c>
      <c r="V308" s="6" t="s">
        <v>146</v>
      </c>
      <c r="W308" t="s">
        <v>785</v>
      </c>
    </row>
    <row r="309" spans="1:23" x14ac:dyDescent="0.3">
      <c r="A309" s="6" t="s">
        <v>391</v>
      </c>
      <c r="B309" s="1">
        <v>45754</v>
      </c>
      <c r="C309" s="6" t="s">
        <v>33</v>
      </c>
      <c r="D309" s="6" t="s">
        <v>43</v>
      </c>
      <c r="E309" s="6" t="s">
        <v>41</v>
      </c>
      <c r="F309" s="6" t="s">
        <v>24</v>
      </c>
      <c r="G309" s="6" t="s">
        <v>69</v>
      </c>
      <c r="H309" s="6" t="s">
        <v>26</v>
      </c>
      <c r="I309" s="6" t="s">
        <v>66</v>
      </c>
      <c r="J309" s="6" t="s">
        <v>43</v>
      </c>
      <c r="K309" s="6" t="s">
        <v>80</v>
      </c>
      <c r="L309" s="6" t="s">
        <v>54</v>
      </c>
      <c r="M309" s="6" t="s">
        <v>29</v>
      </c>
      <c r="N309" s="6" t="s">
        <v>28</v>
      </c>
      <c r="O309" s="6" t="s">
        <v>30</v>
      </c>
      <c r="P309" s="6" t="s">
        <v>788</v>
      </c>
      <c r="Q309" s="6" t="s">
        <v>31</v>
      </c>
      <c r="R309" s="6" t="s">
        <v>43</v>
      </c>
      <c r="S309" s="6" t="s">
        <v>54</v>
      </c>
      <c r="T309" s="6" t="s">
        <v>55</v>
      </c>
      <c r="U309" s="6" t="s">
        <v>28</v>
      </c>
      <c r="V309" s="6" t="s">
        <v>82</v>
      </c>
      <c r="W309" t="s">
        <v>785</v>
      </c>
    </row>
    <row r="310" spans="1:23" x14ac:dyDescent="0.3">
      <c r="A310" s="6" t="s">
        <v>392</v>
      </c>
      <c r="B310" s="1">
        <v>45754</v>
      </c>
      <c r="C310" s="6" t="s">
        <v>33</v>
      </c>
      <c r="D310" s="6" t="s">
        <v>43</v>
      </c>
      <c r="E310" s="6" t="s">
        <v>46</v>
      </c>
      <c r="F310" s="6" t="s">
        <v>24</v>
      </c>
      <c r="G310" s="6" t="s">
        <v>97</v>
      </c>
      <c r="H310" s="6" t="s">
        <v>26</v>
      </c>
      <c r="I310" s="6" t="s">
        <v>66</v>
      </c>
      <c r="J310" s="6" t="s">
        <v>43</v>
      </c>
      <c r="K310" s="6" t="s">
        <v>48</v>
      </c>
      <c r="L310" s="6" t="s">
        <v>54</v>
      </c>
      <c r="M310" s="6" t="s">
        <v>29</v>
      </c>
      <c r="N310" s="6" t="s">
        <v>28</v>
      </c>
      <c r="O310" s="6" t="s">
        <v>48</v>
      </c>
      <c r="P310" s="6" t="s">
        <v>48</v>
      </c>
      <c r="Q310" s="6" t="s">
        <v>48</v>
      </c>
      <c r="R310" s="6" t="s">
        <v>88</v>
      </c>
      <c r="S310" s="6" t="s">
        <v>54</v>
      </c>
      <c r="T310" s="6" t="s">
        <v>48</v>
      </c>
      <c r="U310" s="6" t="s">
        <v>28</v>
      </c>
      <c r="V310" s="6" t="s">
        <v>82</v>
      </c>
      <c r="W310" t="s">
        <v>785</v>
      </c>
    </row>
    <row r="311" spans="1:23" x14ac:dyDescent="0.3">
      <c r="A311" s="6" t="s">
        <v>393</v>
      </c>
      <c r="B311" s="1">
        <v>45755</v>
      </c>
      <c r="C311" s="6" t="s">
        <v>84</v>
      </c>
      <c r="D311" s="6" t="s">
        <v>48</v>
      </c>
      <c r="E311" s="6" t="s">
        <v>68</v>
      </c>
      <c r="F311" s="6" t="s">
        <v>24</v>
      </c>
      <c r="G311" s="6" t="s">
        <v>69</v>
      </c>
      <c r="H311" s="6" t="s">
        <v>26</v>
      </c>
      <c r="I311" s="6" t="s">
        <v>42</v>
      </c>
      <c r="J311" s="6" t="s">
        <v>93</v>
      </c>
      <c r="K311" s="6" t="s">
        <v>48</v>
      </c>
      <c r="L311" s="6" t="s">
        <v>54</v>
      </c>
      <c r="M311" s="6" t="s">
        <v>32</v>
      </c>
      <c r="N311" s="6" t="s">
        <v>28</v>
      </c>
      <c r="O311" s="6" t="s">
        <v>30</v>
      </c>
      <c r="P311" s="6" t="s">
        <v>66</v>
      </c>
      <c r="Q311" s="6" t="s">
        <v>31</v>
      </c>
      <c r="R311" s="6" t="s">
        <v>93</v>
      </c>
      <c r="S311" s="6" t="s">
        <v>54</v>
      </c>
      <c r="T311" s="6" t="s">
        <v>32</v>
      </c>
      <c r="U311" s="6" t="s">
        <v>28</v>
      </c>
      <c r="V311" s="6" t="s">
        <v>82</v>
      </c>
      <c r="W311" t="s">
        <v>785</v>
      </c>
    </row>
    <row r="312" spans="1:23" x14ac:dyDescent="0.3">
      <c r="A312" s="6" t="s">
        <v>394</v>
      </c>
      <c r="B312" s="1">
        <v>45755</v>
      </c>
      <c r="C312" s="6" t="s">
        <v>84</v>
      </c>
      <c r="D312" s="6" t="s">
        <v>48</v>
      </c>
      <c r="E312" s="6" t="s">
        <v>68</v>
      </c>
      <c r="F312" s="6" t="s">
        <v>24</v>
      </c>
      <c r="G312" s="6" t="s">
        <v>69</v>
      </c>
      <c r="H312" s="6" t="s">
        <v>26</v>
      </c>
      <c r="I312" s="6" t="s">
        <v>42</v>
      </c>
      <c r="J312" s="6" t="s">
        <v>93</v>
      </c>
      <c r="K312" s="6" t="s">
        <v>48</v>
      </c>
      <c r="L312" s="6" t="s">
        <v>54</v>
      </c>
      <c r="M312" s="6" t="s">
        <v>32</v>
      </c>
      <c r="N312" s="6" t="s">
        <v>28</v>
      </c>
      <c r="O312" s="6" t="s">
        <v>30</v>
      </c>
      <c r="P312" s="6" t="s">
        <v>788</v>
      </c>
      <c r="Q312" s="6" t="s">
        <v>31</v>
      </c>
      <c r="R312" s="6" t="s">
        <v>93</v>
      </c>
      <c r="S312" s="6" t="s">
        <v>54</v>
      </c>
      <c r="T312" s="6" t="s">
        <v>32</v>
      </c>
      <c r="U312" s="6" t="s">
        <v>28</v>
      </c>
      <c r="V312" s="6" t="s">
        <v>82</v>
      </c>
      <c r="W312" t="s">
        <v>785</v>
      </c>
    </row>
    <row r="313" spans="1:23" x14ac:dyDescent="0.3">
      <c r="A313" s="6" t="s">
        <v>395</v>
      </c>
      <c r="B313" s="1">
        <v>45755</v>
      </c>
      <c r="C313" s="6" t="s">
        <v>343</v>
      </c>
      <c r="D313" s="6" t="s">
        <v>43</v>
      </c>
      <c r="E313" s="6" t="s">
        <v>41</v>
      </c>
      <c r="F313" s="6" t="s">
        <v>24</v>
      </c>
      <c r="G313" s="6" t="s">
        <v>61</v>
      </c>
      <c r="H313" s="6" t="s">
        <v>26</v>
      </c>
      <c r="I313" s="6" t="s">
        <v>58</v>
      </c>
      <c r="J313" s="6" t="s">
        <v>43</v>
      </c>
      <c r="K313" s="6" t="s">
        <v>48</v>
      </c>
      <c r="L313" s="6" t="s">
        <v>152</v>
      </c>
      <c r="M313" s="6" t="s">
        <v>29</v>
      </c>
      <c r="N313" s="6" t="s">
        <v>28</v>
      </c>
      <c r="O313" s="6" t="s">
        <v>26</v>
      </c>
      <c r="P313" s="6" t="s">
        <v>788</v>
      </c>
      <c r="Q313" s="6" t="s">
        <v>31</v>
      </c>
      <c r="R313" s="6" t="s">
        <v>43</v>
      </c>
      <c r="S313" s="6" t="s">
        <v>54</v>
      </c>
      <c r="T313" s="6" t="s">
        <v>48</v>
      </c>
      <c r="U313" s="6" t="s">
        <v>28</v>
      </c>
      <c r="V313" s="6" t="s">
        <v>82</v>
      </c>
      <c r="W313" t="s">
        <v>785</v>
      </c>
    </row>
    <row r="314" spans="1:23" x14ac:dyDescent="0.3">
      <c r="A314" s="6" t="s">
        <v>396</v>
      </c>
      <c r="B314" s="1">
        <v>45755</v>
      </c>
      <c r="C314" s="6" t="s">
        <v>343</v>
      </c>
      <c r="D314" s="6" t="s">
        <v>70</v>
      </c>
      <c r="E314" s="6" t="s">
        <v>68</v>
      </c>
      <c r="F314" s="6" t="s">
        <v>24</v>
      </c>
      <c r="G314" s="6" t="s">
        <v>61</v>
      </c>
      <c r="H314" s="6" t="s">
        <v>26</v>
      </c>
      <c r="I314" s="6" t="s">
        <v>45</v>
      </c>
      <c r="J314" s="6" t="s">
        <v>70</v>
      </c>
      <c r="K314" s="6" t="s">
        <v>133</v>
      </c>
      <c r="L314" s="6" t="s">
        <v>54</v>
      </c>
      <c r="M314" s="6" t="s">
        <v>29</v>
      </c>
      <c r="N314" s="6" t="s">
        <v>28</v>
      </c>
      <c r="O314" s="6" t="s">
        <v>48</v>
      </c>
      <c r="P314" s="6" t="s">
        <v>48</v>
      </c>
      <c r="Q314" s="6" t="s">
        <v>48</v>
      </c>
      <c r="R314" s="6" t="s">
        <v>70</v>
      </c>
      <c r="S314" s="6" t="s">
        <v>54</v>
      </c>
      <c r="T314" s="6" t="s">
        <v>48</v>
      </c>
      <c r="U314" s="6" t="s">
        <v>59</v>
      </c>
      <c r="V314" s="6" t="s">
        <v>82</v>
      </c>
      <c r="W314" t="s">
        <v>785</v>
      </c>
    </row>
    <row r="315" spans="1:23" x14ac:dyDescent="0.3">
      <c r="A315" s="6" t="s">
        <v>397</v>
      </c>
      <c r="B315" s="1">
        <v>45756</v>
      </c>
      <c r="C315" s="6" t="s">
        <v>343</v>
      </c>
      <c r="D315" s="6" t="s">
        <v>34</v>
      </c>
      <c r="E315" s="6" t="s">
        <v>35</v>
      </c>
      <c r="F315" s="6" t="s">
        <v>24</v>
      </c>
      <c r="G315" s="6" t="s">
        <v>61</v>
      </c>
      <c r="H315" s="6" t="s">
        <v>48</v>
      </c>
      <c r="I315" s="6" t="s">
        <v>37</v>
      </c>
      <c r="J315" s="6" t="s">
        <v>34</v>
      </c>
      <c r="K315" s="6" t="s">
        <v>48</v>
      </c>
      <c r="L315" s="6" t="s">
        <v>54</v>
      </c>
      <c r="M315" s="6" t="s">
        <v>48</v>
      </c>
      <c r="N315" s="6" t="s">
        <v>28</v>
      </c>
      <c r="O315" s="6" t="s">
        <v>30</v>
      </c>
      <c r="P315" s="6" t="s">
        <v>45</v>
      </c>
      <c r="Q315" s="6" t="s">
        <v>31</v>
      </c>
      <c r="R315" s="6" t="s">
        <v>34</v>
      </c>
      <c r="S315" s="6" t="s">
        <v>54</v>
      </c>
      <c r="T315" s="6" t="s">
        <v>32</v>
      </c>
      <c r="U315" s="6" t="s">
        <v>28</v>
      </c>
      <c r="V315" s="6" t="s">
        <v>82</v>
      </c>
      <c r="W315" t="s">
        <v>785</v>
      </c>
    </row>
    <row r="316" spans="1:23" x14ac:dyDescent="0.3">
      <c r="A316" s="6" t="s">
        <v>398</v>
      </c>
      <c r="B316" s="1">
        <v>45758</v>
      </c>
      <c r="C316" s="6" t="s">
        <v>343</v>
      </c>
      <c r="D316" s="6" t="s">
        <v>75</v>
      </c>
      <c r="E316" s="6" t="s">
        <v>68</v>
      </c>
      <c r="F316" s="6" t="s">
        <v>24</v>
      </c>
      <c r="G316" s="6" t="s">
        <v>61</v>
      </c>
      <c r="H316" s="6" t="s">
        <v>48</v>
      </c>
      <c r="I316" s="6" t="s">
        <v>42</v>
      </c>
      <c r="J316" s="6" t="s">
        <v>75</v>
      </c>
      <c r="K316" s="6" t="s">
        <v>48</v>
      </c>
      <c r="L316" s="6" t="s">
        <v>704</v>
      </c>
      <c r="M316" s="6" t="s">
        <v>48</v>
      </c>
      <c r="N316" s="6" t="s">
        <v>28</v>
      </c>
      <c r="O316" s="6" t="s">
        <v>48</v>
      </c>
      <c r="P316" s="6" t="s">
        <v>48</v>
      </c>
      <c r="Q316" s="6" t="s">
        <v>48</v>
      </c>
      <c r="R316" s="6" t="s">
        <v>75</v>
      </c>
      <c r="S316" s="6" t="s">
        <v>54</v>
      </c>
      <c r="T316" s="6" t="s">
        <v>48</v>
      </c>
      <c r="U316" s="6" t="s">
        <v>149</v>
      </c>
      <c r="V316" s="6" t="s">
        <v>146</v>
      </c>
      <c r="W316" t="s">
        <v>785</v>
      </c>
    </row>
    <row r="317" spans="1:23" x14ac:dyDescent="0.3">
      <c r="A317" s="6" t="s">
        <v>399</v>
      </c>
      <c r="B317" s="1">
        <v>45758</v>
      </c>
      <c r="C317" s="6" t="s">
        <v>343</v>
      </c>
      <c r="D317" s="6" t="s">
        <v>93</v>
      </c>
      <c r="E317" s="6" t="s">
        <v>64</v>
      </c>
      <c r="F317" s="6" t="s">
        <v>24</v>
      </c>
      <c r="G317" s="6" t="s">
        <v>104</v>
      </c>
      <c r="H317" s="6" t="s">
        <v>26</v>
      </c>
      <c r="I317" s="6" t="s">
        <v>37</v>
      </c>
      <c r="J317" s="6" t="s">
        <v>93</v>
      </c>
      <c r="K317" s="6" t="s">
        <v>48</v>
      </c>
      <c r="L317" s="6" t="s">
        <v>54</v>
      </c>
      <c r="M317" s="6" t="s">
        <v>32</v>
      </c>
      <c r="N317" s="6" t="s">
        <v>28</v>
      </c>
      <c r="O317" s="6" t="s">
        <v>26</v>
      </c>
      <c r="P317" s="6" t="s">
        <v>45</v>
      </c>
      <c r="Q317" s="6" t="s">
        <v>31</v>
      </c>
      <c r="R317" s="6" t="s">
        <v>93</v>
      </c>
      <c r="S317" s="6" t="s">
        <v>54</v>
      </c>
      <c r="T317" s="6" t="s">
        <v>32</v>
      </c>
      <c r="U317" s="6" t="s">
        <v>28</v>
      </c>
      <c r="V317" s="6" t="s">
        <v>146</v>
      </c>
      <c r="W317" t="s">
        <v>785</v>
      </c>
    </row>
    <row r="318" spans="1:23" x14ac:dyDescent="0.3">
      <c r="A318" s="6" t="s">
        <v>399</v>
      </c>
      <c r="B318" s="1">
        <v>45758</v>
      </c>
      <c r="C318" s="6" t="s">
        <v>343</v>
      </c>
      <c r="D318" s="6" t="s">
        <v>93</v>
      </c>
      <c r="E318" s="6" t="s">
        <v>64</v>
      </c>
      <c r="F318" s="6" t="s">
        <v>24</v>
      </c>
      <c r="G318" s="6" t="s">
        <v>104</v>
      </c>
      <c r="H318" s="6" t="s">
        <v>26</v>
      </c>
      <c r="I318" s="6" t="s">
        <v>37</v>
      </c>
      <c r="J318" s="6" t="s">
        <v>93</v>
      </c>
      <c r="K318" s="6" t="s">
        <v>48</v>
      </c>
      <c r="L318" s="6" t="s">
        <v>54</v>
      </c>
      <c r="M318" s="6" t="s">
        <v>32</v>
      </c>
      <c r="N318" s="6" t="s">
        <v>28</v>
      </c>
      <c r="O318" s="6" t="s">
        <v>26</v>
      </c>
      <c r="P318" s="6" t="s">
        <v>45</v>
      </c>
      <c r="Q318" s="6" t="s">
        <v>31</v>
      </c>
      <c r="R318" s="6" t="s">
        <v>93</v>
      </c>
      <c r="S318" s="6" t="s">
        <v>54</v>
      </c>
      <c r="T318" s="6" t="s">
        <v>32</v>
      </c>
      <c r="U318" s="6" t="s">
        <v>28</v>
      </c>
      <c r="V318" s="6" t="s">
        <v>137</v>
      </c>
      <c r="W318" t="s">
        <v>785</v>
      </c>
    </row>
    <row r="319" spans="1:23" x14ac:dyDescent="0.3">
      <c r="A319" s="6" t="s">
        <v>400</v>
      </c>
      <c r="B319" s="1">
        <v>45759</v>
      </c>
      <c r="C319" s="6" t="s">
        <v>343</v>
      </c>
      <c r="D319" s="6" t="s">
        <v>122</v>
      </c>
      <c r="E319" s="6" t="s">
        <v>68</v>
      </c>
      <c r="F319" s="6" t="s">
        <v>24</v>
      </c>
      <c r="G319" s="6" t="s">
        <v>97</v>
      </c>
      <c r="H319" s="6" t="s">
        <v>26</v>
      </c>
      <c r="I319" s="6" t="s">
        <v>42</v>
      </c>
      <c r="J319" s="6" t="s">
        <v>122</v>
      </c>
      <c r="K319" s="6" t="s">
        <v>48</v>
      </c>
      <c r="L319" s="6" t="s">
        <v>152</v>
      </c>
      <c r="M319" s="6" t="s">
        <v>32</v>
      </c>
      <c r="N319" s="6" t="s">
        <v>28</v>
      </c>
      <c r="O319" s="6" t="s">
        <v>26</v>
      </c>
      <c r="P319" s="6" t="s">
        <v>48</v>
      </c>
      <c r="Q319" s="6" t="s">
        <v>48</v>
      </c>
      <c r="R319" s="6" t="s">
        <v>122</v>
      </c>
      <c r="S319" s="6" t="s">
        <v>54</v>
      </c>
      <c r="T319" s="6" t="s">
        <v>29</v>
      </c>
      <c r="U319" s="6" t="s">
        <v>28</v>
      </c>
      <c r="V319" s="6" t="s">
        <v>82</v>
      </c>
      <c r="W319" t="s">
        <v>785</v>
      </c>
    </row>
    <row r="320" spans="1:23" x14ac:dyDescent="0.3">
      <c r="A320" s="6" t="s">
        <v>401</v>
      </c>
      <c r="B320" s="1">
        <v>45760</v>
      </c>
      <c r="C320" s="6" t="s">
        <v>84</v>
      </c>
      <c r="D320" s="6" t="s">
        <v>78</v>
      </c>
      <c r="E320" s="6" t="s">
        <v>73</v>
      </c>
      <c r="F320" s="6" t="s">
        <v>24</v>
      </c>
      <c r="G320" s="6" t="s">
        <v>61</v>
      </c>
      <c r="H320" s="6" t="s">
        <v>48</v>
      </c>
      <c r="I320" s="6" t="s">
        <v>38</v>
      </c>
      <c r="J320" s="6" t="s">
        <v>78</v>
      </c>
      <c r="K320" s="6" t="s">
        <v>48</v>
      </c>
      <c r="L320" s="6" t="s">
        <v>705</v>
      </c>
      <c r="M320" s="6" t="s">
        <v>48</v>
      </c>
      <c r="N320" s="6" t="s">
        <v>28</v>
      </c>
      <c r="O320" s="6" t="s">
        <v>30</v>
      </c>
      <c r="P320" s="6" t="s">
        <v>48</v>
      </c>
      <c r="Q320" s="6" t="s">
        <v>31</v>
      </c>
      <c r="R320" s="6" t="s">
        <v>78</v>
      </c>
      <c r="S320" s="6" t="s">
        <v>54</v>
      </c>
      <c r="T320" s="6" t="s">
        <v>32</v>
      </c>
      <c r="U320" s="6" t="s">
        <v>28</v>
      </c>
      <c r="V320" s="6" t="s">
        <v>82</v>
      </c>
      <c r="W320" t="s">
        <v>785</v>
      </c>
    </row>
    <row r="321" spans="1:23" x14ac:dyDescent="0.3">
      <c r="A321" s="6" t="s">
        <v>402</v>
      </c>
      <c r="B321" s="1">
        <v>45761</v>
      </c>
      <c r="C321" s="6" t="s">
        <v>33</v>
      </c>
      <c r="D321" s="6" t="s">
        <v>22</v>
      </c>
      <c r="E321" s="6" t="s">
        <v>68</v>
      </c>
      <c r="F321" s="6" t="s">
        <v>24</v>
      </c>
      <c r="G321" s="6" t="s">
        <v>147</v>
      </c>
      <c r="H321" s="6" t="s">
        <v>26</v>
      </c>
      <c r="I321" s="6" t="s">
        <v>58</v>
      </c>
      <c r="J321" s="6" t="s">
        <v>22</v>
      </c>
      <c r="K321" s="6" t="s">
        <v>115</v>
      </c>
      <c r="L321" s="6" t="s">
        <v>152</v>
      </c>
      <c r="M321" s="6" t="s">
        <v>29</v>
      </c>
      <c r="N321" s="6" t="s">
        <v>28</v>
      </c>
      <c r="O321" s="6" t="s">
        <v>26</v>
      </c>
      <c r="P321" s="6" t="s">
        <v>66</v>
      </c>
      <c r="Q321" s="6" t="s">
        <v>48</v>
      </c>
      <c r="R321" s="6" t="s">
        <v>22</v>
      </c>
      <c r="S321" s="6" t="s">
        <v>128</v>
      </c>
      <c r="T321" s="6" t="s">
        <v>32</v>
      </c>
      <c r="U321" s="6" t="s">
        <v>28</v>
      </c>
      <c r="V321" s="6" t="s">
        <v>146</v>
      </c>
      <c r="W321" t="s">
        <v>785</v>
      </c>
    </row>
    <row r="322" spans="1:23" x14ac:dyDescent="0.3">
      <c r="A322" s="6" t="s">
        <v>402</v>
      </c>
      <c r="B322" s="1">
        <v>45761</v>
      </c>
      <c r="C322" s="6" t="s">
        <v>33</v>
      </c>
      <c r="D322" s="6" t="s">
        <v>22</v>
      </c>
      <c r="E322" s="6" t="s">
        <v>68</v>
      </c>
      <c r="F322" s="6" t="s">
        <v>24</v>
      </c>
      <c r="G322" s="6" t="s">
        <v>147</v>
      </c>
      <c r="H322" s="6" t="s">
        <v>26</v>
      </c>
      <c r="I322" s="6" t="s">
        <v>58</v>
      </c>
      <c r="J322" s="6" t="s">
        <v>22</v>
      </c>
      <c r="K322" s="6" t="s">
        <v>115</v>
      </c>
      <c r="L322" s="6" t="s">
        <v>152</v>
      </c>
      <c r="M322" s="6" t="s">
        <v>29</v>
      </c>
      <c r="N322" s="6" t="s">
        <v>28</v>
      </c>
      <c r="O322" s="6" t="s">
        <v>26</v>
      </c>
      <c r="P322" s="6" t="s">
        <v>66</v>
      </c>
      <c r="Q322" s="6" t="s">
        <v>48</v>
      </c>
      <c r="R322" s="6" t="s">
        <v>22</v>
      </c>
      <c r="S322" s="6" t="s">
        <v>128</v>
      </c>
      <c r="T322" s="6" t="s">
        <v>32</v>
      </c>
      <c r="U322" s="6" t="s">
        <v>28</v>
      </c>
      <c r="V322" s="6" t="s">
        <v>82</v>
      </c>
      <c r="W322" t="s">
        <v>785</v>
      </c>
    </row>
    <row r="323" spans="1:23" x14ac:dyDescent="0.3">
      <c r="A323" s="6" t="s">
        <v>403</v>
      </c>
      <c r="B323" s="1">
        <v>45761</v>
      </c>
      <c r="C323" s="6" t="s">
        <v>33</v>
      </c>
      <c r="D323" s="6" t="s">
        <v>95</v>
      </c>
      <c r="E323" s="6" t="s">
        <v>35</v>
      </c>
      <c r="F323" s="6" t="s">
        <v>24</v>
      </c>
      <c r="G323" s="6" t="s">
        <v>69</v>
      </c>
      <c r="H323" s="6" t="s">
        <v>26</v>
      </c>
      <c r="I323" s="6" t="s">
        <v>42</v>
      </c>
      <c r="J323" s="6" t="s">
        <v>95</v>
      </c>
      <c r="K323" s="6" t="s">
        <v>76</v>
      </c>
      <c r="L323" s="6" t="s">
        <v>152</v>
      </c>
      <c r="M323" s="6" t="s">
        <v>29</v>
      </c>
      <c r="N323" s="6" t="s">
        <v>28</v>
      </c>
      <c r="O323" s="6" t="s">
        <v>30</v>
      </c>
      <c r="P323" s="6" t="s">
        <v>37</v>
      </c>
      <c r="Q323" s="6" t="s">
        <v>31</v>
      </c>
      <c r="R323" s="6" t="s">
        <v>95</v>
      </c>
      <c r="S323" s="6" t="s">
        <v>54</v>
      </c>
      <c r="T323" s="6" t="s">
        <v>29</v>
      </c>
      <c r="U323" s="6" t="s">
        <v>28</v>
      </c>
      <c r="V323" s="6" t="s">
        <v>82</v>
      </c>
      <c r="W323" t="s">
        <v>785</v>
      </c>
    </row>
    <row r="324" spans="1:23" x14ac:dyDescent="0.3">
      <c r="A324" s="6" t="s">
        <v>404</v>
      </c>
      <c r="B324" s="1">
        <v>45761</v>
      </c>
      <c r="C324" s="6" t="s">
        <v>33</v>
      </c>
      <c r="D324" s="6" t="s">
        <v>105</v>
      </c>
      <c r="E324" s="6" t="s">
        <v>64</v>
      </c>
      <c r="F324" s="6" t="s">
        <v>24</v>
      </c>
      <c r="G324" s="6" t="s">
        <v>69</v>
      </c>
      <c r="H324" s="6" t="s">
        <v>26</v>
      </c>
      <c r="I324" s="6" t="s">
        <v>38</v>
      </c>
      <c r="J324" s="6" t="s">
        <v>105</v>
      </c>
      <c r="K324" s="6" t="s">
        <v>48</v>
      </c>
      <c r="L324" s="6" t="s">
        <v>54</v>
      </c>
      <c r="M324" s="6" t="s">
        <v>29</v>
      </c>
      <c r="N324" s="6" t="s">
        <v>28</v>
      </c>
      <c r="O324" s="6" t="s">
        <v>26</v>
      </c>
      <c r="P324" s="6" t="s">
        <v>48</v>
      </c>
      <c r="Q324" s="6" t="s">
        <v>48</v>
      </c>
      <c r="R324" s="6" t="s">
        <v>105</v>
      </c>
      <c r="S324" s="6" t="s">
        <v>54</v>
      </c>
      <c r="T324" s="6" t="s">
        <v>48</v>
      </c>
      <c r="U324" s="6" t="s">
        <v>28</v>
      </c>
      <c r="V324" s="6" t="s">
        <v>82</v>
      </c>
      <c r="W324" t="s">
        <v>785</v>
      </c>
    </row>
    <row r="325" spans="1:23" x14ac:dyDescent="0.3">
      <c r="A325" s="6" t="s">
        <v>405</v>
      </c>
      <c r="B325" s="1">
        <v>45761</v>
      </c>
      <c r="C325" s="6" t="s">
        <v>21</v>
      </c>
      <c r="D325" s="6" t="s">
        <v>22</v>
      </c>
      <c r="E325" s="6" t="s">
        <v>41</v>
      </c>
      <c r="F325" s="6" t="s">
        <v>24</v>
      </c>
      <c r="G325" s="6" t="s">
        <v>47</v>
      </c>
      <c r="H325" s="6" t="s">
        <v>48</v>
      </c>
      <c r="I325" s="6" t="s">
        <v>48</v>
      </c>
      <c r="J325" s="6" t="s">
        <v>22</v>
      </c>
      <c r="K325" s="6" t="s">
        <v>48</v>
      </c>
      <c r="L325" s="6" t="s">
        <v>54</v>
      </c>
      <c r="M325" s="6" t="s">
        <v>48</v>
      </c>
      <c r="N325" s="6" t="s">
        <v>28</v>
      </c>
      <c r="O325" s="6" t="s">
        <v>26</v>
      </c>
      <c r="P325" s="6" t="s">
        <v>52</v>
      </c>
      <c r="Q325" s="6" t="s">
        <v>31</v>
      </c>
      <c r="R325" s="6" t="s">
        <v>22</v>
      </c>
      <c r="S325" s="6" t="s">
        <v>54</v>
      </c>
      <c r="T325" s="6" t="s">
        <v>29</v>
      </c>
      <c r="U325" s="6" t="s">
        <v>28</v>
      </c>
      <c r="V325" s="6" t="s">
        <v>82</v>
      </c>
      <c r="W325" t="s">
        <v>785</v>
      </c>
    </row>
    <row r="326" spans="1:23" x14ac:dyDescent="0.3">
      <c r="A326" s="6" t="s">
        <v>406</v>
      </c>
      <c r="B326" s="1">
        <v>45761</v>
      </c>
      <c r="C326" s="6" t="s">
        <v>21</v>
      </c>
      <c r="D326" s="6" t="s">
        <v>22</v>
      </c>
      <c r="E326" s="6" t="s">
        <v>41</v>
      </c>
      <c r="F326" s="6" t="s">
        <v>24</v>
      </c>
      <c r="G326" s="6" t="s">
        <v>47</v>
      </c>
      <c r="H326" s="6" t="s">
        <v>48</v>
      </c>
      <c r="I326" s="6" t="s">
        <v>48</v>
      </c>
      <c r="J326" s="6" t="s">
        <v>22</v>
      </c>
      <c r="K326" s="6" t="s">
        <v>48</v>
      </c>
      <c r="L326" s="6" t="s">
        <v>54</v>
      </c>
      <c r="M326" s="6" t="s">
        <v>48</v>
      </c>
      <c r="N326" s="6" t="s">
        <v>28</v>
      </c>
      <c r="O326" s="6" t="s">
        <v>48</v>
      </c>
      <c r="P326" s="6" t="s">
        <v>48</v>
      </c>
      <c r="Q326" s="6" t="s">
        <v>48</v>
      </c>
      <c r="R326" s="6" t="s">
        <v>22</v>
      </c>
      <c r="S326" s="6" t="s">
        <v>54</v>
      </c>
      <c r="T326" s="6" t="s">
        <v>48</v>
      </c>
      <c r="U326" s="6" t="s">
        <v>127</v>
      </c>
      <c r="V326" s="6" t="s">
        <v>82</v>
      </c>
      <c r="W326" t="s">
        <v>785</v>
      </c>
    </row>
    <row r="327" spans="1:23" x14ac:dyDescent="0.3">
      <c r="A327" s="6" t="s">
        <v>407</v>
      </c>
      <c r="B327" s="1">
        <v>45762</v>
      </c>
      <c r="C327" s="6" t="s">
        <v>341</v>
      </c>
      <c r="D327" s="6" t="s">
        <v>40</v>
      </c>
      <c r="E327" s="6" t="s">
        <v>23</v>
      </c>
      <c r="F327" s="6" t="s">
        <v>24</v>
      </c>
      <c r="G327" s="6" t="s">
        <v>69</v>
      </c>
      <c r="H327" s="6" t="s">
        <v>48</v>
      </c>
      <c r="I327" s="6" t="s">
        <v>42</v>
      </c>
      <c r="J327" s="6" t="s">
        <v>49</v>
      </c>
      <c r="K327" s="6" t="s">
        <v>48</v>
      </c>
      <c r="L327" s="6" t="s">
        <v>54</v>
      </c>
      <c r="M327" s="6" t="s">
        <v>48</v>
      </c>
      <c r="N327" s="6" t="s">
        <v>28</v>
      </c>
      <c r="O327" s="6" t="s">
        <v>30</v>
      </c>
      <c r="P327" s="6" t="s">
        <v>48</v>
      </c>
      <c r="Q327" s="6" t="s">
        <v>48</v>
      </c>
      <c r="R327" s="6" t="s">
        <v>40</v>
      </c>
      <c r="S327" s="6" t="s">
        <v>54</v>
      </c>
      <c r="T327" s="6" t="s">
        <v>48</v>
      </c>
      <c r="U327" s="6" t="s">
        <v>28</v>
      </c>
      <c r="V327" s="6" t="s">
        <v>82</v>
      </c>
      <c r="W327" t="s">
        <v>785</v>
      </c>
    </row>
    <row r="328" spans="1:23" x14ac:dyDescent="0.3">
      <c r="A328" s="6" t="s">
        <v>408</v>
      </c>
      <c r="B328" s="1">
        <v>45762</v>
      </c>
      <c r="C328" s="6" t="s">
        <v>33</v>
      </c>
      <c r="D328" s="6" t="s">
        <v>40</v>
      </c>
      <c r="E328" s="6" t="s">
        <v>64</v>
      </c>
      <c r="F328" s="6" t="s">
        <v>24</v>
      </c>
      <c r="G328" s="6" t="s">
        <v>69</v>
      </c>
      <c r="H328" s="6" t="s">
        <v>48</v>
      </c>
      <c r="I328" s="6" t="s">
        <v>27</v>
      </c>
      <c r="J328" s="6" t="s">
        <v>40</v>
      </c>
      <c r="K328" s="6" t="s">
        <v>48</v>
      </c>
      <c r="L328" s="6" t="s">
        <v>54</v>
      </c>
      <c r="M328" s="6" t="s">
        <v>29</v>
      </c>
      <c r="N328" s="6" t="s">
        <v>28</v>
      </c>
      <c r="O328" s="6" t="s">
        <v>30</v>
      </c>
      <c r="P328" s="6" t="s">
        <v>788</v>
      </c>
      <c r="Q328" s="6" t="s">
        <v>48</v>
      </c>
      <c r="R328" s="6" t="s">
        <v>40</v>
      </c>
      <c r="S328" s="6" t="s">
        <v>54</v>
      </c>
      <c r="T328" s="6" t="s">
        <v>48</v>
      </c>
      <c r="U328" s="6" t="s">
        <v>28</v>
      </c>
      <c r="V328" s="6" t="s">
        <v>82</v>
      </c>
      <c r="W328" t="s">
        <v>785</v>
      </c>
    </row>
    <row r="329" spans="1:23" x14ac:dyDescent="0.3">
      <c r="A329" s="6" t="s">
        <v>409</v>
      </c>
      <c r="B329" s="1">
        <v>45762</v>
      </c>
      <c r="C329" s="6" t="s">
        <v>343</v>
      </c>
      <c r="D329" s="6" t="s">
        <v>40</v>
      </c>
      <c r="E329" s="6" t="s">
        <v>46</v>
      </c>
      <c r="F329" s="6" t="s">
        <v>24</v>
      </c>
      <c r="G329" s="6" t="s">
        <v>69</v>
      </c>
      <c r="H329" s="6" t="s">
        <v>26</v>
      </c>
      <c r="I329" s="6" t="s">
        <v>52</v>
      </c>
      <c r="J329" s="6" t="s">
        <v>40</v>
      </c>
      <c r="K329" s="6" t="s">
        <v>48</v>
      </c>
      <c r="L329" s="6" t="s">
        <v>103</v>
      </c>
      <c r="M329" s="6" t="s">
        <v>32</v>
      </c>
      <c r="N329" s="6" t="s">
        <v>28</v>
      </c>
      <c r="O329" s="6" t="s">
        <v>30</v>
      </c>
      <c r="P329" s="6" t="s">
        <v>48</v>
      </c>
      <c r="Q329" s="6" t="s">
        <v>48</v>
      </c>
      <c r="R329" s="6" t="s">
        <v>40</v>
      </c>
      <c r="S329" s="6" t="s">
        <v>54</v>
      </c>
      <c r="T329" s="6" t="s">
        <v>48</v>
      </c>
      <c r="U329" s="6" t="s">
        <v>28</v>
      </c>
      <c r="V329" s="6" t="s">
        <v>146</v>
      </c>
      <c r="W329" t="s">
        <v>785</v>
      </c>
    </row>
    <row r="330" spans="1:23" x14ac:dyDescent="0.3">
      <c r="A330" s="6" t="s">
        <v>409</v>
      </c>
      <c r="B330" s="1">
        <v>45762</v>
      </c>
      <c r="C330" s="6" t="s">
        <v>343</v>
      </c>
      <c r="D330" s="6" t="s">
        <v>40</v>
      </c>
      <c r="E330" s="6" t="s">
        <v>46</v>
      </c>
      <c r="F330" s="6" t="s">
        <v>24</v>
      </c>
      <c r="G330" s="6" t="s">
        <v>69</v>
      </c>
      <c r="H330" s="6" t="s">
        <v>26</v>
      </c>
      <c r="I330" s="6" t="s">
        <v>52</v>
      </c>
      <c r="J330" s="6" t="s">
        <v>40</v>
      </c>
      <c r="K330" s="6" t="s">
        <v>48</v>
      </c>
      <c r="L330" s="6" t="s">
        <v>103</v>
      </c>
      <c r="M330" s="6" t="s">
        <v>32</v>
      </c>
      <c r="N330" s="6" t="s">
        <v>28</v>
      </c>
      <c r="O330" s="6" t="s">
        <v>30</v>
      </c>
      <c r="P330" s="6" t="s">
        <v>48</v>
      </c>
      <c r="Q330" s="6" t="s">
        <v>48</v>
      </c>
      <c r="R330" s="6" t="s">
        <v>40</v>
      </c>
      <c r="S330" s="6" t="s">
        <v>54</v>
      </c>
      <c r="T330" s="6" t="s">
        <v>48</v>
      </c>
      <c r="U330" s="6" t="s">
        <v>28</v>
      </c>
      <c r="V330" s="6" t="s">
        <v>82</v>
      </c>
      <c r="W330" t="s">
        <v>785</v>
      </c>
    </row>
    <row r="331" spans="1:23" x14ac:dyDescent="0.3">
      <c r="A331" s="6" t="s">
        <v>409</v>
      </c>
      <c r="B331" s="1">
        <v>45762</v>
      </c>
      <c r="C331" s="6" t="s">
        <v>343</v>
      </c>
      <c r="D331" s="6" t="s">
        <v>40</v>
      </c>
      <c r="E331" s="6" t="s">
        <v>46</v>
      </c>
      <c r="F331" s="6" t="s">
        <v>24</v>
      </c>
      <c r="G331" s="6" t="s">
        <v>69</v>
      </c>
      <c r="H331" s="6" t="s">
        <v>26</v>
      </c>
      <c r="I331" s="6" t="s">
        <v>52</v>
      </c>
      <c r="J331" s="6" t="s">
        <v>40</v>
      </c>
      <c r="K331" s="6" t="s">
        <v>48</v>
      </c>
      <c r="L331" s="6" t="s">
        <v>103</v>
      </c>
      <c r="M331" s="6" t="s">
        <v>32</v>
      </c>
      <c r="N331" s="6" t="s">
        <v>28</v>
      </c>
      <c r="O331" s="6" t="s">
        <v>30</v>
      </c>
      <c r="P331" s="6" t="s">
        <v>48</v>
      </c>
      <c r="Q331" s="6" t="s">
        <v>31</v>
      </c>
      <c r="R331" s="6" t="s">
        <v>40</v>
      </c>
      <c r="S331" s="6" t="s">
        <v>54</v>
      </c>
      <c r="T331" s="6" t="s">
        <v>48</v>
      </c>
      <c r="U331" s="6" t="s">
        <v>28</v>
      </c>
      <c r="V331" s="6" t="s">
        <v>82</v>
      </c>
      <c r="W331" t="s">
        <v>785</v>
      </c>
    </row>
    <row r="332" spans="1:23" x14ac:dyDescent="0.3">
      <c r="A332" s="6" t="s">
        <v>409</v>
      </c>
      <c r="B332" s="1">
        <v>45762</v>
      </c>
      <c r="C332" s="6" t="s">
        <v>343</v>
      </c>
      <c r="D332" s="6" t="s">
        <v>40</v>
      </c>
      <c r="E332" s="6" t="s">
        <v>46</v>
      </c>
      <c r="F332" s="6" t="s">
        <v>24</v>
      </c>
      <c r="G332" s="6" t="s">
        <v>69</v>
      </c>
      <c r="H332" s="6" t="s">
        <v>26</v>
      </c>
      <c r="I332" s="6" t="s">
        <v>52</v>
      </c>
      <c r="J332" s="6" t="s">
        <v>40</v>
      </c>
      <c r="K332" s="6" t="s">
        <v>48</v>
      </c>
      <c r="L332" s="6" t="s">
        <v>103</v>
      </c>
      <c r="M332" s="6" t="s">
        <v>32</v>
      </c>
      <c r="N332" s="6" t="s">
        <v>28</v>
      </c>
      <c r="O332" s="6" t="s">
        <v>30</v>
      </c>
      <c r="P332" s="6" t="s">
        <v>48</v>
      </c>
      <c r="Q332" s="6" t="s">
        <v>31</v>
      </c>
      <c r="R332" s="6" t="s">
        <v>40</v>
      </c>
      <c r="S332" s="6" t="s">
        <v>54</v>
      </c>
      <c r="T332" s="6" t="s">
        <v>48</v>
      </c>
      <c r="U332" s="6" t="s">
        <v>28</v>
      </c>
      <c r="V332" s="6" t="s">
        <v>146</v>
      </c>
      <c r="W332" t="s">
        <v>785</v>
      </c>
    </row>
    <row r="333" spans="1:23" x14ac:dyDescent="0.3">
      <c r="A333" s="6" t="s">
        <v>411</v>
      </c>
      <c r="B333" s="1">
        <v>45762</v>
      </c>
      <c r="C333" s="6" t="s">
        <v>343</v>
      </c>
      <c r="D333" s="6" t="s">
        <v>40</v>
      </c>
      <c r="E333" s="6" t="s">
        <v>35</v>
      </c>
      <c r="F333" s="6" t="s">
        <v>24</v>
      </c>
      <c r="G333" s="6" t="s">
        <v>69</v>
      </c>
      <c r="H333" s="6" t="s">
        <v>26</v>
      </c>
      <c r="I333" s="6" t="s">
        <v>52</v>
      </c>
      <c r="J333" s="6" t="s">
        <v>40</v>
      </c>
      <c r="K333" s="6" t="s">
        <v>48</v>
      </c>
      <c r="L333" s="6" t="s">
        <v>152</v>
      </c>
      <c r="M333" s="6" t="s">
        <v>32</v>
      </c>
      <c r="N333" s="6" t="s">
        <v>28</v>
      </c>
      <c r="O333" s="6" t="s">
        <v>30</v>
      </c>
      <c r="P333" s="6" t="s">
        <v>788</v>
      </c>
      <c r="Q333" s="6" t="s">
        <v>31</v>
      </c>
      <c r="R333" s="6" t="s">
        <v>40</v>
      </c>
      <c r="S333" s="6" t="s">
        <v>54</v>
      </c>
      <c r="T333" s="6" t="s">
        <v>32</v>
      </c>
      <c r="U333" s="6" t="s">
        <v>28</v>
      </c>
      <c r="V333" s="6" t="s">
        <v>82</v>
      </c>
      <c r="W333" t="s">
        <v>785</v>
      </c>
    </row>
    <row r="334" spans="1:23" x14ac:dyDescent="0.3">
      <c r="A334" s="6" t="s">
        <v>410</v>
      </c>
      <c r="B334" s="1">
        <v>45762</v>
      </c>
      <c r="C334" s="6" t="s">
        <v>343</v>
      </c>
      <c r="D334" s="6" t="s">
        <v>40</v>
      </c>
      <c r="E334" s="6" t="s">
        <v>35</v>
      </c>
      <c r="F334" s="6" t="s">
        <v>24</v>
      </c>
      <c r="G334" s="6" t="s">
        <v>69</v>
      </c>
      <c r="H334" s="6" t="s">
        <v>48</v>
      </c>
      <c r="I334" s="6" t="s">
        <v>27</v>
      </c>
      <c r="J334" s="6" t="s">
        <v>40</v>
      </c>
      <c r="K334" s="6" t="s">
        <v>48</v>
      </c>
      <c r="L334" s="6" t="s">
        <v>152</v>
      </c>
      <c r="M334" s="6" t="s">
        <v>48</v>
      </c>
      <c r="N334" s="6" t="s">
        <v>28</v>
      </c>
      <c r="O334" s="6" t="s">
        <v>30</v>
      </c>
      <c r="P334" s="6" t="s">
        <v>788</v>
      </c>
      <c r="Q334" s="6" t="s">
        <v>31</v>
      </c>
      <c r="R334" s="6" t="s">
        <v>40</v>
      </c>
      <c r="S334" s="6" t="s">
        <v>54</v>
      </c>
      <c r="T334" s="6" t="s">
        <v>32</v>
      </c>
      <c r="U334" s="6" t="s">
        <v>28</v>
      </c>
      <c r="V334" s="6" t="s">
        <v>82</v>
      </c>
      <c r="W334" t="s">
        <v>785</v>
      </c>
    </row>
    <row r="335" spans="1:23" x14ac:dyDescent="0.3">
      <c r="A335" s="6" t="s">
        <v>410</v>
      </c>
      <c r="B335" s="1">
        <v>45762</v>
      </c>
      <c r="C335" s="6" t="s">
        <v>343</v>
      </c>
      <c r="D335" s="6" t="s">
        <v>40</v>
      </c>
      <c r="E335" s="6" t="s">
        <v>35</v>
      </c>
      <c r="F335" s="6" t="s">
        <v>24</v>
      </c>
      <c r="G335" s="6" t="s">
        <v>69</v>
      </c>
      <c r="H335" s="6" t="s">
        <v>48</v>
      </c>
      <c r="I335" s="6" t="s">
        <v>27</v>
      </c>
      <c r="J335" s="6" t="s">
        <v>40</v>
      </c>
      <c r="K335" s="6" t="s">
        <v>48</v>
      </c>
      <c r="L335" s="6" t="s">
        <v>152</v>
      </c>
      <c r="M335" s="6" t="s">
        <v>48</v>
      </c>
      <c r="N335" s="6" t="s">
        <v>28</v>
      </c>
      <c r="O335" s="6" t="s">
        <v>30</v>
      </c>
      <c r="P335" s="6" t="s">
        <v>27</v>
      </c>
      <c r="Q335" s="6" t="s">
        <v>31</v>
      </c>
      <c r="R335" s="6" t="s">
        <v>40</v>
      </c>
      <c r="S335" s="6" t="s">
        <v>54</v>
      </c>
      <c r="T335" s="6" t="s">
        <v>32</v>
      </c>
      <c r="U335" s="6" t="s">
        <v>28</v>
      </c>
      <c r="V335" s="6" t="s">
        <v>82</v>
      </c>
      <c r="W335" t="s">
        <v>785</v>
      </c>
    </row>
    <row r="336" spans="1:23" x14ac:dyDescent="0.3">
      <c r="A336" s="6" t="s">
        <v>411</v>
      </c>
      <c r="B336" s="1">
        <v>45762</v>
      </c>
      <c r="C336" s="6" t="s">
        <v>343</v>
      </c>
      <c r="D336" s="6" t="s">
        <v>40</v>
      </c>
      <c r="E336" s="6" t="s">
        <v>35</v>
      </c>
      <c r="F336" s="6" t="s">
        <v>24</v>
      </c>
      <c r="G336" s="6" t="s">
        <v>69</v>
      </c>
      <c r="H336" s="6" t="s">
        <v>26</v>
      </c>
      <c r="I336" s="6" t="s">
        <v>52</v>
      </c>
      <c r="J336" s="6" t="s">
        <v>40</v>
      </c>
      <c r="K336" s="6" t="s">
        <v>48</v>
      </c>
      <c r="L336" s="6" t="s">
        <v>152</v>
      </c>
      <c r="M336" s="6" t="s">
        <v>32</v>
      </c>
      <c r="N336" s="6" t="s">
        <v>28</v>
      </c>
      <c r="O336" s="6" t="s">
        <v>30</v>
      </c>
      <c r="P336" s="6" t="s">
        <v>27</v>
      </c>
      <c r="Q336" s="6" t="s">
        <v>31</v>
      </c>
      <c r="R336" s="6" t="s">
        <v>40</v>
      </c>
      <c r="S336" s="6" t="s">
        <v>54</v>
      </c>
      <c r="T336" s="6" t="s">
        <v>32</v>
      </c>
      <c r="U336" s="6" t="s">
        <v>28</v>
      </c>
      <c r="V336" s="6" t="s">
        <v>82</v>
      </c>
      <c r="W336" t="s">
        <v>785</v>
      </c>
    </row>
    <row r="337" spans="1:23" x14ac:dyDescent="0.3">
      <c r="A337" s="6" t="s">
        <v>412</v>
      </c>
      <c r="B337" s="1">
        <v>45762</v>
      </c>
      <c r="C337" s="6" t="s">
        <v>39</v>
      </c>
      <c r="D337" s="6" t="s">
        <v>60</v>
      </c>
      <c r="E337" s="6" t="s">
        <v>46</v>
      </c>
      <c r="F337" s="6" t="s">
        <v>24</v>
      </c>
      <c r="G337" s="6" t="s">
        <v>25</v>
      </c>
      <c r="H337" s="6" t="s">
        <v>26</v>
      </c>
      <c r="I337" s="6" t="s">
        <v>38</v>
      </c>
      <c r="J337" s="6" t="s">
        <v>60</v>
      </c>
      <c r="K337" s="6" t="s">
        <v>48</v>
      </c>
      <c r="L337" s="6" t="s">
        <v>54</v>
      </c>
      <c r="M337" s="6" t="s">
        <v>55</v>
      </c>
      <c r="N337" s="6" t="s">
        <v>28</v>
      </c>
      <c r="O337" s="6" t="s">
        <v>30</v>
      </c>
      <c r="P337" s="6" t="s">
        <v>788</v>
      </c>
      <c r="Q337" s="6" t="s">
        <v>31</v>
      </c>
      <c r="R337" s="6" t="s">
        <v>60</v>
      </c>
      <c r="S337" s="6" t="s">
        <v>54</v>
      </c>
      <c r="T337" s="6" t="s">
        <v>29</v>
      </c>
      <c r="U337" s="6" t="s">
        <v>28</v>
      </c>
      <c r="V337" s="6" t="s">
        <v>137</v>
      </c>
      <c r="W337" t="s">
        <v>785</v>
      </c>
    </row>
    <row r="338" spans="1:23" x14ac:dyDescent="0.3">
      <c r="A338" s="6" t="s">
        <v>413</v>
      </c>
      <c r="B338" s="1">
        <v>45762</v>
      </c>
      <c r="C338" s="6" t="s">
        <v>343</v>
      </c>
      <c r="D338" s="6" t="s">
        <v>40</v>
      </c>
      <c r="E338" s="6" t="s">
        <v>64</v>
      </c>
      <c r="F338" s="6" t="s">
        <v>24</v>
      </c>
      <c r="G338" s="6" t="s">
        <v>61</v>
      </c>
      <c r="H338" s="6" t="s">
        <v>26</v>
      </c>
      <c r="I338" s="6" t="s">
        <v>37</v>
      </c>
      <c r="J338" s="6" t="s">
        <v>40</v>
      </c>
      <c r="K338" s="6" t="s">
        <v>48</v>
      </c>
      <c r="L338" s="6" t="s">
        <v>152</v>
      </c>
      <c r="M338" s="6" t="s">
        <v>32</v>
      </c>
      <c r="N338" s="6" t="s">
        <v>28</v>
      </c>
      <c r="O338" s="6" t="s">
        <v>30</v>
      </c>
      <c r="P338" s="6" t="s">
        <v>52</v>
      </c>
      <c r="Q338" s="6" t="s">
        <v>31</v>
      </c>
      <c r="R338" s="6" t="s">
        <v>40</v>
      </c>
      <c r="S338" s="6" t="s">
        <v>54</v>
      </c>
      <c r="T338" s="6" t="s">
        <v>32</v>
      </c>
      <c r="U338" s="6" t="s">
        <v>28</v>
      </c>
      <c r="V338" s="6" t="s">
        <v>146</v>
      </c>
      <c r="W338" t="s">
        <v>785</v>
      </c>
    </row>
    <row r="339" spans="1:23" x14ac:dyDescent="0.3">
      <c r="A339" s="6" t="s">
        <v>413</v>
      </c>
      <c r="B339" s="1">
        <v>45762</v>
      </c>
      <c r="C339" s="6" t="s">
        <v>343</v>
      </c>
      <c r="D339" s="6" t="s">
        <v>40</v>
      </c>
      <c r="E339" s="6" t="s">
        <v>64</v>
      </c>
      <c r="F339" s="6" t="s">
        <v>24</v>
      </c>
      <c r="G339" s="6" t="s">
        <v>61</v>
      </c>
      <c r="H339" s="6" t="s">
        <v>26</v>
      </c>
      <c r="I339" s="6" t="s">
        <v>37</v>
      </c>
      <c r="J339" s="6" t="s">
        <v>40</v>
      </c>
      <c r="K339" s="6" t="s">
        <v>48</v>
      </c>
      <c r="L339" s="6" t="s">
        <v>152</v>
      </c>
      <c r="M339" s="6" t="s">
        <v>32</v>
      </c>
      <c r="N339" s="6" t="s">
        <v>28</v>
      </c>
      <c r="O339" s="6" t="s">
        <v>30</v>
      </c>
      <c r="P339" s="6" t="s">
        <v>788</v>
      </c>
      <c r="Q339" s="6" t="s">
        <v>31</v>
      </c>
      <c r="R339" s="6" t="s">
        <v>40</v>
      </c>
      <c r="S339" s="6" t="s">
        <v>54</v>
      </c>
      <c r="T339" s="6" t="s">
        <v>32</v>
      </c>
      <c r="U339" s="6" t="s">
        <v>28</v>
      </c>
      <c r="V339" s="6" t="s">
        <v>146</v>
      </c>
      <c r="W339" t="s">
        <v>785</v>
      </c>
    </row>
    <row r="340" spans="1:23" x14ac:dyDescent="0.3">
      <c r="A340" s="6" t="s">
        <v>414</v>
      </c>
      <c r="B340" s="1">
        <v>45762</v>
      </c>
      <c r="C340" s="6" t="s">
        <v>343</v>
      </c>
      <c r="D340" s="6" t="s">
        <v>40</v>
      </c>
      <c r="E340" s="6" t="s">
        <v>35</v>
      </c>
      <c r="F340" s="6" t="s">
        <v>24</v>
      </c>
      <c r="G340" s="6" t="s">
        <v>69</v>
      </c>
      <c r="H340" s="6" t="s">
        <v>48</v>
      </c>
      <c r="I340" s="6" t="s">
        <v>38</v>
      </c>
      <c r="J340" s="6" t="s">
        <v>40</v>
      </c>
      <c r="K340" s="6" t="s">
        <v>48</v>
      </c>
      <c r="L340" s="6" t="s">
        <v>54</v>
      </c>
      <c r="M340" s="6" t="s">
        <v>48</v>
      </c>
      <c r="N340" s="6" t="s">
        <v>28</v>
      </c>
      <c r="O340" s="6" t="s">
        <v>30</v>
      </c>
      <c r="P340" s="6" t="s">
        <v>45</v>
      </c>
      <c r="Q340" s="6" t="s">
        <v>31</v>
      </c>
      <c r="R340" s="6" t="s">
        <v>40</v>
      </c>
      <c r="S340" s="6" t="s">
        <v>54</v>
      </c>
      <c r="T340" s="6" t="s">
        <v>32</v>
      </c>
      <c r="U340" s="6" t="s">
        <v>28</v>
      </c>
      <c r="V340" s="6" t="s">
        <v>82</v>
      </c>
      <c r="W340" t="s">
        <v>785</v>
      </c>
    </row>
    <row r="341" spans="1:23" x14ac:dyDescent="0.3">
      <c r="A341" s="6" t="s">
        <v>415</v>
      </c>
      <c r="B341" s="1">
        <v>45762</v>
      </c>
      <c r="C341" s="6" t="s">
        <v>343</v>
      </c>
      <c r="D341" s="6" t="s">
        <v>40</v>
      </c>
      <c r="E341" s="6" t="s">
        <v>35</v>
      </c>
      <c r="F341" s="6" t="s">
        <v>24</v>
      </c>
      <c r="G341" s="6" t="s">
        <v>69</v>
      </c>
      <c r="H341" s="6" t="s">
        <v>26</v>
      </c>
      <c r="I341" s="6" t="s">
        <v>27</v>
      </c>
      <c r="J341" s="6" t="s">
        <v>40</v>
      </c>
      <c r="K341" s="6" t="s">
        <v>48</v>
      </c>
      <c r="L341" s="6" t="s">
        <v>54</v>
      </c>
      <c r="M341" s="6" t="s">
        <v>32</v>
      </c>
      <c r="N341" s="6" t="s">
        <v>28</v>
      </c>
      <c r="O341" s="6" t="s">
        <v>30</v>
      </c>
      <c r="P341" s="6" t="s">
        <v>48</v>
      </c>
      <c r="Q341" s="6" t="s">
        <v>48</v>
      </c>
      <c r="R341" s="6" t="s">
        <v>40</v>
      </c>
      <c r="S341" s="6" t="s">
        <v>54</v>
      </c>
      <c r="T341" s="6" t="s">
        <v>48</v>
      </c>
      <c r="U341" s="6" t="s">
        <v>28</v>
      </c>
      <c r="V341" s="6" t="s">
        <v>146</v>
      </c>
      <c r="W341" t="s">
        <v>785</v>
      </c>
    </row>
    <row r="342" spans="1:23" x14ac:dyDescent="0.3">
      <c r="A342" s="6" t="s">
        <v>415</v>
      </c>
      <c r="B342" s="1">
        <v>45762</v>
      </c>
      <c r="C342" s="6" t="s">
        <v>343</v>
      </c>
      <c r="D342" s="6" t="s">
        <v>40</v>
      </c>
      <c r="E342" s="6" t="s">
        <v>35</v>
      </c>
      <c r="F342" s="6" t="s">
        <v>24</v>
      </c>
      <c r="G342" s="6" t="s">
        <v>69</v>
      </c>
      <c r="H342" s="6" t="s">
        <v>26</v>
      </c>
      <c r="I342" s="6" t="s">
        <v>27</v>
      </c>
      <c r="J342" s="6" t="s">
        <v>40</v>
      </c>
      <c r="K342" s="6" t="s">
        <v>48</v>
      </c>
      <c r="L342" s="6" t="s">
        <v>54</v>
      </c>
      <c r="M342" s="6" t="s">
        <v>32</v>
      </c>
      <c r="N342" s="6" t="s">
        <v>28</v>
      </c>
      <c r="O342" s="6" t="s">
        <v>30</v>
      </c>
      <c r="P342" s="6" t="s">
        <v>48</v>
      </c>
      <c r="Q342" s="6" t="s">
        <v>48</v>
      </c>
      <c r="R342" s="6" t="s">
        <v>40</v>
      </c>
      <c r="S342" s="6" t="s">
        <v>54</v>
      </c>
      <c r="T342" s="6" t="s">
        <v>48</v>
      </c>
      <c r="U342" s="6" t="s">
        <v>28</v>
      </c>
      <c r="V342" s="6" t="s">
        <v>82</v>
      </c>
      <c r="W342" t="s">
        <v>785</v>
      </c>
    </row>
    <row r="343" spans="1:23" x14ac:dyDescent="0.3">
      <c r="A343" s="6" t="s">
        <v>416</v>
      </c>
      <c r="B343" s="1">
        <v>45762</v>
      </c>
      <c r="C343" s="6" t="s">
        <v>343</v>
      </c>
      <c r="D343" s="6" t="s">
        <v>40</v>
      </c>
      <c r="E343" s="6" t="s">
        <v>64</v>
      </c>
      <c r="F343" s="6" t="s">
        <v>24</v>
      </c>
      <c r="G343" s="6" t="s">
        <v>69</v>
      </c>
      <c r="H343" s="6" t="s">
        <v>48</v>
      </c>
      <c r="I343" s="6" t="s">
        <v>37</v>
      </c>
      <c r="J343" s="6" t="s">
        <v>49</v>
      </c>
      <c r="K343" s="6" t="s">
        <v>48</v>
      </c>
      <c r="L343" s="6" t="s">
        <v>54</v>
      </c>
      <c r="M343" s="6" t="s">
        <v>48</v>
      </c>
      <c r="N343" s="6" t="s">
        <v>28</v>
      </c>
      <c r="O343" s="6" t="s">
        <v>48</v>
      </c>
      <c r="P343" s="6" t="s">
        <v>48</v>
      </c>
      <c r="Q343" s="6" t="s">
        <v>48</v>
      </c>
      <c r="R343" s="6" t="s">
        <v>40</v>
      </c>
      <c r="S343" s="6" t="s">
        <v>54</v>
      </c>
      <c r="T343" s="6" t="s">
        <v>48</v>
      </c>
      <c r="U343" s="6" t="s">
        <v>28</v>
      </c>
      <c r="V343" s="6" t="s">
        <v>82</v>
      </c>
      <c r="W343" t="s">
        <v>785</v>
      </c>
    </row>
    <row r="344" spans="1:23" x14ac:dyDescent="0.3">
      <c r="A344" s="6" t="s">
        <v>417</v>
      </c>
      <c r="B344" s="1">
        <v>45762</v>
      </c>
      <c r="C344" s="6" t="s">
        <v>33</v>
      </c>
      <c r="D344" s="6" t="s">
        <v>122</v>
      </c>
      <c r="E344" s="6" t="s">
        <v>23</v>
      </c>
      <c r="F344" s="6" t="s">
        <v>24</v>
      </c>
      <c r="G344" s="6" t="s">
        <v>61</v>
      </c>
      <c r="H344" s="6" t="s">
        <v>26</v>
      </c>
      <c r="I344" s="6" t="s">
        <v>27</v>
      </c>
      <c r="J344" s="6" t="s">
        <v>122</v>
      </c>
      <c r="K344" s="6" t="s">
        <v>48</v>
      </c>
      <c r="L344" s="6" t="s">
        <v>54</v>
      </c>
      <c r="M344" s="6" t="s">
        <v>55</v>
      </c>
      <c r="N344" s="6" t="s">
        <v>28</v>
      </c>
      <c r="O344" s="6" t="s">
        <v>26</v>
      </c>
      <c r="P344" s="6" t="s">
        <v>45</v>
      </c>
      <c r="Q344" s="6" t="s">
        <v>31</v>
      </c>
      <c r="R344" s="6" t="s">
        <v>122</v>
      </c>
      <c r="S344" s="6" t="s">
        <v>54</v>
      </c>
      <c r="T344" s="6" t="s">
        <v>32</v>
      </c>
      <c r="U344" s="6" t="s">
        <v>28</v>
      </c>
      <c r="V344" s="6" t="s">
        <v>146</v>
      </c>
      <c r="W344" t="s">
        <v>785</v>
      </c>
    </row>
    <row r="345" spans="1:23" x14ac:dyDescent="0.3">
      <c r="A345" s="6" t="s">
        <v>418</v>
      </c>
      <c r="B345" s="1">
        <v>45762</v>
      </c>
      <c r="C345" s="6" t="s">
        <v>343</v>
      </c>
      <c r="D345" s="6" t="s">
        <v>40</v>
      </c>
      <c r="E345" s="6" t="s">
        <v>64</v>
      </c>
      <c r="F345" s="6" t="s">
        <v>24</v>
      </c>
      <c r="G345" s="6" t="s">
        <v>69</v>
      </c>
      <c r="H345" s="6" t="s">
        <v>26</v>
      </c>
      <c r="I345" s="6" t="s">
        <v>38</v>
      </c>
      <c r="J345" s="6" t="s">
        <v>40</v>
      </c>
      <c r="K345" s="6" t="s">
        <v>48</v>
      </c>
      <c r="L345" s="6" t="s">
        <v>152</v>
      </c>
      <c r="M345" s="6" t="s">
        <v>55</v>
      </c>
      <c r="N345" s="6" t="s">
        <v>28</v>
      </c>
      <c r="O345" s="6" t="s">
        <v>30</v>
      </c>
      <c r="P345" s="6" t="s">
        <v>48</v>
      </c>
      <c r="Q345" s="6" t="s">
        <v>31</v>
      </c>
      <c r="R345" s="6" t="s">
        <v>40</v>
      </c>
      <c r="S345" s="6" t="s">
        <v>54</v>
      </c>
      <c r="T345" s="6" t="s">
        <v>48</v>
      </c>
      <c r="U345" s="6" t="s">
        <v>28</v>
      </c>
      <c r="V345" s="6" t="s">
        <v>146</v>
      </c>
      <c r="W345" t="s">
        <v>785</v>
      </c>
    </row>
    <row r="346" spans="1:23" x14ac:dyDescent="0.3">
      <c r="A346" s="6" t="s">
        <v>418</v>
      </c>
      <c r="B346" s="1">
        <v>45762</v>
      </c>
      <c r="C346" s="6" t="s">
        <v>343</v>
      </c>
      <c r="D346" s="6" t="s">
        <v>40</v>
      </c>
      <c r="E346" s="6" t="s">
        <v>64</v>
      </c>
      <c r="F346" s="6" t="s">
        <v>24</v>
      </c>
      <c r="G346" s="6" t="s">
        <v>69</v>
      </c>
      <c r="H346" s="6" t="s">
        <v>26</v>
      </c>
      <c r="I346" s="6" t="s">
        <v>38</v>
      </c>
      <c r="J346" s="6" t="s">
        <v>40</v>
      </c>
      <c r="K346" s="6" t="s">
        <v>48</v>
      </c>
      <c r="L346" s="6" t="s">
        <v>152</v>
      </c>
      <c r="M346" s="6" t="s">
        <v>55</v>
      </c>
      <c r="N346" s="6" t="s">
        <v>28</v>
      </c>
      <c r="O346" s="6" t="s">
        <v>30</v>
      </c>
      <c r="P346" s="6" t="s">
        <v>48</v>
      </c>
      <c r="Q346" s="6" t="s">
        <v>31</v>
      </c>
      <c r="R346" s="6" t="s">
        <v>40</v>
      </c>
      <c r="S346" s="6" t="s">
        <v>54</v>
      </c>
      <c r="T346" s="6" t="s">
        <v>48</v>
      </c>
      <c r="U346" s="6" t="s">
        <v>28</v>
      </c>
      <c r="V346" s="6" t="s">
        <v>82</v>
      </c>
      <c r="W346" t="s">
        <v>785</v>
      </c>
    </row>
    <row r="347" spans="1:23" x14ac:dyDescent="0.3">
      <c r="A347" s="6" t="s">
        <v>419</v>
      </c>
      <c r="B347" s="1">
        <v>45763</v>
      </c>
      <c r="C347" s="6" t="s">
        <v>343</v>
      </c>
      <c r="D347" s="6" t="s">
        <v>78</v>
      </c>
      <c r="E347" s="6" t="s">
        <v>73</v>
      </c>
      <c r="F347" s="6" t="s">
        <v>24</v>
      </c>
      <c r="G347" s="6" t="s">
        <v>51</v>
      </c>
      <c r="H347" s="6" t="s">
        <v>48</v>
      </c>
      <c r="I347" s="6" t="s">
        <v>100</v>
      </c>
      <c r="J347" s="6" t="s">
        <v>49</v>
      </c>
      <c r="K347" s="6" t="s">
        <v>48</v>
      </c>
      <c r="L347" s="6" t="s">
        <v>54</v>
      </c>
      <c r="M347" s="6" t="s">
        <v>48</v>
      </c>
      <c r="N347" s="6" t="s">
        <v>28</v>
      </c>
      <c r="O347" s="6" t="s">
        <v>48</v>
      </c>
      <c r="P347" s="6" t="s">
        <v>48</v>
      </c>
      <c r="Q347" s="6" t="s">
        <v>48</v>
      </c>
      <c r="R347" s="6" t="s">
        <v>78</v>
      </c>
      <c r="S347" s="6" t="s">
        <v>54</v>
      </c>
      <c r="T347" s="6" t="s">
        <v>48</v>
      </c>
      <c r="U347" s="6" t="s">
        <v>87</v>
      </c>
      <c r="V347" s="6" t="s">
        <v>82</v>
      </c>
      <c r="W347" t="s">
        <v>785</v>
      </c>
    </row>
    <row r="348" spans="1:23" x14ac:dyDescent="0.3">
      <c r="A348" s="6" t="s">
        <v>420</v>
      </c>
      <c r="B348" s="1">
        <v>45763</v>
      </c>
      <c r="C348" s="6" t="s">
        <v>39</v>
      </c>
      <c r="D348" s="6" t="s">
        <v>60</v>
      </c>
      <c r="E348" s="6" t="s">
        <v>41</v>
      </c>
      <c r="F348" s="6" t="s">
        <v>24</v>
      </c>
      <c r="G348" s="6" t="s">
        <v>25</v>
      </c>
      <c r="H348" s="6" t="s">
        <v>26</v>
      </c>
      <c r="I348" s="6" t="s">
        <v>38</v>
      </c>
      <c r="J348" s="6" t="s">
        <v>60</v>
      </c>
      <c r="K348" s="6" t="s">
        <v>106</v>
      </c>
      <c r="L348" s="6" t="s">
        <v>54</v>
      </c>
      <c r="M348" s="6" t="s">
        <v>55</v>
      </c>
      <c r="N348" s="6" t="s">
        <v>28</v>
      </c>
      <c r="O348" s="6" t="s">
        <v>30</v>
      </c>
      <c r="P348" s="6" t="s">
        <v>66</v>
      </c>
      <c r="Q348" s="6" t="s">
        <v>31</v>
      </c>
      <c r="R348" s="6" t="s">
        <v>60</v>
      </c>
      <c r="S348" s="6" t="s">
        <v>54</v>
      </c>
      <c r="T348" s="6" t="s">
        <v>29</v>
      </c>
      <c r="U348" s="6" t="s">
        <v>28</v>
      </c>
      <c r="V348" s="6" t="s">
        <v>146</v>
      </c>
      <c r="W348" t="s">
        <v>785</v>
      </c>
    </row>
    <row r="349" spans="1:23" x14ac:dyDescent="0.3">
      <c r="A349" s="6" t="s">
        <v>421</v>
      </c>
      <c r="B349" s="1">
        <v>45763</v>
      </c>
      <c r="C349" s="6" t="s">
        <v>343</v>
      </c>
      <c r="D349" s="6" t="s">
        <v>40</v>
      </c>
      <c r="E349" s="6" t="s">
        <v>64</v>
      </c>
      <c r="F349" s="6" t="s">
        <v>24</v>
      </c>
      <c r="G349" s="6" t="s">
        <v>97</v>
      </c>
      <c r="H349" s="6" t="s">
        <v>48</v>
      </c>
      <c r="I349" s="6" t="s">
        <v>58</v>
      </c>
      <c r="J349" s="6" t="s">
        <v>40</v>
      </c>
      <c r="K349" s="6" t="s">
        <v>48</v>
      </c>
      <c r="L349" s="6" t="s">
        <v>54</v>
      </c>
      <c r="M349" s="6" t="s">
        <v>48</v>
      </c>
      <c r="N349" s="6" t="s">
        <v>28</v>
      </c>
      <c r="O349" s="6" t="s">
        <v>30</v>
      </c>
      <c r="P349" s="6" t="s">
        <v>48</v>
      </c>
      <c r="Q349" s="6" t="s">
        <v>48</v>
      </c>
      <c r="R349" s="6" t="s">
        <v>40</v>
      </c>
      <c r="S349" s="6" t="s">
        <v>54</v>
      </c>
      <c r="T349" s="6" t="s">
        <v>48</v>
      </c>
      <c r="U349" s="6" t="s">
        <v>28</v>
      </c>
      <c r="V349" s="6" t="s">
        <v>137</v>
      </c>
      <c r="W349" t="s">
        <v>785</v>
      </c>
    </row>
    <row r="350" spans="1:23" x14ac:dyDescent="0.3">
      <c r="A350" s="6" t="s">
        <v>421</v>
      </c>
      <c r="B350" s="1">
        <v>45763</v>
      </c>
      <c r="C350" s="6" t="s">
        <v>343</v>
      </c>
      <c r="D350" s="6" t="s">
        <v>40</v>
      </c>
      <c r="E350" s="6" t="s">
        <v>64</v>
      </c>
      <c r="F350" s="6" t="s">
        <v>24</v>
      </c>
      <c r="G350" s="6" t="s">
        <v>97</v>
      </c>
      <c r="H350" s="6" t="s">
        <v>48</v>
      </c>
      <c r="I350" s="6" t="s">
        <v>58</v>
      </c>
      <c r="J350" s="6" t="s">
        <v>40</v>
      </c>
      <c r="K350" s="6" t="s">
        <v>48</v>
      </c>
      <c r="L350" s="6" t="s">
        <v>54</v>
      </c>
      <c r="M350" s="6" t="s">
        <v>48</v>
      </c>
      <c r="N350" s="6" t="s">
        <v>28</v>
      </c>
      <c r="O350" s="6" t="s">
        <v>30</v>
      </c>
      <c r="P350" s="6" t="s">
        <v>48</v>
      </c>
      <c r="Q350" s="6" t="s">
        <v>48</v>
      </c>
      <c r="R350" s="6" t="s">
        <v>40</v>
      </c>
      <c r="S350" s="6" t="s">
        <v>54</v>
      </c>
      <c r="T350" s="6" t="s">
        <v>48</v>
      </c>
      <c r="U350" s="6" t="s">
        <v>28</v>
      </c>
      <c r="V350" s="6" t="s">
        <v>82</v>
      </c>
      <c r="W350" t="s">
        <v>785</v>
      </c>
    </row>
    <row r="351" spans="1:23" x14ac:dyDescent="0.3">
      <c r="A351" s="6" t="s">
        <v>421</v>
      </c>
      <c r="B351" s="1">
        <v>45763</v>
      </c>
      <c r="C351" s="6" t="s">
        <v>343</v>
      </c>
      <c r="D351" s="6" t="s">
        <v>40</v>
      </c>
      <c r="E351" s="6" t="s">
        <v>64</v>
      </c>
      <c r="F351" s="6" t="s">
        <v>24</v>
      </c>
      <c r="G351" s="6" t="s">
        <v>97</v>
      </c>
      <c r="H351" s="6" t="s">
        <v>48</v>
      </c>
      <c r="I351" s="6" t="s">
        <v>58</v>
      </c>
      <c r="J351" s="6" t="s">
        <v>40</v>
      </c>
      <c r="K351" s="6" t="s">
        <v>48</v>
      </c>
      <c r="L351" s="6" t="s">
        <v>54</v>
      </c>
      <c r="M351" s="6" t="s">
        <v>48</v>
      </c>
      <c r="N351" s="6" t="s">
        <v>28</v>
      </c>
      <c r="O351" s="6" t="s">
        <v>30</v>
      </c>
      <c r="P351" s="6" t="s">
        <v>48</v>
      </c>
      <c r="Q351" s="6" t="s">
        <v>48</v>
      </c>
      <c r="R351" s="6" t="s">
        <v>40</v>
      </c>
      <c r="S351" s="6" t="s">
        <v>54</v>
      </c>
      <c r="T351" s="6" t="s">
        <v>48</v>
      </c>
      <c r="U351" s="6" t="s">
        <v>28</v>
      </c>
      <c r="V351" s="6" t="s">
        <v>146</v>
      </c>
      <c r="W351" t="s">
        <v>785</v>
      </c>
    </row>
    <row r="352" spans="1:23" x14ac:dyDescent="0.3">
      <c r="A352" s="6" t="s">
        <v>422</v>
      </c>
      <c r="B352" s="1">
        <v>45763</v>
      </c>
      <c r="C352" s="6" t="s">
        <v>343</v>
      </c>
      <c r="D352" s="6" t="s">
        <v>34</v>
      </c>
      <c r="E352" s="6" t="s">
        <v>68</v>
      </c>
      <c r="F352" s="6" t="s">
        <v>24</v>
      </c>
      <c r="G352" s="6" t="s">
        <v>61</v>
      </c>
      <c r="H352" s="6" t="s">
        <v>26</v>
      </c>
      <c r="I352" s="6" t="s">
        <v>38</v>
      </c>
      <c r="J352" s="6" t="s">
        <v>34</v>
      </c>
      <c r="K352" s="6" t="s">
        <v>48</v>
      </c>
      <c r="L352" s="6" t="s">
        <v>54</v>
      </c>
      <c r="M352" s="6" t="s">
        <v>48</v>
      </c>
      <c r="N352" s="6" t="s">
        <v>28</v>
      </c>
      <c r="O352" s="6" t="s">
        <v>48</v>
      </c>
      <c r="P352" s="6" t="s">
        <v>48</v>
      </c>
      <c r="Q352" s="6" t="s">
        <v>48</v>
      </c>
      <c r="R352" s="6" t="s">
        <v>34</v>
      </c>
      <c r="S352" s="6" t="s">
        <v>54</v>
      </c>
      <c r="T352" s="6" t="s">
        <v>48</v>
      </c>
      <c r="U352" s="6" t="s">
        <v>130</v>
      </c>
      <c r="V352" s="6" t="s">
        <v>137</v>
      </c>
      <c r="W352" t="s">
        <v>785</v>
      </c>
    </row>
    <row r="353" spans="1:23" x14ac:dyDescent="0.3">
      <c r="A353" s="6" t="s">
        <v>423</v>
      </c>
      <c r="B353" s="1">
        <v>45763</v>
      </c>
      <c r="C353" s="6" t="s">
        <v>84</v>
      </c>
      <c r="D353" s="6" t="s">
        <v>22</v>
      </c>
      <c r="E353" s="6" t="s">
        <v>73</v>
      </c>
      <c r="F353" s="6" t="s">
        <v>24</v>
      </c>
      <c r="G353" s="6" t="s">
        <v>97</v>
      </c>
      <c r="H353" s="6" t="s">
        <v>26</v>
      </c>
      <c r="I353" s="6" t="s">
        <v>37</v>
      </c>
      <c r="J353" s="6" t="s">
        <v>22</v>
      </c>
      <c r="K353" s="6" t="s">
        <v>133</v>
      </c>
      <c r="L353" s="6" t="s">
        <v>152</v>
      </c>
      <c r="M353" s="6" t="s">
        <v>32</v>
      </c>
      <c r="N353" s="6" t="s">
        <v>28</v>
      </c>
      <c r="O353" s="6" t="s">
        <v>30</v>
      </c>
      <c r="P353" s="6" t="s">
        <v>45</v>
      </c>
      <c r="Q353" s="6" t="s">
        <v>31</v>
      </c>
      <c r="R353" s="6" t="s">
        <v>22</v>
      </c>
      <c r="S353" s="6" t="s">
        <v>54</v>
      </c>
      <c r="T353" s="6" t="s">
        <v>32</v>
      </c>
      <c r="U353" s="6" t="s">
        <v>28</v>
      </c>
      <c r="V353" s="6" t="s">
        <v>146</v>
      </c>
      <c r="W353" t="s">
        <v>785</v>
      </c>
    </row>
    <row r="354" spans="1:23" x14ac:dyDescent="0.3">
      <c r="A354" s="6" t="s">
        <v>424</v>
      </c>
      <c r="B354" s="1">
        <v>45763</v>
      </c>
      <c r="C354" s="6" t="s">
        <v>21</v>
      </c>
      <c r="D354" s="6" t="s">
        <v>22</v>
      </c>
      <c r="E354" s="6" t="s">
        <v>64</v>
      </c>
      <c r="F354" s="6" t="s">
        <v>24</v>
      </c>
      <c r="G354" s="6" t="s">
        <v>134</v>
      </c>
      <c r="H354" s="6" t="s">
        <v>48</v>
      </c>
      <c r="I354" s="6" t="s">
        <v>52</v>
      </c>
      <c r="J354" s="6" t="s">
        <v>22</v>
      </c>
      <c r="K354" s="6" t="s">
        <v>48</v>
      </c>
      <c r="L354" s="6" t="s">
        <v>54</v>
      </c>
      <c r="M354" s="6" t="s">
        <v>48</v>
      </c>
      <c r="N354" s="6" t="s">
        <v>28</v>
      </c>
      <c r="O354" s="6" t="s">
        <v>30</v>
      </c>
      <c r="P354" s="6" t="s">
        <v>58</v>
      </c>
      <c r="Q354" s="6" t="s">
        <v>31</v>
      </c>
      <c r="R354" s="6" t="s">
        <v>22</v>
      </c>
      <c r="S354" s="6" t="s">
        <v>54</v>
      </c>
      <c r="T354" s="6" t="s">
        <v>29</v>
      </c>
      <c r="U354" s="6" t="s">
        <v>28</v>
      </c>
      <c r="V354" s="6" t="s">
        <v>82</v>
      </c>
      <c r="W354" t="s">
        <v>785</v>
      </c>
    </row>
    <row r="355" spans="1:23" x14ac:dyDescent="0.3">
      <c r="A355" s="6" t="s">
        <v>425</v>
      </c>
      <c r="B355" s="1">
        <v>45764</v>
      </c>
      <c r="C355" s="6" t="s">
        <v>33</v>
      </c>
      <c r="D355" s="6" t="s">
        <v>40</v>
      </c>
      <c r="E355" s="6" t="s">
        <v>35</v>
      </c>
      <c r="F355" s="6" t="s">
        <v>24</v>
      </c>
      <c r="G355" s="6" t="s">
        <v>61</v>
      </c>
      <c r="H355" s="6" t="s">
        <v>26</v>
      </c>
      <c r="I355" s="6" t="s">
        <v>52</v>
      </c>
      <c r="J355" s="6" t="s">
        <v>40</v>
      </c>
      <c r="K355" s="6" t="s">
        <v>48</v>
      </c>
      <c r="L355" s="6" t="s">
        <v>152</v>
      </c>
      <c r="M355" s="6" t="s">
        <v>29</v>
      </c>
      <c r="N355" s="6" t="s">
        <v>28</v>
      </c>
      <c r="O355" s="6" t="s">
        <v>48</v>
      </c>
      <c r="P355" s="6" t="s">
        <v>48</v>
      </c>
      <c r="Q355" s="6" t="s">
        <v>48</v>
      </c>
      <c r="R355" s="6" t="s">
        <v>40</v>
      </c>
      <c r="S355" s="6" t="s">
        <v>54</v>
      </c>
      <c r="T355" s="6" t="s">
        <v>48</v>
      </c>
      <c r="U355" s="6" t="s">
        <v>94</v>
      </c>
      <c r="V355" s="6" t="s">
        <v>137</v>
      </c>
      <c r="W355" t="s">
        <v>785</v>
      </c>
    </row>
    <row r="356" spans="1:23" x14ac:dyDescent="0.3">
      <c r="A356" s="6" t="s">
        <v>425</v>
      </c>
      <c r="B356" s="1">
        <v>45764</v>
      </c>
      <c r="C356" s="6" t="s">
        <v>33</v>
      </c>
      <c r="D356" s="6" t="s">
        <v>40</v>
      </c>
      <c r="E356" s="6" t="s">
        <v>35</v>
      </c>
      <c r="F356" s="6" t="s">
        <v>24</v>
      </c>
      <c r="G356" s="6" t="s">
        <v>61</v>
      </c>
      <c r="H356" s="6" t="s">
        <v>26</v>
      </c>
      <c r="I356" s="6" t="s">
        <v>52</v>
      </c>
      <c r="J356" s="6" t="s">
        <v>40</v>
      </c>
      <c r="K356" s="6" t="s">
        <v>48</v>
      </c>
      <c r="L356" s="6" t="s">
        <v>152</v>
      </c>
      <c r="M356" s="6" t="s">
        <v>29</v>
      </c>
      <c r="N356" s="6" t="s">
        <v>28</v>
      </c>
      <c r="O356" s="6" t="s">
        <v>48</v>
      </c>
      <c r="P356" s="6" t="s">
        <v>48</v>
      </c>
      <c r="Q356" s="6" t="s">
        <v>48</v>
      </c>
      <c r="R356" s="6" t="s">
        <v>40</v>
      </c>
      <c r="S356" s="6" t="s">
        <v>54</v>
      </c>
      <c r="T356" s="6" t="s">
        <v>48</v>
      </c>
      <c r="U356" s="6" t="s">
        <v>94</v>
      </c>
      <c r="V356" s="6" t="s">
        <v>82</v>
      </c>
      <c r="W356" t="s">
        <v>785</v>
      </c>
    </row>
    <row r="357" spans="1:23" x14ac:dyDescent="0.3">
      <c r="A357" s="6" t="s">
        <v>429</v>
      </c>
      <c r="B357" s="1">
        <v>45765</v>
      </c>
      <c r="C357" s="6" t="s">
        <v>33</v>
      </c>
      <c r="D357" s="6" t="s">
        <v>48</v>
      </c>
      <c r="E357" s="6" t="s">
        <v>35</v>
      </c>
      <c r="F357" s="6" t="s">
        <v>24</v>
      </c>
      <c r="G357" s="6" t="s">
        <v>46</v>
      </c>
      <c r="H357" s="6" t="s">
        <v>26</v>
      </c>
      <c r="I357" s="6" t="s">
        <v>58</v>
      </c>
      <c r="J357" s="6" t="s">
        <v>49</v>
      </c>
      <c r="K357" s="6" t="s">
        <v>48</v>
      </c>
      <c r="L357" s="6" t="s">
        <v>54</v>
      </c>
      <c r="M357" s="6" t="s">
        <v>48</v>
      </c>
      <c r="N357" s="6" t="s">
        <v>28</v>
      </c>
      <c r="O357" s="6" t="s">
        <v>26</v>
      </c>
      <c r="P357" s="6" t="s">
        <v>48</v>
      </c>
      <c r="Q357" s="6" t="s">
        <v>48</v>
      </c>
      <c r="R357" s="6" t="s">
        <v>49</v>
      </c>
      <c r="S357" s="6" t="s">
        <v>54</v>
      </c>
      <c r="T357" s="6" t="s">
        <v>48</v>
      </c>
      <c r="U357" s="6" t="s">
        <v>28</v>
      </c>
      <c r="V357" s="6" t="s">
        <v>146</v>
      </c>
      <c r="W357" t="s">
        <v>785</v>
      </c>
    </row>
    <row r="358" spans="1:23" x14ac:dyDescent="0.3">
      <c r="A358" s="6" t="s">
        <v>426</v>
      </c>
      <c r="B358" s="1">
        <v>45765</v>
      </c>
      <c r="C358" s="6" t="s">
        <v>33</v>
      </c>
      <c r="D358" s="6" t="s">
        <v>48</v>
      </c>
      <c r="E358" s="6" t="s">
        <v>35</v>
      </c>
      <c r="F358" s="6" t="s">
        <v>24</v>
      </c>
      <c r="G358" s="6" t="s">
        <v>46</v>
      </c>
      <c r="H358" s="6" t="s">
        <v>26</v>
      </c>
      <c r="I358" s="6" t="s">
        <v>58</v>
      </c>
      <c r="J358" s="6" t="s">
        <v>49</v>
      </c>
      <c r="K358" s="6" t="s">
        <v>48</v>
      </c>
      <c r="L358" s="6" t="s">
        <v>54</v>
      </c>
      <c r="M358" s="6" t="s">
        <v>48</v>
      </c>
      <c r="N358" s="6" t="s">
        <v>28</v>
      </c>
      <c r="O358" s="6" t="s">
        <v>26</v>
      </c>
      <c r="P358" s="6" t="s">
        <v>48</v>
      </c>
      <c r="Q358" s="6" t="s">
        <v>31</v>
      </c>
      <c r="R358" s="6" t="s">
        <v>49</v>
      </c>
      <c r="S358" s="6" t="s">
        <v>54</v>
      </c>
      <c r="T358" s="6" t="s">
        <v>48</v>
      </c>
      <c r="U358" s="6" t="s">
        <v>28</v>
      </c>
      <c r="V358" s="6" t="s">
        <v>146</v>
      </c>
      <c r="W358" t="s">
        <v>785</v>
      </c>
    </row>
    <row r="359" spans="1:23" x14ac:dyDescent="0.3">
      <c r="A359" s="6" t="s">
        <v>427</v>
      </c>
      <c r="B359" s="1">
        <v>45765</v>
      </c>
      <c r="C359" s="6" t="s">
        <v>33</v>
      </c>
      <c r="D359" s="6" t="s">
        <v>48</v>
      </c>
      <c r="E359" s="6" t="s">
        <v>35</v>
      </c>
      <c r="F359" s="6" t="s">
        <v>24</v>
      </c>
      <c r="G359" s="6" t="s">
        <v>46</v>
      </c>
      <c r="H359" s="6" t="s">
        <v>26</v>
      </c>
      <c r="I359" s="6" t="s">
        <v>58</v>
      </c>
      <c r="J359" s="6" t="s">
        <v>49</v>
      </c>
      <c r="K359" s="6" t="s">
        <v>48</v>
      </c>
      <c r="L359" s="6" t="s">
        <v>54</v>
      </c>
      <c r="M359" s="6" t="s">
        <v>48</v>
      </c>
      <c r="N359" s="6" t="s">
        <v>28</v>
      </c>
      <c r="O359" s="6" t="s">
        <v>26</v>
      </c>
      <c r="P359" s="6" t="s">
        <v>48</v>
      </c>
      <c r="Q359" s="6" t="s">
        <v>48</v>
      </c>
      <c r="R359" s="6" t="s">
        <v>22</v>
      </c>
      <c r="S359" s="6" t="s">
        <v>54</v>
      </c>
      <c r="T359" s="6" t="s">
        <v>48</v>
      </c>
      <c r="U359" s="6" t="s">
        <v>28</v>
      </c>
      <c r="V359" s="6" t="s">
        <v>146</v>
      </c>
      <c r="W359" t="s">
        <v>785</v>
      </c>
    </row>
    <row r="360" spans="1:23" x14ac:dyDescent="0.3">
      <c r="A360" s="6" t="s">
        <v>430</v>
      </c>
      <c r="B360" s="1">
        <v>45765</v>
      </c>
      <c r="C360" s="6" t="s">
        <v>33</v>
      </c>
      <c r="D360" s="6" t="s">
        <v>48</v>
      </c>
      <c r="E360" s="6" t="s">
        <v>35</v>
      </c>
      <c r="F360" s="6" t="s">
        <v>24</v>
      </c>
      <c r="G360" s="6" t="s">
        <v>46</v>
      </c>
      <c r="H360" s="6" t="s">
        <v>26</v>
      </c>
      <c r="I360" s="6" t="s">
        <v>58</v>
      </c>
      <c r="J360" s="6" t="s">
        <v>49</v>
      </c>
      <c r="K360" s="6" t="s">
        <v>48</v>
      </c>
      <c r="L360" s="6" t="s">
        <v>54</v>
      </c>
      <c r="M360" s="6" t="s">
        <v>48</v>
      </c>
      <c r="N360" s="6" t="s">
        <v>28</v>
      </c>
      <c r="O360" s="6" t="s">
        <v>48</v>
      </c>
      <c r="P360" s="6" t="s">
        <v>48</v>
      </c>
      <c r="Q360" s="6" t="s">
        <v>48</v>
      </c>
      <c r="R360" s="6" t="s">
        <v>49</v>
      </c>
      <c r="S360" s="6" t="s">
        <v>54</v>
      </c>
      <c r="T360" s="6" t="s">
        <v>48</v>
      </c>
      <c r="U360" s="6" t="s">
        <v>56</v>
      </c>
      <c r="V360" s="6" t="s">
        <v>146</v>
      </c>
      <c r="W360" t="s">
        <v>785</v>
      </c>
    </row>
    <row r="361" spans="1:23" x14ac:dyDescent="0.3">
      <c r="A361" s="6" t="s">
        <v>428</v>
      </c>
      <c r="B361" s="1">
        <v>45765</v>
      </c>
      <c r="C361" s="6" t="s">
        <v>33</v>
      </c>
      <c r="D361" s="6" t="s">
        <v>48</v>
      </c>
      <c r="E361" s="6" t="s">
        <v>35</v>
      </c>
      <c r="F361" s="6" t="s">
        <v>24</v>
      </c>
      <c r="G361" s="6" t="s">
        <v>46</v>
      </c>
      <c r="H361" s="6" t="s">
        <v>26</v>
      </c>
      <c r="I361" s="6" t="s">
        <v>58</v>
      </c>
      <c r="J361" s="6" t="s">
        <v>49</v>
      </c>
      <c r="K361" s="6" t="s">
        <v>48</v>
      </c>
      <c r="L361" s="6" t="s">
        <v>54</v>
      </c>
      <c r="M361" s="6" t="s">
        <v>48</v>
      </c>
      <c r="N361" s="6" t="s">
        <v>28</v>
      </c>
      <c r="O361" s="6" t="s">
        <v>48</v>
      </c>
      <c r="P361" s="6" t="s">
        <v>48</v>
      </c>
      <c r="Q361" s="6" t="s">
        <v>48</v>
      </c>
      <c r="R361" s="6" t="s">
        <v>49</v>
      </c>
      <c r="S361" s="6" t="s">
        <v>54</v>
      </c>
      <c r="T361" s="6" t="s">
        <v>48</v>
      </c>
      <c r="U361" s="6" t="s">
        <v>56</v>
      </c>
      <c r="V361" s="6" t="s">
        <v>146</v>
      </c>
      <c r="W361" t="s">
        <v>785</v>
      </c>
    </row>
    <row r="362" spans="1:23" x14ac:dyDescent="0.3">
      <c r="A362" s="6" t="s">
        <v>431</v>
      </c>
      <c r="B362" s="1">
        <v>45765</v>
      </c>
      <c r="C362" s="6" t="s">
        <v>57</v>
      </c>
      <c r="D362" s="6" t="s">
        <v>22</v>
      </c>
      <c r="E362" s="6" t="s">
        <v>35</v>
      </c>
      <c r="F362" s="6" t="s">
        <v>24</v>
      </c>
      <c r="G362" s="6" t="s">
        <v>61</v>
      </c>
      <c r="H362" s="6" t="s">
        <v>48</v>
      </c>
      <c r="I362" s="6" t="s">
        <v>100</v>
      </c>
      <c r="J362" s="6" t="s">
        <v>49</v>
      </c>
      <c r="K362" s="6" t="s">
        <v>48</v>
      </c>
      <c r="L362" s="6" t="s">
        <v>54</v>
      </c>
      <c r="M362" s="6" t="s">
        <v>48</v>
      </c>
      <c r="N362" s="6" t="s">
        <v>28</v>
      </c>
      <c r="O362" s="6" t="s">
        <v>48</v>
      </c>
      <c r="P362" s="6" t="s">
        <v>48</v>
      </c>
      <c r="Q362" s="6" t="s">
        <v>48</v>
      </c>
      <c r="R362" s="6" t="s">
        <v>22</v>
      </c>
      <c r="S362" s="6" t="s">
        <v>54</v>
      </c>
      <c r="T362" s="6" t="s">
        <v>48</v>
      </c>
      <c r="U362" s="6" t="s">
        <v>126</v>
      </c>
      <c r="V362" s="6" t="s">
        <v>82</v>
      </c>
      <c r="W362" t="s">
        <v>785</v>
      </c>
    </row>
    <row r="363" spans="1:23" x14ac:dyDescent="0.3">
      <c r="A363" s="6" t="s">
        <v>432</v>
      </c>
      <c r="B363" s="1">
        <v>45765</v>
      </c>
      <c r="C363" s="6" t="s">
        <v>57</v>
      </c>
      <c r="D363" s="6" t="s">
        <v>22</v>
      </c>
      <c r="E363" s="6" t="s">
        <v>35</v>
      </c>
      <c r="F363" s="6" t="s">
        <v>24</v>
      </c>
      <c r="G363" s="6" t="s">
        <v>61</v>
      </c>
      <c r="H363" s="6" t="s">
        <v>48</v>
      </c>
      <c r="I363" s="6" t="s">
        <v>100</v>
      </c>
      <c r="J363" s="6" t="s">
        <v>49</v>
      </c>
      <c r="K363" s="6" t="s">
        <v>48</v>
      </c>
      <c r="L363" s="6" t="s">
        <v>54</v>
      </c>
      <c r="M363" s="6" t="s">
        <v>48</v>
      </c>
      <c r="N363" s="6" t="s">
        <v>28</v>
      </c>
      <c r="O363" s="6" t="s">
        <v>48</v>
      </c>
      <c r="P363" s="6" t="s">
        <v>48</v>
      </c>
      <c r="Q363" s="6" t="s">
        <v>48</v>
      </c>
      <c r="R363" s="6" t="s">
        <v>22</v>
      </c>
      <c r="S363" s="6" t="s">
        <v>54</v>
      </c>
      <c r="T363" s="6" t="s">
        <v>48</v>
      </c>
      <c r="U363" s="6" t="s">
        <v>28</v>
      </c>
      <c r="V363" s="6" t="s">
        <v>82</v>
      </c>
      <c r="W363" t="s">
        <v>785</v>
      </c>
    </row>
    <row r="364" spans="1:23" x14ac:dyDescent="0.3">
      <c r="A364" s="6" t="s">
        <v>433</v>
      </c>
      <c r="B364" s="1">
        <v>45765</v>
      </c>
      <c r="C364" s="6" t="s">
        <v>84</v>
      </c>
      <c r="D364" s="6" t="s">
        <v>95</v>
      </c>
      <c r="E364" s="6" t="s">
        <v>68</v>
      </c>
      <c r="F364" s="6" t="s">
        <v>24</v>
      </c>
      <c r="G364" s="6" t="s">
        <v>155</v>
      </c>
      <c r="H364" s="6" t="s">
        <v>26</v>
      </c>
      <c r="I364" s="6" t="s">
        <v>100</v>
      </c>
      <c r="J364" s="6" t="s">
        <v>95</v>
      </c>
      <c r="K364" s="6" t="s">
        <v>48</v>
      </c>
      <c r="L364" s="6" t="s">
        <v>54</v>
      </c>
      <c r="M364" s="6" t="s">
        <v>29</v>
      </c>
      <c r="N364" s="6" t="s">
        <v>28</v>
      </c>
      <c r="O364" s="6" t="s">
        <v>30</v>
      </c>
      <c r="P364" s="6" t="s">
        <v>100</v>
      </c>
      <c r="Q364" s="6" t="s">
        <v>31</v>
      </c>
      <c r="R364" s="6" t="s">
        <v>95</v>
      </c>
      <c r="S364" s="6" t="s">
        <v>54</v>
      </c>
      <c r="T364" s="6" t="s">
        <v>29</v>
      </c>
      <c r="U364" s="6" t="s">
        <v>28</v>
      </c>
      <c r="V364" s="6" t="s">
        <v>82</v>
      </c>
      <c r="W364" t="s">
        <v>785</v>
      </c>
    </row>
    <row r="365" spans="1:23" x14ac:dyDescent="0.3">
      <c r="A365" s="6" t="s">
        <v>433</v>
      </c>
      <c r="B365" s="1">
        <v>45765</v>
      </c>
      <c r="C365" s="6" t="s">
        <v>84</v>
      </c>
      <c r="D365" s="6" t="s">
        <v>95</v>
      </c>
      <c r="E365" s="6" t="s">
        <v>68</v>
      </c>
      <c r="F365" s="6" t="s">
        <v>24</v>
      </c>
      <c r="G365" s="6" t="s">
        <v>155</v>
      </c>
      <c r="H365" s="6" t="s">
        <v>26</v>
      </c>
      <c r="I365" s="6" t="s">
        <v>100</v>
      </c>
      <c r="J365" s="6" t="s">
        <v>95</v>
      </c>
      <c r="K365" s="6" t="s">
        <v>48</v>
      </c>
      <c r="L365" s="6" t="s">
        <v>54</v>
      </c>
      <c r="M365" s="6" t="s">
        <v>29</v>
      </c>
      <c r="N365" s="6" t="s">
        <v>28</v>
      </c>
      <c r="O365" s="6" t="s">
        <v>30</v>
      </c>
      <c r="P365" s="6" t="s">
        <v>100</v>
      </c>
      <c r="Q365" s="6" t="s">
        <v>31</v>
      </c>
      <c r="R365" s="6" t="s">
        <v>95</v>
      </c>
      <c r="S365" s="6" t="s">
        <v>54</v>
      </c>
      <c r="T365" s="6" t="s">
        <v>29</v>
      </c>
      <c r="U365" s="6" t="s">
        <v>28</v>
      </c>
      <c r="V365" s="6" t="s">
        <v>137</v>
      </c>
      <c r="W365" t="s">
        <v>785</v>
      </c>
    </row>
    <row r="366" spans="1:23" x14ac:dyDescent="0.3">
      <c r="A366" s="6" t="s">
        <v>434</v>
      </c>
      <c r="B366" s="1">
        <v>45767</v>
      </c>
      <c r="C366" s="6" t="s">
        <v>33</v>
      </c>
      <c r="D366" s="6" t="s">
        <v>60</v>
      </c>
      <c r="E366" s="6" t="s">
        <v>73</v>
      </c>
      <c r="F366" s="6" t="s">
        <v>24</v>
      </c>
      <c r="G366" s="6" t="s">
        <v>25</v>
      </c>
      <c r="H366" s="6" t="s">
        <v>26</v>
      </c>
      <c r="I366" s="6" t="s">
        <v>38</v>
      </c>
      <c r="J366" s="6" t="s">
        <v>60</v>
      </c>
      <c r="K366" s="6" t="s">
        <v>48</v>
      </c>
      <c r="L366" s="6" t="s">
        <v>54</v>
      </c>
      <c r="M366" s="6" t="s">
        <v>55</v>
      </c>
      <c r="N366" s="6" t="s">
        <v>28</v>
      </c>
      <c r="O366" s="6" t="s">
        <v>30</v>
      </c>
      <c r="P366" s="6" t="s">
        <v>66</v>
      </c>
      <c r="Q366" s="6" t="s">
        <v>31</v>
      </c>
      <c r="R366" s="6" t="s">
        <v>60</v>
      </c>
      <c r="S366" s="6" t="s">
        <v>54</v>
      </c>
      <c r="T366" s="6" t="s">
        <v>29</v>
      </c>
      <c r="U366" s="6" t="s">
        <v>28</v>
      </c>
      <c r="V366" s="6" t="s">
        <v>82</v>
      </c>
      <c r="W366" t="s">
        <v>785</v>
      </c>
    </row>
    <row r="367" spans="1:23" x14ac:dyDescent="0.3">
      <c r="A367" s="6" t="s">
        <v>435</v>
      </c>
      <c r="B367" s="1">
        <v>45768</v>
      </c>
      <c r="C367" s="6" t="s">
        <v>84</v>
      </c>
      <c r="D367" s="6" t="s">
        <v>40</v>
      </c>
      <c r="E367" s="6" t="s">
        <v>68</v>
      </c>
      <c r="F367" s="6" t="s">
        <v>24</v>
      </c>
      <c r="G367" s="6" t="s">
        <v>97</v>
      </c>
      <c r="H367" s="6" t="s">
        <v>48</v>
      </c>
      <c r="I367" s="6" t="s">
        <v>100</v>
      </c>
      <c r="J367" s="6" t="s">
        <v>49</v>
      </c>
      <c r="K367" s="6" t="s">
        <v>48</v>
      </c>
      <c r="L367" s="6" t="s">
        <v>705</v>
      </c>
      <c r="M367" s="6" t="s">
        <v>48</v>
      </c>
      <c r="N367" s="6" t="s">
        <v>28</v>
      </c>
      <c r="O367" s="6" t="s">
        <v>30</v>
      </c>
      <c r="P367" s="6" t="s">
        <v>48</v>
      </c>
      <c r="Q367" s="6" t="s">
        <v>31</v>
      </c>
      <c r="R367" s="6" t="s">
        <v>40</v>
      </c>
      <c r="S367" s="6" t="s">
        <v>54</v>
      </c>
      <c r="T367" s="6" t="s">
        <v>48</v>
      </c>
      <c r="U367" s="6" t="s">
        <v>28</v>
      </c>
      <c r="V367" s="6" t="s">
        <v>82</v>
      </c>
      <c r="W367" t="s">
        <v>785</v>
      </c>
    </row>
    <row r="368" spans="1:23" x14ac:dyDescent="0.3">
      <c r="A368" s="6" t="s">
        <v>436</v>
      </c>
      <c r="B368" s="1">
        <v>45769</v>
      </c>
      <c r="C368" s="6" t="s">
        <v>84</v>
      </c>
      <c r="D368" s="6" t="s">
        <v>48</v>
      </c>
      <c r="E368" s="6" t="s">
        <v>68</v>
      </c>
      <c r="F368" s="6" t="s">
        <v>24</v>
      </c>
      <c r="G368" s="6" t="s">
        <v>71</v>
      </c>
      <c r="H368" s="6" t="s">
        <v>26</v>
      </c>
      <c r="I368" s="6" t="s">
        <v>45</v>
      </c>
      <c r="J368" s="6" t="s">
        <v>40</v>
      </c>
      <c r="K368" s="6" t="s">
        <v>48</v>
      </c>
      <c r="L368" s="6" t="s">
        <v>54</v>
      </c>
      <c r="M368" s="6" t="s">
        <v>29</v>
      </c>
      <c r="N368" s="6" t="s">
        <v>28</v>
      </c>
      <c r="O368" s="6" t="s">
        <v>26</v>
      </c>
      <c r="P368" s="6" t="s">
        <v>788</v>
      </c>
      <c r="Q368" s="6" t="s">
        <v>31</v>
      </c>
      <c r="R368" s="6" t="s">
        <v>49</v>
      </c>
      <c r="S368" s="6" t="s">
        <v>54</v>
      </c>
      <c r="T368" s="6" t="s">
        <v>55</v>
      </c>
      <c r="U368" s="6" t="s">
        <v>28</v>
      </c>
      <c r="V368" s="6" t="s">
        <v>82</v>
      </c>
      <c r="W368" t="s">
        <v>785</v>
      </c>
    </row>
    <row r="369" spans="1:23" x14ac:dyDescent="0.3">
      <c r="A369" s="6" t="s">
        <v>437</v>
      </c>
      <c r="B369" s="1">
        <v>45769</v>
      </c>
      <c r="C369" s="6" t="s">
        <v>33</v>
      </c>
      <c r="D369" s="6" t="s">
        <v>95</v>
      </c>
      <c r="E369" s="6" t="s">
        <v>35</v>
      </c>
      <c r="F369" s="6" t="s">
        <v>24</v>
      </c>
      <c r="G369" s="6" t="s">
        <v>61</v>
      </c>
      <c r="H369" s="6" t="s">
        <v>26</v>
      </c>
      <c r="I369" s="6" t="s">
        <v>42</v>
      </c>
      <c r="J369" s="6" t="s">
        <v>95</v>
      </c>
      <c r="K369" s="6" t="s">
        <v>48</v>
      </c>
      <c r="L369" s="6" t="s">
        <v>103</v>
      </c>
      <c r="M369" s="6" t="s">
        <v>55</v>
      </c>
      <c r="N369" s="6" t="s">
        <v>28</v>
      </c>
      <c r="O369" s="6" t="s">
        <v>48</v>
      </c>
      <c r="P369" s="6" t="s">
        <v>48</v>
      </c>
      <c r="Q369" s="6" t="s">
        <v>48</v>
      </c>
      <c r="R369" s="6" t="s">
        <v>95</v>
      </c>
      <c r="S369" s="6" t="s">
        <v>54</v>
      </c>
      <c r="T369" s="6" t="s">
        <v>48</v>
      </c>
      <c r="U369" s="6" t="s">
        <v>28</v>
      </c>
      <c r="V369" s="6" t="s">
        <v>146</v>
      </c>
      <c r="W369" t="s">
        <v>785</v>
      </c>
    </row>
    <row r="370" spans="1:23" x14ac:dyDescent="0.3">
      <c r="A370" s="6" t="s">
        <v>437</v>
      </c>
      <c r="B370" s="1">
        <v>45769</v>
      </c>
      <c r="C370" s="6" t="s">
        <v>33</v>
      </c>
      <c r="D370" s="6" t="s">
        <v>95</v>
      </c>
      <c r="E370" s="6" t="s">
        <v>35</v>
      </c>
      <c r="F370" s="6" t="s">
        <v>24</v>
      </c>
      <c r="G370" s="6" t="s">
        <v>61</v>
      </c>
      <c r="H370" s="6" t="s">
        <v>26</v>
      </c>
      <c r="I370" s="6" t="s">
        <v>42</v>
      </c>
      <c r="J370" s="6" t="s">
        <v>95</v>
      </c>
      <c r="K370" s="6" t="s">
        <v>48</v>
      </c>
      <c r="L370" s="6" t="s">
        <v>103</v>
      </c>
      <c r="M370" s="6" t="s">
        <v>55</v>
      </c>
      <c r="N370" s="6" t="s">
        <v>28</v>
      </c>
      <c r="O370" s="6" t="s">
        <v>48</v>
      </c>
      <c r="P370" s="6" t="s">
        <v>48</v>
      </c>
      <c r="Q370" s="6" t="s">
        <v>48</v>
      </c>
      <c r="R370" s="6" t="s">
        <v>95</v>
      </c>
      <c r="S370" s="6" t="s">
        <v>54</v>
      </c>
      <c r="T370" s="6" t="s">
        <v>48</v>
      </c>
      <c r="U370" s="6" t="s">
        <v>28</v>
      </c>
      <c r="V370" s="6" t="s">
        <v>82</v>
      </c>
      <c r="W370" t="s">
        <v>785</v>
      </c>
    </row>
    <row r="371" spans="1:23" x14ac:dyDescent="0.3">
      <c r="A371" s="6" t="s">
        <v>438</v>
      </c>
      <c r="B371" s="1">
        <v>45769</v>
      </c>
      <c r="C371" s="6" t="s">
        <v>90</v>
      </c>
      <c r="D371" s="6" t="s">
        <v>34</v>
      </c>
      <c r="E371" s="6" t="s">
        <v>35</v>
      </c>
      <c r="F371" s="6" t="s">
        <v>24</v>
      </c>
      <c r="G371" s="6" t="s">
        <v>61</v>
      </c>
      <c r="H371" s="6" t="s">
        <v>48</v>
      </c>
      <c r="I371" s="6" t="s">
        <v>100</v>
      </c>
      <c r="J371" s="6" t="s">
        <v>34</v>
      </c>
      <c r="K371" s="6" t="s">
        <v>48</v>
      </c>
      <c r="L371" s="6" t="s">
        <v>54</v>
      </c>
      <c r="M371" s="6" t="s">
        <v>48</v>
      </c>
      <c r="N371" s="6" t="s">
        <v>28</v>
      </c>
      <c r="O371" s="6" t="s">
        <v>30</v>
      </c>
      <c r="P371" s="6" t="s">
        <v>45</v>
      </c>
      <c r="Q371" s="6" t="s">
        <v>31</v>
      </c>
      <c r="R371" s="6" t="s">
        <v>34</v>
      </c>
      <c r="S371" s="6" t="s">
        <v>54</v>
      </c>
      <c r="T371" s="6" t="s">
        <v>29</v>
      </c>
      <c r="U371" s="6" t="s">
        <v>28</v>
      </c>
      <c r="V371" s="6" t="s">
        <v>82</v>
      </c>
      <c r="W371" t="s">
        <v>785</v>
      </c>
    </row>
    <row r="372" spans="1:23" x14ac:dyDescent="0.3">
      <c r="A372" s="6" t="s">
        <v>439</v>
      </c>
      <c r="B372" s="1">
        <v>45769</v>
      </c>
      <c r="C372" s="6" t="s">
        <v>84</v>
      </c>
      <c r="D372" s="6" t="s">
        <v>78</v>
      </c>
      <c r="E372" s="6" t="s">
        <v>46</v>
      </c>
      <c r="F372" s="6" t="s">
        <v>24</v>
      </c>
      <c r="G372" s="6" t="s">
        <v>61</v>
      </c>
      <c r="H372" s="6" t="s">
        <v>48</v>
      </c>
      <c r="I372" s="6" t="s">
        <v>27</v>
      </c>
      <c r="J372" s="6" t="s">
        <v>78</v>
      </c>
      <c r="K372" s="6" t="s">
        <v>48</v>
      </c>
      <c r="L372" s="6" t="s">
        <v>54</v>
      </c>
      <c r="M372" s="6" t="s">
        <v>48</v>
      </c>
      <c r="N372" s="6" t="s">
        <v>28</v>
      </c>
      <c r="O372" s="6" t="s">
        <v>48</v>
      </c>
      <c r="P372" s="6" t="s">
        <v>48</v>
      </c>
      <c r="Q372" s="6" t="s">
        <v>48</v>
      </c>
      <c r="R372" s="6" t="s">
        <v>78</v>
      </c>
      <c r="S372" s="6" t="s">
        <v>54</v>
      </c>
      <c r="T372" s="6" t="s">
        <v>48</v>
      </c>
      <c r="U372" s="6" t="s">
        <v>28</v>
      </c>
      <c r="V372" s="6" t="s">
        <v>82</v>
      </c>
      <c r="W372" t="s">
        <v>785</v>
      </c>
    </row>
    <row r="373" spans="1:23" x14ac:dyDescent="0.3">
      <c r="A373" s="6" t="s">
        <v>441</v>
      </c>
      <c r="B373" s="1">
        <v>45771</v>
      </c>
      <c r="C373" s="6" t="s">
        <v>84</v>
      </c>
      <c r="D373" s="6" t="s">
        <v>48</v>
      </c>
      <c r="E373" s="6" t="s">
        <v>68</v>
      </c>
      <c r="F373" s="6" t="s">
        <v>24</v>
      </c>
      <c r="G373" s="6" t="s">
        <v>97</v>
      </c>
      <c r="H373" s="6" t="s">
        <v>48</v>
      </c>
      <c r="I373" s="6" t="s">
        <v>27</v>
      </c>
      <c r="J373" s="6" t="s">
        <v>49</v>
      </c>
      <c r="K373" s="6" t="s">
        <v>48</v>
      </c>
      <c r="L373" s="6" t="s">
        <v>54</v>
      </c>
      <c r="M373" s="6" t="s">
        <v>48</v>
      </c>
      <c r="N373" s="6" t="s">
        <v>28</v>
      </c>
      <c r="O373" s="6" t="s">
        <v>48</v>
      </c>
      <c r="P373" s="6" t="s">
        <v>48</v>
      </c>
      <c r="Q373" s="6" t="s">
        <v>48</v>
      </c>
      <c r="R373" s="6" t="s">
        <v>49</v>
      </c>
      <c r="S373" s="6" t="s">
        <v>54</v>
      </c>
      <c r="T373" s="6" t="s">
        <v>48</v>
      </c>
      <c r="U373" s="6" t="s">
        <v>28</v>
      </c>
      <c r="V373" s="6" t="s">
        <v>82</v>
      </c>
      <c r="W373" t="s">
        <v>785</v>
      </c>
    </row>
    <row r="374" spans="1:23" x14ac:dyDescent="0.3">
      <c r="A374" s="6" t="s">
        <v>442</v>
      </c>
      <c r="B374" s="1">
        <v>45771</v>
      </c>
      <c r="C374" s="6" t="s">
        <v>84</v>
      </c>
      <c r="D374" s="6" t="s">
        <v>48</v>
      </c>
      <c r="E374" s="6" t="s">
        <v>68</v>
      </c>
      <c r="F374" s="6" t="s">
        <v>24</v>
      </c>
      <c r="G374" s="6" t="s">
        <v>97</v>
      </c>
      <c r="H374" s="6" t="s">
        <v>48</v>
      </c>
      <c r="I374" s="6" t="s">
        <v>27</v>
      </c>
      <c r="J374" s="6" t="s">
        <v>49</v>
      </c>
      <c r="K374" s="6" t="s">
        <v>48</v>
      </c>
      <c r="L374" s="6" t="s">
        <v>54</v>
      </c>
      <c r="M374" s="6" t="s">
        <v>48</v>
      </c>
      <c r="N374" s="6" t="s">
        <v>28</v>
      </c>
      <c r="O374" s="6" t="s">
        <v>48</v>
      </c>
      <c r="P374" s="6" t="s">
        <v>48</v>
      </c>
      <c r="Q374" s="6" t="s">
        <v>48</v>
      </c>
      <c r="R374" s="6" t="s">
        <v>81</v>
      </c>
      <c r="S374" s="6" t="s">
        <v>54</v>
      </c>
      <c r="T374" s="6" t="s">
        <v>48</v>
      </c>
      <c r="U374" s="6" t="s">
        <v>87</v>
      </c>
      <c r="V374" s="6" t="s">
        <v>82</v>
      </c>
      <c r="W374" t="s">
        <v>785</v>
      </c>
    </row>
    <row r="375" spans="1:23" x14ac:dyDescent="0.3">
      <c r="A375" s="6" t="s">
        <v>443</v>
      </c>
      <c r="B375" s="1">
        <v>45771</v>
      </c>
      <c r="C375" s="6" t="s">
        <v>39</v>
      </c>
      <c r="D375" s="6" t="s">
        <v>70</v>
      </c>
      <c r="E375" s="6" t="s">
        <v>68</v>
      </c>
      <c r="F375" s="6" t="s">
        <v>24</v>
      </c>
      <c r="G375" s="6" t="s">
        <v>132</v>
      </c>
      <c r="H375" s="6" t="s">
        <v>26</v>
      </c>
      <c r="I375" s="6" t="s">
        <v>38</v>
      </c>
      <c r="J375" s="6" t="s">
        <v>70</v>
      </c>
      <c r="K375" s="6" t="s">
        <v>133</v>
      </c>
      <c r="L375" s="6" t="s">
        <v>54</v>
      </c>
      <c r="M375" s="6" t="s">
        <v>32</v>
      </c>
      <c r="N375" s="6" t="s">
        <v>28</v>
      </c>
      <c r="O375" s="6" t="s">
        <v>30</v>
      </c>
      <c r="P375" s="6" t="s">
        <v>45</v>
      </c>
      <c r="Q375" s="6" t="s">
        <v>31</v>
      </c>
      <c r="R375" s="6" t="s">
        <v>70</v>
      </c>
      <c r="S375" s="6" t="s">
        <v>54</v>
      </c>
      <c r="T375" s="6" t="s">
        <v>32</v>
      </c>
      <c r="U375" s="6" t="s">
        <v>28</v>
      </c>
      <c r="V375" s="6" t="s">
        <v>82</v>
      </c>
      <c r="W375" t="s">
        <v>785</v>
      </c>
    </row>
    <row r="376" spans="1:23" x14ac:dyDescent="0.3">
      <c r="A376" s="6" t="s">
        <v>444</v>
      </c>
      <c r="B376" s="1">
        <v>45771</v>
      </c>
      <c r="C376" s="6" t="s">
        <v>39</v>
      </c>
      <c r="D376" s="6" t="s">
        <v>60</v>
      </c>
      <c r="E376" s="6" t="s">
        <v>68</v>
      </c>
      <c r="F376" s="6" t="s">
        <v>24</v>
      </c>
      <c r="G376" s="6" t="s">
        <v>61</v>
      </c>
      <c r="H376" s="6" t="s">
        <v>26</v>
      </c>
      <c r="I376" s="6" t="s">
        <v>27</v>
      </c>
      <c r="J376" s="6" t="s">
        <v>60</v>
      </c>
      <c r="K376" s="6" t="s">
        <v>102</v>
      </c>
      <c r="L376" s="6" t="s">
        <v>152</v>
      </c>
      <c r="M376" s="6" t="s">
        <v>29</v>
      </c>
      <c r="N376" s="6" t="s">
        <v>28</v>
      </c>
      <c r="O376" s="6" t="s">
        <v>30</v>
      </c>
      <c r="P376" s="6" t="s">
        <v>788</v>
      </c>
      <c r="Q376" s="6" t="s">
        <v>31</v>
      </c>
      <c r="R376" s="6" t="s">
        <v>60</v>
      </c>
      <c r="S376" s="6" t="s">
        <v>54</v>
      </c>
      <c r="T376" s="6" t="s">
        <v>32</v>
      </c>
      <c r="U376" s="6" t="s">
        <v>28</v>
      </c>
      <c r="V376" s="6" t="s">
        <v>82</v>
      </c>
      <c r="W376" t="s">
        <v>785</v>
      </c>
    </row>
    <row r="377" spans="1:23" x14ac:dyDescent="0.3">
      <c r="A377" s="6" t="s">
        <v>444</v>
      </c>
      <c r="B377" s="1">
        <v>45771</v>
      </c>
      <c r="C377" s="6" t="s">
        <v>39</v>
      </c>
      <c r="D377" s="6" t="s">
        <v>60</v>
      </c>
      <c r="E377" s="6" t="s">
        <v>68</v>
      </c>
      <c r="F377" s="6" t="s">
        <v>24</v>
      </c>
      <c r="G377" s="6" t="s">
        <v>61</v>
      </c>
      <c r="H377" s="6" t="s">
        <v>26</v>
      </c>
      <c r="I377" s="6" t="s">
        <v>27</v>
      </c>
      <c r="J377" s="6" t="s">
        <v>60</v>
      </c>
      <c r="K377" s="6" t="s">
        <v>102</v>
      </c>
      <c r="L377" s="6" t="s">
        <v>152</v>
      </c>
      <c r="M377" s="6" t="s">
        <v>29</v>
      </c>
      <c r="N377" s="6" t="s">
        <v>28</v>
      </c>
      <c r="O377" s="6" t="s">
        <v>30</v>
      </c>
      <c r="P377" s="6" t="s">
        <v>788</v>
      </c>
      <c r="Q377" s="6" t="s">
        <v>31</v>
      </c>
      <c r="R377" s="6" t="s">
        <v>60</v>
      </c>
      <c r="S377" s="6" t="s">
        <v>54</v>
      </c>
      <c r="T377" s="6" t="s">
        <v>32</v>
      </c>
      <c r="U377" s="6" t="s">
        <v>28</v>
      </c>
      <c r="V377" s="6" t="s">
        <v>146</v>
      </c>
      <c r="W377" t="s">
        <v>785</v>
      </c>
    </row>
    <row r="378" spans="1:23" x14ac:dyDescent="0.3">
      <c r="A378" s="6" t="s">
        <v>445</v>
      </c>
      <c r="B378" s="1">
        <v>45771</v>
      </c>
      <c r="C378" s="6" t="s">
        <v>33</v>
      </c>
      <c r="D378" s="6" t="s">
        <v>48</v>
      </c>
      <c r="E378" s="6" t="s">
        <v>64</v>
      </c>
      <c r="F378" s="6" t="s">
        <v>24</v>
      </c>
      <c r="G378" s="6" t="s">
        <v>69</v>
      </c>
      <c r="H378" s="6" t="s">
        <v>26</v>
      </c>
      <c r="I378" s="6" t="s">
        <v>52</v>
      </c>
      <c r="J378" s="6" t="s">
        <v>49</v>
      </c>
      <c r="K378" s="6" t="s">
        <v>53</v>
      </c>
      <c r="L378" s="6" t="s">
        <v>704</v>
      </c>
      <c r="M378" s="6" t="s">
        <v>48</v>
      </c>
      <c r="N378" s="6" t="s">
        <v>28</v>
      </c>
      <c r="O378" s="6" t="s">
        <v>30</v>
      </c>
      <c r="P378" s="6" t="s">
        <v>788</v>
      </c>
      <c r="Q378" s="6" t="s">
        <v>48</v>
      </c>
      <c r="R378" s="6" t="s">
        <v>95</v>
      </c>
      <c r="S378" s="6" t="s">
        <v>128</v>
      </c>
      <c r="T378" s="6" t="s">
        <v>29</v>
      </c>
      <c r="U378" s="6" t="s">
        <v>28</v>
      </c>
      <c r="V378" s="6" t="s">
        <v>82</v>
      </c>
      <c r="W378" t="s">
        <v>785</v>
      </c>
    </row>
    <row r="379" spans="1:23" x14ac:dyDescent="0.3">
      <c r="A379" s="6" t="s">
        <v>446</v>
      </c>
      <c r="B379" s="1">
        <v>45772</v>
      </c>
      <c r="C379" s="6" t="s">
        <v>90</v>
      </c>
      <c r="D379" s="6" t="s">
        <v>43</v>
      </c>
      <c r="E379" s="6" t="s">
        <v>44</v>
      </c>
      <c r="F379" s="6" t="s">
        <v>24</v>
      </c>
      <c r="G379" s="6" t="s">
        <v>98</v>
      </c>
      <c r="H379" s="6" t="s">
        <v>26</v>
      </c>
      <c r="I379" s="6" t="s">
        <v>52</v>
      </c>
      <c r="J379" s="6" t="s">
        <v>43</v>
      </c>
      <c r="K379" s="6" t="s">
        <v>48</v>
      </c>
      <c r="L379" s="6" t="s">
        <v>54</v>
      </c>
      <c r="M379" s="6" t="s">
        <v>32</v>
      </c>
      <c r="N379" s="6" t="s">
        <v>28</v>
      </c>
      <c r="O379" s="6" t="s">
        <v>48</v>
      </c>
      <c r="P379" s="6" t="s">
        <v>48</v>
      </c>
      <c r="Q379" s="6" t="s">
        <v>48</v>
      </c>
      <c r="R379" s="6" t="s">
        <v>43</v>
      </c>
      <c r="S379" s="6" t="s">
        <v>54</v>
      </c>
      <c r="T379" s="6" t="s">
        <v>48</v>
      </c>
      <c r="U379" s="6" t="s">
        <v>118</v>
      </c>
      <c r="V379" s="6" t="s">
        <v>82</v>
      </c>
      <c r="W379" t="s">
        <v>785</v>
      </c>
    </row>
    <row r="380" spans="1:23" x14ac:dyDescent="0.3">
      <c r="A380" s="6" t="s">
        <v>447</v>
      </c>
      <c r="B380" s="1">
        <v>45772</v>
      </c>
      <c r="C380" s="6" t="s">
        <v>343</v>
      </c>
      <c r="D380" s="6" t="s">
        <v>34</v>
      </c>
      <c r="E380" s="6" t="s">
        <v>35</v>
      </c>
      <c r="F380" s="6" t="s">
        <v>24</v>
      </c>
      <c r="G380" s="6" t="s">
        <v>61</v>
      </c>
      <c r="H380" s="6" t="s">
        <v>48</v>
      </c>
      <c r="I380" s="6" t="s">
        <v>38</v>
      </c>
      <c r="J380" s="6" t="s">
        <v>34</v>
      </c>
      <c r="K380" s="6" t="s">
        <v>48</v>
      </c>
      <c r="L380" s="6" t="s">
        <v>54</v>
      </c>
      <c r="M380" s="6" t="s">
        <v>48</v>
      </c>
      <c r="N380" s="6" t="s">
        <v>28</v>
      </c>
      <c r="O380" s="6" t="s">
        <v>26</v>
      </c>
      <c r="P380" s="6" t="s">
        <v>27</v>
      </c>
      <c r="Q380" s="6" t="s">
        <v>31</v>
      </c>
      <c r="R380" s="6" t="s">
        <v>34</v>
      </c>
      <c r="S380" s="6" t="s">
        <v>54</v>
      </c>
      <c r="T380" s="6" t="s">
        <v>29</v>
      </c>
      <c r="U380" s="6" t="s">
        <v>28</v>
      </c>
      <c r="V380" s="6" t="s">
        <v>137</v>
      </c>
      <c r="W380" t="s">
        <v>785</v>
      </c>
    </row>
    <row r="381" spans="1:23" x14ac:dyDescent="0.3">
      <c r="A381" s="6" t="s">
        <v>448</v>
      </c>
      <c r="B381" s="1">
        <v>45772</v>
      </c>
      <c r="C381" s="6" t="s">
        <v>343</v>
      </c>
      <c r="D381" s="6" t="s">
        <v>34</v>
      </c>
      <c r="E381" s="6" t="s">
        <v>35</v>
      </c>
      <c r="F381" s="6" t="s">
        <v>24</v>
      </c>
      <c r="G381" s="6" t="s">
        <v>61</v>
      </c>
      <c r="H381" s="6" t="s">
        <v>48</v>
      </c>
      <c r="I381" s="6" t="s">
        <v>38</v>
      </c>
      <c r="J381" s="6" t="s">
        <v>34</v>
      </c>
      <c r="K381" s="6" t="s">
        <v>48</v>
      </c>
      <c r="L381" s="6" t="s">
        <v>54</v>
      </c>
      <c r="M381" s="6" t="s">
        <v>48</v>
      </c>
      <c r="N381" s="6" t="s">
        <v>28</v>
      </c>
      <c r="O381" s="6" t="s">
        <v>48</v>
      </c>
      <c r="P381" s="6" t="s">
        <v>48</v>
      </c>
      <c r="Q381" s="6" t="s">
        <v>48</v>
      </c>
      <c r="R381" s="6" t="s">
        <v>34</v>
      </c>
      <c r="S381" s="6" t="s">
        <v>54</v>
      </c>
      <c r="T381" s="6" t="s">
        <v>48</v>
      </c>
      <c r="U381" s="6" t="s">
        <v>77</v>
      </c>
      <c r="V381" s="6" t="s">
        <v>137</v>
      </c>
      <c r="W381" t="s">
        <v>785</v>
      </c>
    </row>
    <row r="382" spans="1:23" x14ac:dyDescent="0.3">
      <c r="A382" s="6" t="s">
        <v>449</v>
      </c>
      <c r="B382" s="1">
        <v>45772</v>
      </c>
      <c r="C382" s="6" t="s">
        <v>343</v>
      </c>
      <c r="D382" s="6" t="s">
        <v>34</v>
      </c>
      <c r="E382" s="6" t="s">
        <v>35</v>
      </c>
      <c r="F382" s="6" t="s">
        <v>24</v>
      </c>
      <c r="G382" s="6" t="s">
        <v>61</v>
      </c>
      <c r="H382" s="6" t="s">
        <v>48</v>
      </c>
      <c r="I382" s="6" t="s">
        <v>38</v>
      </c>
      <c r="J382" s="6" t="s">
        <v>34</v>
      </c>
      <c r="K382" s="6" t="s">
        <v>48</v>
      </c>
      <c r="L382" s="6" t="s">
        <v>54</v>
      </c>
      <c r="M382" s="6" t="s">
        <v>48</v>
      </c>
      <c r="N382" s="6" t="s">
        <v>28</v>
      </c>
      <c r="O382" s="6" t="s">
        <v>30</v>
      </c>
      <c r="P382" s="6" t="s">
        <v>45</v>
      </c>
      <c r="Q382" s="6" t="s">
        <v>31</v>
      </c>
      <c r="R382" s="6" t="s">
        <v>34</v>
      </c>
      <c r="S382" s="6" t="s">
        <v>54</v>
      </c>
      <c r="T382" s="6" t="s">
        <v>32</v>
      </c>
      <c r="U382" s="6" t="s">
        <v>28</v>
      </c>
      <c r="V382" s="6" t="s">
        <v>137</v>
      </c>
      <c r="W382" t="s">
        <v>785</v>
      </c>
    </row>
    <row r="383" spans="1:23" x14ac:dyDescent="0.3">
      <c r="A383" s="6" t="s">
        <v>450</v>
      </c>
      <c r="B383" s="1">
        <v>45772</v>
      </c>
      <c r="C383" s="6" t="s">
        <v>57</v>
      </c>
      <c r="D383" s="6" t="s">
        <v>43</v>
      </c>
      <c r="E383" s="6" t="s">
        <v>23</v>
      </c>
      <c r="F383" s="6" t="s">
        <v>24</v>
      </c>
      <c r="G383" s="6" t="s">
        <v>86</v>
      </c>
      <c r="H383" s="6" t="s">
        <v>48</v>
      </c>
      <c r="I383" s="6" t="s">
        <v>27</v>
      </c>
      <c r="J383" s="6" t="s">
        <v>43</v>
      </c>
      <c r="K383" s="6" t="s">
        <v>48</v>
      </c>
      <c r="L383" s="6" t="s">
        <v>54</v>
      </c>
      <c r="M383" s="6" t="s">
        <v>48</v>
      </c>
      <c r="N383" s="6" t="s">
        <v>28</v>
      </c>
      <c r="O383" s="6" t="s">
        <v>48</v>
      </c>
      <c r="P383" s="6" t="s">
        <v>48</v>
      </c>
      <c r="Q383" s="6" t="s">
        <v>48</v>
      </c>
      <c r="R383" s="6" t="s">
        <v>43</v>
      </c>
      <c r="S383" s="6" t="s">
        <v>54</v>
      </c>
      <c r="T383" s="6" t="s">
        <v>48</v>
      </c>
      <c r="U383" s="6" t="s">
        <v>77</v>
      </c>
      <c r="V383" s="6" t="s">
        <v>146</v>
      </c>
      <c r="W383" t="s">
        <v>785</v>
      </c>
    </row>
    <row r="384" spans="1:23" x14ac:dyDescent="0.3">
      <c r="A384" s="6" t="s">
        <v>450</v>
      </c>
      <c r="B384" s="1">
        <v>45772</v>
      </c>
      <c r="C384" s="6" t="s">
        <v>57</v>
      </c>
      <c r="D384" s="6" t="s">
        <v>43</v>
      </c>
      <c r="E384" s="6" t="s">
        <v>23</v>
      </c>
      <c r="F384" s="6" t="s">
        <v>24</v>
      </c>
      <c r="G384" s="6" t="s">
        <v>86</v>
      </c>
      <c r="H384" s="6" t="s">
        <v>48</v>
      </c>
      <c r="I384" s="6" t="s">
        <v>27</v>
      </c>
      <c r="J384" s="6" t="s">
        <v>43</v>
      </c>
      <c r="K384" s="6" t="s">
        <v>48</v>
      </c>
      <c r="L384" s="6" t="s">
        <v>54</v>
      </c>
      <c r="M384" s="6" t="s">
        <v>48</v>
      </c>
      <c r="N384" s="6" t="s">
        <v>28</v>
      </c>
      <c r="O384" s="6" t="s">
        <v>48</v>
      </c>
      <c r="P384" s="6" t="s">
        <v>48</v>
      </c>
      <c r="Q384" s="6" t="s">
        <v>48</v>
      </c>
      <c r="R384" s="6" t="s">
        <v>43</v>
      </c>
      <c r="S384" s="6" t="s">
        <v>54</v>
      </c>
      <c r="T384" s="6" t="s">
        <v>48</v>
      </c>
      <c r="U384" s="6" t="s">
        <v>77</v>
      </c>
      <c r="V384" s="6" t="s">
        <v>82</v>
      </c>
      <c r="W384" t="s">
        <v>785</v>
      </c>
    </row>
    <row r="385" spans="1:23" x14ac:dyDescent="0.3">
      <c r="A385" s="6" t="s">
        <v>450</v>
      </c>
      <c r="B385" s="1">
        <v>45772</v>
      </c>
      <c r="C385" s="6" t="s">
        <v>57</v>
      </c>
      <c r="D385" s="6" t="s">
        <v>43</v>
      </c>
      <c r="E385" s="6" t="s">
        <v>23</v>
      </c>
      <c r="F385" s="6" t="s">
        <v>24</v>
      </c>
      <c r="G385" s="6" t="s">
        <v>86</v>
      </c>
      <c r="H385" s="6" t="s">
        <v>48</v>
      </c>
      <c r="I385" s="6" t="s">
        <v>27</v>
      </c>
      <c r="J385" s="6" t="s">
        <v>43</v>
      </c>
      <c r="K385" s="6" t="s">
        <v>48</v>
      </c>
      <c r="L385" s="6" t="s">
        <v>54</v>
      </c>
      <c r="M385" s="6" t="s">
        <v>48</v>
      </c>
      <c r="N385" s="6" t="s">
        <v>28</v>
      </c>
      <c r="O385" s="6" t="s">
        <v>48</v>
      </c>
      <c r="P385" s="6" t="s">
        <v>48</v>
      </c>
      <c r="Q385" s="6" t="s">
        <v>48</v>
      </c>
      <c r="R385" s="6" t="s">
        <v>43</v>
      </c>
      <c r="S385" s="6" t="s">
        <v>54</v>
      </c>
      <c r="T385" s="6" t="s">
        <v>48</v>
      </c>
      <c r="U385" s="6" t="s">
        <v>77</v>
      </c>
      <c r="V385" s="6" t="s">
        <v>137</v>
      </c>
      <c r="W385" t="s">
        <v>785</v>
      </c>
    </row>
    <row r="386" spans="1:23" x14ac:dyDescent="0.3">
      <c r="A386" s="6" t="s">
        <v>451</v>
      </c>
      <c r="B386" s="1">
        <v>45772</v>
      </c>
      <c r="C386" s="6" t="s">
        <v>21</v>
      </c>
      <c r="D386" s="6" t="s">
        <v>22</v>
      </c>
      <c r="E386" s="6" t="s">
        <v>46</v>
      </c>
      <c r="F386" s="6" t="s">
        <v>24</v>
      </c>
      <c r="G386" s="6" t="s">
        <v>111</v>
      </c>
      <c r="H386" s="6" t="s">
        <v>26</v>
      </c>
      <c r="I386" s="6" t="s">
        <v>38</v>
      </c>
      <c r="J386" s="6" t="s">
        <v>22</v>
      </c>
      <c r="K386" s="6" t="s">
        <v>48</v>
      </c>
      <c r="L386" s="6" t="s">
        <v>54</v>
      </c>
      <c r="M386" s="6" t="s">
        <v>29</v>
      </c>
      <c r="N386" s="6" t="s">
        <v>28</v>
      </c>
      <c r="O386" s="6" t="s">
        <v>26</v>
      </c>
      <c r="P386" s="6" t="s">
        <v>788</v>
      </c>
      <c r="Q386" s="6" t="s">
        <v>31</v>
      </c>
      <c r="R386" s="6" t="s">
        <v>22</v>
      </c>
      <c r="S386" s="6" t="s">
        <v>54</v>
      </c>
      <c r="T386" s="6" t="s">
        <v>29</v>
      </c>
      <c r="U386" s="6" t="s">
        <v>28</v>
      </c>
      <c r="V386" s="6" t="s">
        <v>82</v>
      </c>
      <c r="W386" t="s">
        <v>785</v>
      </c>
    </row>
    <row r="387" spans="1:23" x14ac:dyDescent="0.3">
      <c r="A387" s="6" t="s">
        <v>451</v>
      </c>
      <c r="B387" s="1">
        <v>45772</v>
      </c>
      <c r="C387" s="6" t="s">
        <v>21</v>
      </c>
      <c r="D387" s="6" t="s">
        <v>22</v>
      </c>
      <c r="E387" s="6" t="s">
        <v>46</v>
      </c>
      <c r="F387" s="6" t="s">
        <v>24</v>
      </c>
      <c r="G387" s="6" t="s">
        <v>111</v>
      </c>
      <c r="H387" s="6" t="s">
        <v>26</v>
      </c>
      <c r="I387" s="6" t="s">
        <v>38</v>
      </c>
      <c r="J387" s="6" t="s">
        <v>22</v>
      </c>
      <c r="K387" s="6" t="s">
        <v>48</v>
      </c>
      <c r="L387" s="6" t="s">
        <v>54</v>
      </c>
      <c r="M387" s="6" t="s">
        <v>29</v>
      </c>
      <c r="N387" s="6" t="s">
        <v>28</v>
      </c>
      <c r="O387" s="6" t="s">
        <v>26</v>
      </c>
      <c r="P387" s="6" t="s">
        <v>788</v>
      </c>
      <c r="Q387" s="6" t="s">
        <v>31</v>
      </c>
      <c r="R387" s="6" t="s">
        <v>22</v>
      </c>
      <c r="S387" s="6" t="s">
        <v>54</v>
      </c>
      <c r="T387" s="6" t="s">
        <v>29</v>
      </c>
      <c r="U387" s="6" t="s">
        <v>28</v>
      </c>
      <c r="V387" s="6" t="s">
        <v>146</v>
      </c>
      <c r="W387" t="s">
        <v>785</v>
      </c>
    </row>
    <row r="388" spans="1:23" x14ac:dyDescent="0.3">
      <c r="A388" s="6" t="s">
        <v>452</v>
      </c>
      <c r="B388" s="1">
        <v>45773</v>
      </c>
      <c r="C388" s="6" t="s">
        <v>343</v>
      </c>
      <c r="D388" s="6" t="s">
        <v>95</v>
      </c>
      <c r="E388" s="6" t="s">
        <v>64</v>
      </c>
      <c r="F388" s="6" t="s">
        <v>24</v>
      </c>
      <c r="G388" s="6" t="s">
        <v>69</v>
      </c>
      <c r="H388" s="6" t="s">
        <v>48</v>
      </c>
      <c r="I388" s="6" t="s">
        <v>27</v>
      </c>
      <c r="J388" s="6" t="s">
        <v>95</v>
      </c>
      <c r="K388" s="6" t="s">
        <v>48</v>
      </c>
      <c r="L388" s="6" t="s">
        <v>152</v>
      </c>
      <c r="M388" s="6" t="s">
        <v>48</v>
      </c>
      <c r="N388" s="6" t="s">
        <v>28</v>
      </c>
      <c r="O388" s="6" t="s">
        <v>26</v>
      </c>
      <c r="P388" s="6" t="s">
        <v>48</v>
      </c>
      <c r="Q388" s="6" t="s">
        <v>31</v>
      </c>
      <c r="R388" s="6" t="s">
        <v>95</v>
      </c>
      <c r="S388" s="6" t="s">
        <v>54</v>
      </c>
      <c r="T388" s="6" t="s">
        <v>32</v>
      </c>
      <c r="U388" s="6" t="s">
        <v>28</v>
      </c>
      <c r="V388" s="6" t="s">
        <v>82</v>
      </c>
      <c r="W388" t="s">
        <v>785</v>
      </c>
    </row>
    <row r="389" spans="1:23" x14ac:dyDescent="0.3">
      <c r="A389" s="6" t="s">
        <v>452</v>
      </c>
      <c r="B389" s="1">
        <v>45773</v>
      </c>
      <c r="C389" s="6" t="s">
        <v>343</v>
      </c>
      <c r="D389" s="6" t="s">
        <v>95</v>
      </c>
      <c r="E389" s="6" t="s">
        <v>64</v>
      </c>
      <c r="F389" s="6" t="s">
        <v>24</v>
      </c>
      <c r="G389" s="6" t="s">
        <v>69</v>
      </c>
      <c r="H389" s="6" t="s">
        <v>48</v>
      </c>
      <c r="I389" s="6" t="s">
        <v>27</v>
      </c>
      <c r="J389" s="6" t="s">
        <v>95</v>
      </c>
      <c r="K389" s="6" t="s">
        <v>48</v>
      </c>
      <c r="L389" s="6" t="s">
        <v>152</v>
      </c>
      <c r="M389" s="6" t="s">
        <v>48</v>
      </c>
      <c r="N389" s="6" t="s">
        <v>28</v>
      </c>
      <c r="O389" s="6" t="s">
        <v>26</v>
      </c>
      <c r="P389" s="6" t="s">
        <v>48</v>
      </c>
      <c r="Q389" s="6" t="s">
        <v>31</v>
      </c>
      <c r="R389" s="6" t="s">
        <v>95</v>
      </c>
      <c r="S389" s="6" t="s">
        <v>54</v>
      </c>
      <c r="T389" s="6" t="s">
        <v>32</v>
      </c>
      <c r="U389" s="6" t="s">
        <v>28</v>
      </c>
      <c r="V389" s="6" t="s">
        <v>146</v>
      </c>
      <c r="W389" t="s">
        <v>785</v>
      </c>
    </row>
    <row r="390" spans="1:23" x14ac:dyDescent="0.3">
      <c r="A390" s="6" t="s">
        <v>452</v>
      </c>
      <c r="B390" s="1">
        <v>45773</v>
      </c>
      <c r="C390" s="6" t="s">
        <v>343</v>
      </c>
      <c r="D390" s="6" t="s">
        <v>95</v>
      </c>
      <c r="E390" s="6" t="s">
        <v>64</v>
      </c>
      <c r="F390" s="6" t="s">
        <v>24</v>
      </c>
      <c r="G390" s="6" t="s">
        <v>69</v>
      </c>
      <c r="H390" s="6" t="s">
        <v>48</v>
      </c>
      <c r="I390" s="6" t="s">
        <v>27</v>
      </c>
      <c r="J390" s="6" t="s">
        <v>95</v>
      </c>
      <c r="K390" s="6" t="s">
        <v>48</v>
      </c>
      <c r="L390" s="6" t="s">
        <v>152</v>
      </c>
      <c r="M390" s="6" t="s">
        <v>48</v>
      </c>
      <c r="N390" s="6" t="s">
        <v>28</v>
      </c>
      <c r="O390" s="6" t="s">
        <v>26</v>
      </c>
      <c r="P390" s="6" t="s">
        <v>48</v>
      </c>
      <c r="Q390" s="6" t="s">
        <v>31</v>
      </c>
      <c r="R390" s="6" t="s">
        <v>95</v>
      </c>
      <c r="S390" s="6" t="s">
        <v>54</v>
      </c>
      <c r="T390" s="6" t="s">
        <v>32</v>
      </c>
      <c r="U390" s="6" t="s">
        <v>28</v>
      </c>
      <c r="V390" s="6" t="s">
        <v>137</v>
      </c>
      <c r="W390" t="s">
        <v>785</v>
      </c>
    </row>
    <row r="391" spans="1:23" x14ac:dyDescent="0.3">
      <c r="A391" s="6" t="s">
        <v>453</v>
      </c>
      <c r="B391" s="1">
        <v>45773</v>
      </c>
      <c r="C391" s="6" t="s">
        <v>33</v>
      </c>
      <c r="D391" s="6" t="s">
        <v>95</v>
      </c>
      <c r="E391" s="6" t="s">
        <v>23</v>
      </c>
      <c r="F391" s="6" t="s">
        <v>24</v>
      </c>
      <c r="G391" s="6" t="s">
        <v>69</v>
      </c>
      <c r="H391" s="6" t="s">
        <v>48</v>
      </c>
      <c r="I391" s="6" t="s">
        <v>58</v>
      </c>
      <c r="J391" s="6" t="s">
        <v>95</v>
      </c>
      <c r="K391" s="6" t="s">
        <v>48</v>
      </c>
      <c r="L391" s="6" t="s">
        <v>705</v>
      </c>
      <c r="M391" s="6" t="s">
        <v>48</v>
      </c>
      <c r="N391" s="6" t="s">
        <v>28</v>
      </c>
      <c r="O391" s="6" t="s">
        <v>26</v>
      </c>
      <c r="P391" s="6" t="s">
        <v>37</v>
      </c>
      <c r="Q391" s="6" t="s">
        <v>31</v>
      </c>
      <c r="R391" s="6" t="s">
        <v>95</v>
      </c>
      <c r="S391" s="6" t="s">
        <v>54</v>
      </c>
      <c r="T391" s="6" t="s">
        <v>29</v>
      </c>
      <c r="U391" s="6" t="s">
        <v>28</v>
      </c>
      <c r="V391" s="6" t="s">
        <v>137</v>
      </c>
      <c r="W391" t="s">
        <v>785</v>
      </c>
    </row>
    <row r="392" spans="1:23" x14ac:dyDescent="0.3">
      <c r="A392" s="6" t="s">
        <v>453</v>
      </c>
      <c r="B392" s="1">
        <v>45773</v>
      </c>
      <c r="C392" s="6" t="s">
        <v>33</v>
      </c>
      <c r="D392" s="6" t="s">
        <v>95</v>
      </c>
      <c r="E392" s="6" t="s">
        <v>23</v>
      </c>
      <c r="F392" s="6" t="s">
        <v>24</v>
      </c>
      <c r="G392" s="6" t="s">
        <v>69</v>
      </c>
      <c r="H392" s="6" t="s">
        <v>48</v>
      </c>
      <c r="I392" s="6" t="s">
        <v>58</v>
      </c>
      <c r="J392" s="6" t="s">
        <v>95</v>
      </c>
      <c r="K392" s="6" t="s">
        <v>48</v>
      </c>
      <c r="L392" s="6" t="s">
        <v>705</v>
      </c>
      <c r="M392" s="6" t="s">
        <v>48</v>
      </c>
      <c r="N392" s="6" t="s">
        <v>28</v>
      </c>
      <c r="O392" s="6" t="s">
        <v>26</v>
      </c>
      <c r="P392" s="6" t="s">
        <v>37</v>
      </c>
      <c r="Q392" s="6" t="s">
        <v>31</v>
      </c>
      <c r="R392" s="6" t="s">
        <v>95</v>
      </c>
      <c r="S392" s="6" t="s">
        <v>54</v>
      </c>
      <c r="T392" s="6" t="s">
        <v>29</v>
      </c>
      <c r="U392" s="6" t="s">
        <v>28</v>
      </c>
      <c r="V392" s="6" t="s">
        <v>82</v>
      </c>
      <c r="W392" t="s">
        <v>785</v>
      </c>
    </row>
    <row r="393" spans="1:23" x14ac:dyDescent="0.3">
      <c r="A393" s="6" t="s">
        <v>453</v>
      </c>
      <c r="B393" s="1">
        <v>45773</v>
      </c>
      <c r="C393" s="6" t="s">
        <v>33</v>
      </c>
      <c r="D393" s="6" t="s">
        <v>95</v>
      </c>
      <c r="E393" s="6" t="s">
        <v>23</v>
      </c>
      <c r="F393" s="6" t="s">
        <v>24</v>
      </c>
      <c r="G393" s="6" t="s">
        <v>69</v>
      </c>
      <c r="H393" s="6" t="s">
        <v>48</v>
      </c>
      <c r="I393" s="6" t="s">
        <v>58</v>
      </c>
      <c r="J393" s="6" t="s">
        <v>95</v>
      </c>
      <c r="K393" s="6" t="s">
        <v>48</v>
      </c>
      <c r="L393" s="6" t="s">
        <v>705</v>
      </c>
      <c r="M393" s="6" t="s">
        <v>48</v>
      </c>
      <c r="N393" s="6" t="s">
        <v>28</v>
      </c>
      <c r="O393" s="6" t="s">
        <v>26</v>
      </c>
      <c r="P393" s="6" t="s">
        <v>37</v>
      </c>
      <c r="Q393" s="6" t="s">
        <v>31</v>
      </c>
      <c r="R393" s="6" t="s">
        <v>95</v>
      </c>
      <c r="S393" s="6" t="s">
        <v>54</v>
      </c>
      <c r="T393" s="6" t="s">
        <v>29</v>
      </c>
      <c r="U393" s="6" t="s">
        <v>28</v>
      </c>
      <c r="V393" s="6" t="s">
        <v>146</v>
      </c>
      <c r="W393" t="s">
        <v>785</v>
      </c>
    </row>
    <row r="394" spans="1:23" x14ac:dyDescent="0.3">
      <c r="A394" s="6" t="s">
        <v>454</v>
      </c>
      <c r="B394" s="1">
        <v>45773</v>
      </c>
      <c r="C394" s="6" t="s">
        <v>343</v>
      </c>
      <c r="D394" s="6" t="s">
        <v>95</v>
      </c>
      <c r="E394" s="6" t="s">
        <v>64</v>
      </c>
      <c r="F394" s="6" t="s">
        <v>24</v>
      </c>
      <c r="G394" s="6" t="s">
        <v>69</v>
      </c>
      <c r="H394" s="6" t="s">
        <v>48</v>
      </c>
      <c r="I394" s="6" t="s">
        <v>38</v>
      </c>
      <c r="J394" s="6" t="s">
        <v>49</v>
      </c>
      <c r="K394" s="6" t="s">
        <v>48</v>
      </c>
      <c r="L394" s="6" t="s">
        <v>152</v>
      </c>
      <c r="M394" s="6" t="s">
        <v>48</v>
      </c>
      <c r="N394" s="6" t="s">
        <v>28</v>
      </c>
      <c r="O394" s="6" t="s">
        <v>26</v>
      </c>
      <c r="P394" s="6" t="s">
        <v>52</v>
      </c>
      <c r="Q394" s="6" t="s">
        <v>31</v>
      </c>
      <c r="R394" s="6" t="s">
        <v>95</v>
      </c>
      <c r="S394" s="6" t="s">
        <v>54</v>
      </c>
      <c r="T394" s="6" t="s">
        <v>48</v>
      </c>
      <c r="U394" s="6" t="s">
        <v>28</v>
      </c>
      <c r="V394" s="6" t="s">
        <v>82</v>
      </c>
      <c r="W394" t="s">
        <v>785</v>
      </c>
    </row>
    <row r="395" spans="1:23" x14ac:dyDescent="0.3">
      <c r="A395" s="6" t="s">
        <v>454</v>
      </c>
      <c r="B395" s="1">
        <v>45773</v>
      </c>
      <c r="C395" s="6" t="s">
        <v>343</v>
      </c>
      <c r="D395" s="6" t="s">
        <v>95</v>
      </c>
      <c r="E395" s="6" t="s">
        <v>64</v>
      </c>
      <c r="F395" s="6" t="s">
        <v>24</v>
      </c>
      <c r="G395" s="6" t="s">
        <v>69</v>
      </c>
      <c r="H395" s="6" t="s">
        <v>48</v>
      </c>
      <c r="I395" s="6" t="s">
        <v>38</v>
      </c>
      <c r="J395" s="6" t="s">
        <v>49</v>
      </c>
      <c r="K395" s="6" t="s">
        <v>48</v>
      </c>
      <c r="L395" s="6" t="s">
        <v>152</v>
      </c>
      <c r="M395" s="6" t="s">
        <v>48</v>
      </c>
      <c r="N395" s="6" t="s">
        <v>28</v>
      </c>
      <c r="O395" s="6" t="s">
        <v>26</v>
      </c>
      <c r="P395" s="6" t="s">
        <v>52</v>
      </c>
      <c r="Q395" s="6" t="s">
        <v>31</v>
      </c>
      <c r="R395" s="6" t="s">
        <v>95</v>
      </c>
      <c r="S395" s="6" t="s">
        <v>54</v>
      </c>
      <c r="T395" s="6" t="s">
        <v>48</v>
      </c>
      <c r="U395" s="6" t="s">
        <v>28</v>
      </c>
      <c r="V395" s="6" t="s">
        <v>146</v>
      </c>
      <c r="W395" t="s">
        <v>785</v>
      </c>
    </row>
    <row r="396" spans="1:23" x14ac:dyDescent="0.3">
      <c r="A396" s="6" t="s">
        <v>455</v>
      </c>
      <c r="B396" s="1">
        <v>45773</v>
      </c>
      <c r="C396" s="6" t="s">
        <v>343</v>
      </c>
      <c r="D396" s="6" t="s">
        <v>95</v>
      </c>
      <c r="E396" s="6" t="s">
        <v>64</v>
      </c>
      <c r="F396" s="6" t="s">
        <v>24</v>
      </c>
      <c r="G396" s="6" t="s">
        <v>69</v>
      </c>
      <c r="H396" s="6" t="s">
        <v>48</v>
      </c>
      <c r="I396" s="6" t="s">
        <v>38</v>
      </c>
      <c r="J396" s="6" t="s">
        <v>49</v>
      </c>
      <c r="K396" s="6" t="s">
        <v>48</v>
      </c>
      <c r="L396" s="6" t="s">
        <v>152</v>
      </c>
      <c r="M396" s="6" t="s">
        <v>48</v>
      </c>
      <c r="N396" s="6" t="s">
        <v>28</v>
      </c>
      <c r="O396" s="6" t="s">
        <v>30</v>
      </c>
      <c r="P396" s="6" t="s">
        <v>48</v>
      </c>
      <c r="Q396" s="6" t="s">
        <v>31</v>
      </c>
      <c r="R396" s="6" t="s">
        <v>95</v>
      </c>
      <c r="S396" s="6" t="s">
        <v>54</v>
      </c>
      <c r="T396" s="6" t="s">
        <v>48</v>
      </c>
      <c r="U396" s="6" t="s">
        <v>28</v>
      </c>
      <c r="V396" s="6" t="s">
        <v>146</v>
      </c>
      <c r="W396" t="s">
        <v>785</v>
      </c>
    </row>
    <row r="397" spans="1:23" x14ac:dyDescent="0.3">
      <c r="A397" s="6" t="s">
        <v>455</v>
      </c>
      <c r="B397" s="1">
        <v>45773</v>
      </c>
      <c r="C397" s="6" t="s">
        <v>343</v>
      </c>
      <c r="D397" s="6" t="s">
        <v>95</v>
      </c>
      <c r="E397" s="6" t="s">
        <v>64</v>
      </c>
      <c r="F397" s="6" t="s">
        <v>24</v>
      </c>
      <c r="G397" s="6" t="s">
        <v>69</v>
      </c>
      <c r="H397" s="6" t="s">
        <v>48</v>
      </c>
      <c r="I397" s="6" t="s">
        <v>38</v>
      </c>
      <c r="J397" s="6" t="s">
        <v>49</v>
      </c>
      <c r="K397" s="6" t="s">
        <v>48</v>
      </c>
      <c r="L397" s="6" t="s">
        <v>152</v>
      </c>
      <c r="M397" s="6" t="s">
        <v>48</v>
      </c>
      <c r="N397" s="6" t="s">
        <v>28</v>
      </c>
      <c r="O397" s="6" t="s">
        <v>30</v>
      </c>
      <c r="P397" s="6" t="s">
        <v>48</v>
      </c>
      <c r="Q397" s="6" t="s">
        <v>31</v>
      </c>
      <c r="R397" s="6" t="s">
        <v>95</v>
      </c>
      <c r="S397" s="6" t="s">
        <v>54</v>
      </c>
      <c r="T397" s="6" t="s">
        <v>48</v>
      </c>
      <c r="U397" s="6" t="s">
        <v>28</v>
      </c>
      <c r="V397" s="6" t="s">
        <v>82</v>
      </c>
      <c r="W397" t="s">
        <v>785</v>
      </c>
    </row>
    <row r="398" spans="1:23" x14ac:dyDescent="0.3">
      <c r="A398" s="6" t="s">
        <v>456</v>
      </c>
      <c r="B398" s="1">
        <v>45773</v>
      </c>
      <c r="C398" s="6" t="s">
        <v>343</v>
      </c>
      <c r="D398" s="6" t="s">
        <v>22</v>
      </c>
      <c r="E398" s="6" t="s">
        <v>23</v>
      </c>
      <c r="F398" s="6" t="s">
        <v>24</v>
      </c>
      <c r="G398" s="6" t="s">
        <v>68</v>
      </c>
      <c r="H398" s="6" t="s">
        <v>48</v>
      </c>
      <c r="I398" s="6" t="s">
        <v>38</v>
      </c>
      <c r="J398" s="6" t="s">
        <v>22</v>
      </c>
      <c r="K398" s="6" t="s">
        <v>48</v>
      </c>
      <c r="L398" s="6" t="s">
        <v>54</v>
      </c>
      <c r="M398" s="6" t="s">
        <v>48</v>
      </c>
      <c r="N398" s="6" t="s">
        <v>28</v>
      </c>
      <c r="O398" s="6" t="s">
        <v>26</v>
      </c>
      <c r="P398" s="6" t="s">
        <v>52</v>
      </c>
      <c r="Q398" s="6" t="s">
        <v>31</v>
      </c>
      <c r="R398" s="6" t="s">
        <v>22</v>
      </c>
      <c r="S398" s="6" t="s">
        <v>154</v>
      </c>
      <c r="T398" s="6" t="s">
        <v>32</v>
      </c>
      <c r="U398" s="6" t="s">
        <v>28</v>
      </c>
      <c r="V398" s="6" t="s">
        <v>137</v>
      </c>
      <c r="W398" t="s">
        <v>785</v>
      </c>
    </row>
    <row r="399" spans="1:23" x14ac:dyDescent="0.3">
      <c r="A399" s="6" t="s">
        <v>456</v>
      </c>
      <c r="B399" s="1">
        <v>45773</v>
      </c>
      <c r="C399" s="6" t="s">
        <v>343</v>
      </c>
      <c r="D399" s="6" t="s">
        <v>22</v>
      </c>
      <c r="E399" s="6" t="s">
        <v>23</v>
      </c>
      <c r="F399" s="6" t="s">
        <v>24</v>
      </c>
      <c r="G399" s="6" t="s">
        <v>68</v>
      </c>
      <c r="H399" s="6" t="s">
        <v>48</v>
      </c>
      <c r="I399" s="6" t="s">
        <v>38</v>
      </c>
      <c r="J399" s="6" t="s">
        <v>22</v>
      </c>
      <c r="K399" s="6" t="s">
        <v>48</v>
      </c>
      <c r="L399" s="6" t="s">
        <v>54</v>
      </c>
      <c r="M399" s="6" t="s">
        <v>48</v>
      </c>
      <c r="N399" s="6" t="s">
        <v>28</v>
      </c>
      <c r="O399" s="6" t="s">
        <v>26</v>
      </c>
      <c r="P399" s="6" t="s">
        <v>52</v>
      </c>
      <c r="Q399" s="6" t="s">
        <v>31</v>
      </c>
      <c r="R399" s="6" t="s">
        <v>22</v>
      </c>
      <c r="S399" s="6" t="s">
        <v>154</v>
      </c>
      <c r="T399" s="6" t="s">
        <v>32</v>
      </c>
      <c r="U399" s="6" t="s">
        <v>28</v>
      </c>
      <c r="V399" s="6" t="s">
        <v>82</v>
      </c>
      <c r="W399" t="s">
        <v>785</v>
      </c>
    </row>
    <row r="400" spans="1:23" x14ac:dyDescent="0.3">
      <c r="A400" s="6" t="s">
        <v>457</v>
      </c>
      <c r="B400" s="1">
        <v>45775</v>
      </c>
      <c r="C400" s="6" t="s">
        <v>343</v>
      </c>
      <c r="D400" s="6" t="s">
        <v>40</v>
      </c>
      <c r="E400" s="6" t="s">
        <v>68</v>
      </c>
      <c r="F400" s="6" t="s">
        <v>24</v>
      </c>
      <c r="G400" s="6" t="s">
        <v>71</v>
      </c>
      <c r="H400" s="6" t="s">
        <v>48</v>
      </c>
      <c r="I400" s="6" t="s">
        <v>48</v>
      </c>
      <c r="J400" s="6" t="s">
        <v>40</v>
      </c>
      <c r="K400" s="6" t="s">
        <v>48</v>
      </c>
      <c r="L400" s="6" t="s">
        <v>54</v>
      </c>
      <c r="M400" s="6" t="s">
        <v>48</v>
      </c>
      <c r="N400" s="6" t="s">
        <v>28</v>
      </c>
      <c r="O400" s="6" t="s">
        <v>26</v>
      </c>
      <c r="P400" s="6" t="s">
        <v>788</v>
      </c>
      <c r="Q400" s="6" t="s">
        <v>31</v>
      </c>
      <c r="R400" s="6" t="s">
        <v>40</v>
      </c>
      <c r="S400" s="6" t="s">
        <v>54</v>
      </c>
      <c r="T400" s="6" t="s">
        <v>48</v>
      </c>
      <c r="U400" s="6" t="s">
        <v>28</v>
      </c>
      <c r="V400" s="6" t="s">
        <v>82</v>
      </c>
      <c r="W400" t="s">
        <v>785</v>
      </c>
    </row>
    <row r="401" spans="1:23" x14ac:dyDescent="0.3">
      <c r="A401" s="6" t="s">
        <v>458</v>
      </c>
      <c r="B401" s="1">
        <v>45776</v>
      </c>
      <c r="C401" s="6" t="s">
        <v>33</v>
      </c>
      <c r="D401" s="6" t="s">
        <v>95</v>
      </c>
      <c r="E401" s="6" t="s">
        <v>35</v>
      </c>
      <c r="F401" s="6" t="s">
        <v>24</v>
      </c>
      <c r="G401" s="6" t="s">
        <v>47</v>
      </c>
      <c r="H401" s="6" t="s">
        <v>26</v>
      </c>
      <c r="I401" s="6" t="s">
        <v>27</v>
      </c>
      <c r="J401" s="6" t="s">
        <v>95</v>
      </c>
      <c r="K401" s="6" t="s">
        <v>115</v>
      </c>
      <c r="L401" s="6" t="s">
        <v>54</v>
      </c>
      <c r="M401" s="6" t="s">
        <v>29</v>
      </c>
      <c r="N401" s="6" t="s">
        <v>28</v>
      </c>
      <c r="O401" s="6" t="s">
        <v>48</v>
      </c>
      <c r="P401" s="6" t="s">
        <v>48</v>
      </c>
      <c r="Q401" s="6" t="s">
        <v>48</v>
      </c>
      <c r="R401" s="6" t="s">
        <v>95</v>
      </c>
      <c r="S401" s="6" t="s">
        <v>54</v>
      </c>
      <c r="T401" s="6" t="s">
        <v>48</v>
      </c>
      <c r="U401" s="6" t="s">
        <v>124</v>
      </c>
      <c r="V401" s="6" t="s">
        <v>82</v>
      </c>
      <c r="W401" t="s">
        <v>785</v>
      </c>
    </row>
    <row r="402" spans="1:23" x14ac:dyDescent="0.3">
      <c r="A402" s="6" t="s">
        <v>459</v>
      </c>
      <c r="B402" s="1">
        <v>45776</v>
      </c>
      <c r="C402" s="6" t="s">
        <v>84</v>
      </c>
      <c r="D402" s="6" t="s">
        <v>48</v>
      </c>
      <c r="E402" s="6" t="s">
        <v>46</v>
      </c>
      <c r="F402" s="6" t="s">
        <v>24</v>
      </c>
      <c r="G402" s="6" t="s">
        <v>69</v>
      </c>
      <c r="H402" s="6" t="s">
        <v>26</v>
      </c>
      <c r="I402" s="6" t="s">
        <v>58</v>
      </c>
      <c r="J402" s="6" t="s">
        <v>93</v>
      </c>
      <c r="K402" s="6" t="s">
        <v>48</v>
      </c>
      <c r="L402" s="6" t="s">
        <v>54</v>
      </c>
      <c r="M402" s="6" t="s">
        <v>55</v>
      </c>
      <c r="N402" s="6" t="s">
        <v>28</v>
      </c>
      <c r="O402" s="6" t="s">
        <v>30</v>
      </c>
      <c r="P402" s="6" t="s">
        <v>48</v>
      </c>
      <c r="Q402" s="6" t="s">
        <v>48</v>
      </c>
      <c r="R402" s="6" t="s">
        <v>93</v>
      </c>
      <c r="S402" s="6" t="s">
        <v>54</v>
      </c>
      <c r="T402" s="6" t="s">
        <v>48</v>
      </c>
      <c r="U402" s="6" t="s">
        <v>28</v>
      </c>
      <c r="V402" s="6" t="s">
        <v>82</v>
      </c>
      <c r="W402" t="s">
        <v>785</v>
      </c>
    </row>
    <row r="403" spans="1:23" x14ac:dyDescent="0.3">
      <c r="A403" s="6" t="s">
        <v>460</v>
      </c>
      <c r="B403" s="1">
        <v>45777</v>
      </c>
      <c r="C403" s="6" t="s">
        <v>33</v>
      </c>
      <c r="D403" s="6" t="s">
        <v>40</v>
      </c>
      <c r="E403" s="6" t="s">
        <v>68</v>
      </c>
      <c r="F403" s="6" t="s">
        <v>24</v>
      </c>
      <c r="G403" s="6" t="s">
        <v>97</v>
      </c>
      <c r="H403" s="6" t="s">
        <v>26</v>
      </c>
      <c r="I403" s="6" t="s">
        <v>42</v>
      </c>
      <c r="J403" s="6" t="s">
        <v>40</v>
      </c>
      <c r="K403" s="6" t="s">
        <v>115</v>
      </c>
      <c r="L403" s="6" t="s">
        <v>54</v>
      </c>
      <c r="M403" s="6" t="s">
        <v>142</v>
      </c>
      <c r="N403" s="6" t="s">
        <v>28</v>
      </c>
      <c r="O403" s="6" t="s">
        <v>30</v>
      </c>
      <c r="P403" s="6" t="s">
        <v>52</v>
      </c>
      <c r="Q403" s="6" t="s">
        <v>31</v>
      </c>
      <c r="R403" s="6" t="s">
        <v>40</v>
      </c>
      <c r="S403" s="6" t="s">
        <v>54</v>
      </c>
      <c r="T403" s="6" t="s">
        <v>55</v>
      </c>
      <c r="U403" s="6" t="s">
        <v>28</v>
      </c>
      <c r="V403" s="6" t="s">
        <v>82</v>
      </c>
      <c r="W403" t="s">
        <v>785</v>
      </c>
    </row>
    <row r="404" spans="1:23" x14ac:dyDescent="0.3">
      <c r="A404" s="6" t="s">
        <v>460</v>
      </c>
      <c r="B404" s="1">
        <v>45777</v>
      </c>
      <c r="C404" s="6" t="s">
        <v>33</v>
      </c>
      <c r="D404" s="6" t="s">
        <v>40</v>
      </c>
      <c r="E404" s="6" t="s">
        <v>68</v>
      </c>
      <c r="F404" s="6" t="s">
        <v>24</v>
      </c>
      <c r="G404" s="6" t="s">
        <v>97</v>
      </c>
      <c r="H404" s="6" t="s">
        <v>26</v>
      </c>
      <c r="I404" s="6" t="s">
        <v>42</v>
      </c>
      <c r="J404" s="6" t="s">
        <v>40</v>
      </c>
      <c r="K404" s="6" t="s">
        <v>115</v>
      </c>
      <c r="L404" s="6" t="s">
        <v>54</v>
      </c>
      <c r="M404" s="6" t="s">
        <v>142</v>
      </c>
      <c r="N404" s="6" t="s">
        <v>28</v>
      </c>
      <c r="O404" s="6" t="s">
        <v>30</v>
      </c>
      <c r="P404" s="6" t="s">
        <v>52</v>
      </c>
      <c r="Q404" s="6" t="s">
        <v>31</v>
      </c>
      <c r="R404" s="6" t="s">
        <v>40</v>
      </c>
      <c r="S404" s="6" t="s">
        <v>54</v>
      </c>
      <c r="T404" s="6" t="s">
        <v>55</v>
      </c>
      <c r="U404" s="6" t="s">
        <v>28</v>
      </c>
      <c r="V404" s="6" t="s">
        <v>137</v>
      </c>
      <c r="W404" t="s">
        <v>785</v>
      </c>
    </row>
    <row r="405" spans="1:23" x14ac:dyDescent="0.3">
      <c r="A405" s="6" t="s">
        <v>460</v>
      </c>
      <c r="B405" s="1">
        <v>45777</v>
      </c>
      <c r="C405" s="6" t="s">
        <v>33</v>
      </c>
      <c r="D405" s="6" t="s">
        <v>40</v>
      </c>
      <c r="E405" s="6" t="s">
        <v>68</v>
      </c>
      <c r="F405" s="6" t="s">
        <v>24</v>
      </c>
      <c r="G405" s="6" t="s">
        <v>97</v>
      </c>
      <c r="H405" s="6" t="s">
        <v>26</v>
      </c>
      <c r="I405" s="6" t="s">
        <v>42</v>
      </c>
      <c r="J405" s="6" t="s">
        <v>40</v>
      </c>
      <c r="K405" s="6" t="s">
        <v>115</v>
      </c>
      <c r="L405" s="6" t="s">
        <v>54</v>
      </c>
      <c r="M405" s="6" t="s">
        <v>142</v>
      </c>
      <c r="N405" s="6" t="s">
        <v>28</v>
      </c>
      <c r="O405" s="6" t="s">
        <v>30</v>
      </c>
      <c r="P405" s="6" t="s">
        <v>52</v>
      </c>
      <c r="Q405" s="6" t="s">
        <v>31</v>
      </c>
      <c r="R405" s="6" t="s">
        <v>40</v>
      </c>
      <c r="S405" s="6" t="s">
        <v>54</v>
      </c>
      <c r="T405" s="6" t="s">
        <v>55</v>
      </c>
      <c r="U405" s="6" t="s">
        <v>28</v>
      </c>
      <c r="V405" s="6" t="s">
        <v>146</v>
      </c>
      <c r="W405" t="s">
        <v>785</v>
      </c>
    </row>
    <row r="406" spans="1:23" x14ac:dyDescent="0.3">
      <c r="A406" s="6" t="s">
        <v>462</v>
      </c>
      <c r="B406" s="1">
        <v>45777</v>
      </c>
      <c r="C406" s="6" t="s">
        <v>343</v>
      </c>
      <c r="D406" s="6" t="s">
        <v>95</v>
      </c>
      <c r="E406" s="6" t="s">
        <v>23</v>
      </c>
      <c r="F406" s="6" t="s">
        <v>24</v>
      </c>
      <c r="G406" s="6" t="s">
        <v>61</v>
      </c>
      <c r="H406" s="6" t="s">
        <v>26</v>
      </c>
      <c r="I406" s="6" t="s">
        <v>38</v>
      </c>
      <c r="J406" s="6" t="s">
        <v>95</v>
      </c>
      <c r="K406" s="6" t="s">
        <v>48</v>
      </c>
      <c r="L406" s="6" t="s">
        <v>152</v>
      </c>
      <c r="M406" s="6" t="s">
        <v>48</v>
      </c>
      <c r="N406" s="6" t="s">
        <v>28</v>
      </c>
      <c r="O406" s="6" t="s">
        <v>26</v>
      </c>
      <c r="P406" s="6" t="s">
        <v>52</v>
      </c>
      <c r="Q406" s="6" t="s">
        <v>31</v>
      </c>
      <c r="R406" s="6" t="s">
        <v>95</v>
      </c>
      <c r="S406" s="6" t="s">
        <v>54</v>
      </c>
      <c r="T406" s="6" t="s">
        <v>32</v>
      </c>
      <c r="U406" s="6" t="s">
        <v>28</v>
      </c>
      <c r="V406" s="6" t="s">
        <v>146</v>
      </c>
      <c r="W406" t="s">
        <v>785</v>
      </c>
    </row>
    <row r="407" spans="1:23" x14ac:dyDescent="0.3">
      <c r="A407" s="6" t="s">
        <v>461</v>
      </c>
      <c r="B407" s="1">
        <v>45777</v>
      </c>
      <c r="C407" s="6" t="s">
        <v>343</v>
      </c>
      <c r="D407" s="6" t="s">
        <v>95</v>
      </c>
      <c r="E407" s="6" t="s">
        <v>23</v>
      </c>
      <c r="F407" s="6" t="s">
        <v>24</v>
      </c>
      <c r="G407" s="6" t="s">
        <v>61</v>
      </c>
      <c r="H407" s="6" t="s">
        <v>26</v>
      </c>
      <c r="I407" s="6" t="s">
        <v>38</v>
      </c>
      <c r="J407" s="6" t="s">
        <v>95</v>
      </c>
      <c r="K407" s="6" t="s">
        <v>48</v>
      </c>
      <c r="L407" s="6" t="s">
        <v>152</v>
      </c>
      <c r="M407" s="6" t="s">
        <v>48</v>
      </c>
      <c r="N407" s="6" t="s">
        <v>28</v>
      </c>
      <c r="O407" s="6" t="s">
        <v>26</v>
      </c>
      <c r="P407" s="6" t="s">
        <v>45</v>
      </c>
      <c r="Q407" s="6" t="s">
        <v>31</v>
      </c>
      <c r="R407" s="6" t="s">
        <v>95</v>
      </c>
      <c r="S407" s="6" t="s">
        <v>54</v>
      </c>
      <c r="T407" s="6" t="s">
        <v>32</v>
      </c>
      <c r="U407" s="6" t="s">
        <v>28</v>
      </c>
      <c r="V407" s="6" t="s">
        <v>146</v>
      </c>
      <c r="W407" t="s">
        <v>785</v>
      </c>
    </row>
    <row r="408" spans="1:23" x14ac:dyDescent="0.3">
      <c r="A408" s="6" t="s">
        <v>463</v>
      </c>
      <c r="B408" s="1">
        <v>45777</v>
      </c>
      <c r="C408" s="6" t="s">
        <v>90</v>
      </c>
      <c r="D408" s="6" t="s">
        <v>40</v>
      </c>
      <c r="E408" s="6" t="s">
        <v>35</v>
      </c>
      <c r="F408" s="6" t="s">
        <v>24</v>
      </c>
      <c r="G408" s="6" t="s">
        <v>107</v>
      </c>
      <c r="H408" s="6" t="s">
        <v>48</v>
      </c>
      <c r="I408" s="6" t="s">
        <v>27</v>
      </c>
      <c r="J408" s="6" t="s">
        <v>40</v>
      </c>
      <c r="K408" s="6" t="s">
        <v>48</v>
      </c>
      <c r="L408" s="6" t="s">
        <v>54</v>
      </c>
      <c r="M408" s="6" t="s">
        <v>48</v>
      </c>
      <c r="N408" s="6" t="s">
        <v>28</v>
      </c>
      <c r="O408" s="6" t="s">
        <v>48</v>
      </c>
      <c r="P408" s="6" t="s">
        <v>48</v>
      </c>
      <c r="Q408" s="6" t="s">
        <v>48</v>
      </c>
      <c r="R408" s="6" t="s">
        <v>40</v>
      </c>
      <c r="S408" s="6" t="s">
        <v>54</v>
      </c>
      <c r="T408" s="6" t="s">
        <v>48</v>
      </c>
      <c r="U408" s="6" t="s">
        <v>127</v>
      </c>
      <c r="V408" s="6" t="s">
        <v>146</v>
      </c>
      <c r="W408" t="s">
        <v>785</v>
      </c>
    </row>
    <row r="409" spans="1:23" x14ac:dyDescent="0.3">
      <c r="A409" s="6" t="s">
        <v>464</v>
      </c>
      <c r="B409" s="1">
        <v>45777</v>
      </c>
      <c r="C409" s="6" t="s">
        <v>33</v>
      </c>
      <c r="D409" s="6" t="s">
        <v>105</v>
      </c>
      <c r="E409" s="6" t="s">
        <v>73</v>
      </c>
      <c r="F409" s="6" t="s">
        <v>24</v>
      </c>
      <c r="G409" s="6" t="s">
        <v>110</v>
      </c>
      <c r="H409" s="6" t="s">
        <v>26</v>
      </c>
      <c r="I409" s="6" t="s">
        <v>58</v>
      </c>
      <c r="J409" s="6" t="s">
        <v>105</v>
      </c>
      <c r="K409" s="6" t="s">
        <v>48</v>
      </c>
      <c r="L409" s="6" t="s">
        <v>54</v>
      </c>
      <c r="M409" s="6" t="s">
        <v>29</v>
      </c>
      <c r="N409" s="6" t="s">
        <v>28</v>
      </c>
      <c r="O409" s="6" t="s">
        <v>30</v>
      </c>
      <c r="P409" s="6" t="s">
        <v>48</v>
      </c>
      <c r="Q409" s="6" t="s">
        <v>48</v>
      </c>
      <c r="R409" s="6" t="s">
        <v>105</v>
      </c>
      <c r="S409" s="6" t="s">
        <v>54</v>
      </c>
      <c r="T409" s="6" t="s">
        <v>29</v>
      </c>
      <c r="U409" s="6" t="s">
        <v>28</v>
      </c>
      <c r="V409" s="6" t="s">
        <v>146</v>
      </c>
      <c r="W409" t="s">
        <v>785</v>
      </c>
    </row>
    <row r="410" spans="1:23" x14ac:dyDescent="0.3">
      <c r="A410" s="6" t="s">
        <v>464</v>
      </c>
      <c r="B410" s="1">
        <v>45777</v>
      </c>
      <c r="C410" s="6" t="s">
        <v>33</v>
      </c>
      <c r="D410" s="6" t="s">
        <v>105</v>
      </c>
      <c r="E410" s="6" t="s">
        <v>73</v>
      </c>
      <c r="F410" s="6" t="s">
        <v>24</v>
      </c>
      <c r="G410" s="6" t="s">
        <v>110</v>
      </c>
      <c r="H410" s="6" t="s">
        <v>26</v>
      </c>
      <c r="I410" s="6" t="s">
        <v>58</v>
      </c>
      <c r="J410" s="6" t="s">
        <v>105</v>
      </c>
      <c r="K410" s="6" t="s">
        <v>48</v>
      </c>
      <c r="L410" s="6" t="s">
        <v>54</v>
      </c>
      <c r="M410" s="6" t="s">
        <v>29</v>
      </c>
      <c r="N410" s="6" t="s">
        <v>28</v>
      </c>
      <c r="O410" s="6" t="s">
        <v>30</v>
      </c>
      <c r="P410" s="6" t="s">
        <v>48</v>
      </c>
      <c r="Q410" s="6" t="s">
        <v>48</v>
      </c>
      <c r="R410" s="6" t="s">
        <v>105</v>
      </c>
      <c r="S410" s="6" t="s">
        <v>54</v>
      </c>
      <c r="T410" s="6" t="s">
        <v>29</v>
      </c>
      <c r="U410" s="6" t="s">
        <v>28</v>
      </c>
      <c r="V410" s="6" t="s">
        <v>82</v>
      </c>
      <c r="W410" t="s">
        <v>785</v>
      </c>
    </row>
    <row r="411" spans="1:23" x14ac:dyDescent="0.3">
      <c r="A411" s="6" t="s">
        <v>465</v>
      </c>
      <c r="B411" s="1">
        <v>45777</v>
      </c>
      <c r="C411" s="6" t="s">
        <v>33</v>
      </c>
      <c r="D411" s="6" t="s">
        <v>105</v>
      </c>
      <c r="E411" s="6" t="s">
        <v>73</v>
      </c>
      <c r="F411" s="6" t="s">
        <v>24</v>
      </c>
      <c r="G411" s="6" t="s">
        <v>110</v>
      </c>
      <c r="H411" s="6" t="s">
        <v>26</v>
      </c>
      <c r="I411" s="6" t="s">
        <v>58</v>
      </c>
      <c r="J411" s="6" t="s">
        <v>105</v>
      </c>
      <c r="K411" s="6" t="s">
        <v>48</v>
      </c>
      <c r="L411" s="6" t="s">
        <v>54</v>
      </c>
      <c r="M411" s="6" t="s">
        <v>29</v>
      </c>
      <c r="N411" s="6" t="s">
        <v>28</v>
      </c>
      <c r="O411" s="6" t="s">
        <v>48</v>
      </c>
      <c r="P411" s="6" t="s">
        <v>48</v>
      </c>
      <c r="Q411" s="6" t="s">
        <v>48</v>
      </c>
      <c r="R411" s="6" t="s">
        <v>105</v>
      </c>
      <c r="S411" s="6" t="s">
        <v>54</v>
      </c>
      <c r="T411" s="6" t="s">
        <v>29</v>
      </c>
      <c r="U411" s="6" t="s">
        <v>28</v>
      </c>
      <c r="V411" s="6" t="s">
        <v>82</v>
      </c>
      <c r="W411" t="s">
        <v>785</v>
      </c>
    </row>
    <row r="412" spans="1:23" x14ac:dyDescent="0.3">
      <c r="A412" s="6" t="s">
        <v>465</v>
      </c>
      <c r="B412" s="1">
        <v>45777</v>
      </c>
      <c r="C412" s="6" t="s">
        <v>33</v>
      </c>
      <c r="D412" s="6" t="s">
        <v>105</v>
      </c>
      <c r="E412" s="6" t="s">
        <v>73</v>
      </c>
      <c r="F412" s="6" t="s">
        <v>24</v>
      </c>
      <c r="G412" s="6" t="s">
        <v>110</v>
      </c>
      <c r="H412" s="6" t="s">
        <v>26</v>
      </c>
      <c r="I412" s="6" t="s">
        <v>58</v>
      </c>
      <c r="J412" s="6" t="s">
        <v>105</v>
      </c>
      <c r="K412" s="6" t="s">
        <v>48</v>
      </c>
      <c r="L412" s="6" t="s">
        <v>54</v>
      </c>
      <c r="M412" s="6" t="s">
        <v>29</v>
      </c>
      <c r="N412" s="6" t="s">
        <v>28</v>
      </c>
      <c r="O412" s="6" t="s">
        <v>48</v>
      </c>
      <c r="P412" s="6" t="s">
        <v>48</v>
      </c>
      <c r="Q412" s="6" t="s">
        <v>48</v>
      </c>
      <c r="R412" s="6" t="s">
        <v>105</v>
      </c>
      <c r="S412" s="6" t="s">
        <v>54</v>
      </c>
      <c r="T412" s="6" t="s">
        <v>29</v>
      </c>
      <c r="U412" s="6" t="s">
        <v>28</v>
      </c>
      <c r="V412" s="6" t="s">
        <v>146</v>
      </c>
      <c r="W412" t="s">
        <v>785</v>
      </c>
    </row>
    <row r="413" spans="1:23" x14ac:dyDescent="0.3">
      <c r="A413" s="6" t="s">
        <v>466</v>
      </c>
      <c r="B413" s="1">
        <v>45777</v>
      </c>
      <c r="C413" s="6" t="s">
        <v>343</v>
      </c>
      <c r="D413" s="6" t="s">
        <v>122</v>
      </c>
      <c r="E413" s="6" t="s">
        <v>68</v>
      </c>
      <c r="F413" s="6" t="s">
        <v>24</v>
      </c>
      <c r="G413" s="6" t="s">
        <v>97</v>
      </c>
      <c r="H413" s="6" t="s">
        <v>26</v>
      </c>
      <c r="I413" s="6" t="s">
        <v>42</v>
      </c>
      <c r="J413" s="6" t="s">
        <v>122</v>
      </c>
      <c r="K413" s="6" t="s">
        <v>48</v>
      </c>
      <c r="L413" s="6" t="s">
        <v>54</v>
      </c>
      <c r="M413" s="6" t="s">
        <v>29</v>
      </c>
      <c r="N413" s="6" t="s">
        <v>28</v>
      </c>
      <c r="O413" s="6" t="s">
        <v>26</v>
      </c>
      <c r="P413" s="6" t="s">
        <v>45</v>
      </c>
      <c r="Q413" s="6" t="s">
        <v>48</v>
      </c>
      <c r="R413" s="6" t="s">
        <v>122</v>
      </c>
      <c r="S413" s="6" t="s">
        <v>54</v>
      </c>
      <c r="T413" s="6" t="s">
        <v>32</v>
      </c>
      <c r="U413" s="6" t="s">
        <v>28</v>
      </c>
      <c r="V413" s="6" t="s">
        <v>146</v>
      </c>
      <c r="W413" t="s">
        <v>785</v>
      </c>
    </row>
    <row r="414" spans="1:23" x14ac:dyDescent="0.3">
      <c r="A414" s="6" t="s">
        <v>466</v>
      </c>
      <c r="B414" s="1">
        <v>45777</v>
      </c>
      <c r="C414" s="6" t="s">
        <v>343</v>
      </c>
      <c r="D414" s="6" t="s">
        <v>122</v>
      </c>
      <c r="E414" s="6" t="s">
        <v>68</v>
      </c>
      <c r="F414" s="6" t="s">
        <v>24</v>
      </c>
      <c r="G414" s="6" t="s">
        <v>97</v>
      </c>
      <c r="H414" s="6" t="s">
        <v>26</v>
      </c>
      <c r="I414" s="6" t="s">
        <v>42</v>
      </c>
      <c r="J414" s="6" t="s">
        <v>122</v>
      </c>
      <c r="K414" s="6" t="s">
        <v>48</v>
      </c>
      <c r="L414" s="6" t="s">
        <v>54</v>
      </c>
      <c r="M414" s="6" t="s">
        <v>29</v>
      </c>
      <c r="N414" s="6" t="s">
        <v>28</v>
      </c>
      <c r="O414" s="6" t="s">
        <v>26</v>
      </c>
      <c r="P414" s="6" t="s">
        <v>45</v>
      </c>
      <c r="Q414" s="6" t="s">
        <v>48</v>
      </c>
      <c r="R414" s="6" t="s">
        <v>122</v>
      </c>
      <c r="S414" s="6" t="s">
        <v>54</v>
      </c>
      <c r="T414" s="6" t="s">
        <v>32</v>
      </c>
      <c r="U414" s="6" t="s">
        <v>28</v>
      </c>
      <c r="V414" s="6" t="s">
        <v>82</v>
      </c>
      <c r="W414" t="s">
        <v>785</v>
      </c>
    </row>
    <row r="415" spans="1:23" x14ac:dyDescent="0.3">
      <c r="A415" s="6" t="s">
        <v>467</v>
      </c>
      <c r="B415" s="1">
        <v>45779</v>
      </c>
      <c r="C415" s="6" t="s">
        <v>33</v>
      </c>
      <c r="D415" s="6" t="s">
        <v>40</v>
      </c>
      <c r="E415" s="6" t="s">
        <v>64</v>
      </c>
      <c r="F415" s="6" t="s">
        <v>24</v>
      </c>
      <c r="G415" s="6" t="s">
        <v>69</v>
      </c>
      <c r="H415" s="6" t="s">
        <v>26</v>
      </c>
      <c r="I415" s="6" t="s">
        <v>27</v>
      </c>
      <c r="J415" s="6" t="s">
        <v>40</v>
      </c>
      <c r="K415" s="6" t="s">
        <v>133</v>
      </c>
      <c r="L415" s="6" t="s">
        <v>152</v>
      </c>
      <c r="M415" s="6" t="s">
        <v>32</v>
      </c>
      <c r="N415" s="6" t="s">
        <v>28</v>
      </c>
      <c r="O415" s="6" t="s">
        <v>30</v>
      </c>
      <c r="P415" s="6" t="s">
        <v>37</v>
      </c>
      <c r="Q415" s="6" t="s">
        <v>31</v>
      </c>
      <c r="R415" s="6" t="s">
        <v>40</v>
      </c>
      <c r="S415" s="6" t="s">
        <v>54</v>
      </c>
      <c r="T415" s="6" t="s">
        <v>32</v>
      </c>
      <c r="U415" s="6" t="s">
        <v>28</v>
      </c>
      <c r="V415" s="6" t="s">
        <v>146</v>
      </c>
      <c r="W415" t="s">
        <v>786</v>
      </c>
    </row>
    <row r="416" spans="1:23" x14ac:dyDescent="0.3">
      <c r="A416" s="6" t="s">
        <v>468</v>
      </c>
      <c r="B416" s="1">
        <v>45779</v>
      </c>
      <c r="C416" s="6" t="s">
        <v>33</v>
      </c>
      <c r="D416" s="6" t="s">
        <v>40</v>
      </c>
      <c r="E416" s="6" t="s">
        <v>64</v>
      </c>
      <c r="F416" s="6" t="s">
        <v>24</v>
      </c>
      <c r="G416" s="6" t="s">
        <v>69</v>
      </c>
      <c r="H416" s="6" t="s">
        <v>26</v>
      </c>
      <c r="I416" s="6" t="s">
        <v>27</v>
      </c>
      <c r="J416" s="6" t="s">
        <v>40</v>
      </c>
      <c r="K416" s="6" t="s">
        <v>133</v>
      </c>
      <c r="L416" s="6" t="s">
        <v>152</v>
      </c>
      <c r="M416" s="6" t="s">
        <v>32</v>
      </c>
      <c r="N416" s="6" t="s">
        <v>28</v>
      </c>
      <c r="O416" s="6" t="s">
        <v>30</v>
      </c>
      <c r="P416" s="6" t="s">
        <v>37</v>
      </c>
      <c r="Q416" s="6" t="s">
        <v>31</v>
      </c>
      <c r="R416" s="6" t="s">
        <v>40</v>
      </c>
      <c r="S416" s="6" t="s">
        <v>54</v>
      </c>
      <c r="T416" s="6" t="s">
        <v>55</v>
      </c>
      <c r="U416" s="6" t="s">
        <v>28</v>
      </c>
      <c r="V416" s="6" t="s">
        <v>146</v>
      </c>
      <c r="W416" t="s">
        <v>786</v>
      </c>
    </row>
    <row r="417" spans="1:23" x14ac:dyDescent="0.3">
      <c r="A417" s="6" t="s">
        <v>469</v>
      </c>
      <c r="B417" s="1">
        <v>45779</v>
      </c>
      <c r="C417" s="6" t="s">
        <v>33</v>
      </c>
      <c r="D417" s="6" t="s">
        <v>22</v>
      </c>
      <c r="E417" s="6" t="s">
        <v>23</v>
      </c>
      <c r="F417" s="6" t="s">
        <v>24</v>
      </c>
      <c r="G417" s="6" t="s">
        <v>61</v>
      </c>
      <c r="H417" s="6" t="s">
        <v>26</v>
      </c>
      <c r="I417" s="6" t="s">
        <v>27</v>
      </c>
      <c r="J417" s="6" t="s">
        <v>22</v>
      </c>
      <c r="K417" s="6" t="s">
        <v>115</v>
      </c>
      <c r="L417" s="6" t="s">
        <v>54</v>
      </c>
      <c r="M417" s="6" t="s">
        <v>29</v>
      </c>
      <c r="N417" s="6" t="s">
        <v>28</v>
      </c>
      <c r="O417" s="6" t="s">
        <v>26</v>
      </c>
      <c r="P417" s="6" t="s">
        <v>788</v>
      </c>
      <c r="Q417" s="6" t="s">
        <v>31</v>
      </c>
      <c r="R417" s="6" t="s">
        <v>22</v>
      </c>
      <c r="S417" s="6" t="s">
        <v>54</v>
      </c>
      <c r="T417" s="6" t="s">
        <v>55</v>
      </c>
      <c r="U417" s="6" t="s">
        <v>28</v>
      </c>
      <c r="V417" s="6" t="s">
        <v>82</v>
      </c>
      <c r="W417" t="s">
        <v>786</v>
      </c>
    </row>
    <row r="418" spans="1:23" x14ac:dyDescent="0.3">
      <c r="A418" s="6" t="s">
        <v>470</v>
      </c>
      <c r="B418" s="1">
        <v>45779</v>
      </c>
      <c r="C418" s="6" t="s">
        <v>343</v>
      </c>
      <c r="D418" s="6" t="s">
        <v>22</v>
      </c>
      <c r="E418" s="6" t="s">
        <v>44</v>
      </c>
      <c r="F418" s="6" t="s">
        <v>24</v>
      </c>
      <c r="G418" s="6" t="s">
        <v>61</v>
      </c>
      <c r="H418" s="6" t="s">
        <v>26</v>
      </c>
      <c r="I418" s="6" t="s">
        <v>27</v>
      </c>
      <c r="J418" s="6" t="s">
        <v>22</v>
      </c>
      <c r="K418" s="6" t="s">
        <v>48</v>
      </c>
      <c r="L418" s="6" t="s">
        <v>54</v>
      </c>
      <c r="M418" s="6" t="s">
        <v>55</v>
      </c>
      <c r="N418" s="6" t="s">
        <v>28</v>
      </c>
      <c r="O418" s="6" t="s">
        <v>48</v>
      </c>
      <c r="P418" s="6" t="s">
        <v>48</v>
      </c>
      <c r="Q418" s="6" t="s">
        <v>48</v>
      </c>
      <c r="R418" s="6" t="s">
        <v>22</v>
      </c>
      <c r="S418" s="6" t="s">
        <v>54</v>
      </c>
      <c r="T418" s="6" t="s">
        <v>48</v>
      </c>
      <c r="U418" s="6" t="s">
        <v>59</v>
      </c>
      <c r="V418" s="6" t="s">
        <v>137</v>
      </c>
      <c r="W418" t="s">
        <v>786</v>
      </c>
    </row>
    <row r="419" spans="1:23" x14ac:dyDescent="0.3">
      <c r="A419" s="6" t="s">
        <v>471</v>
      </c>
      <c r="B419" s="1">
        <v>45782</v>
      </c>
      <c r="C419" s="6" t="s">
        <v>343</v>
      </c>
      <c r="D419" s="6" t="s">
        <v>122</v>
      </c>
      <c r="E419" s="6" t="s">
        <v>68</v>
      </c>
      <c r="F419" s="6" t="s">
        <v>24</v>
      </c>
      <c r="G419" s="6" t="s">
        <v>97</v>
      </c>
      <c r="H419" s="6" t="s">
        <v>26</v>
      </c>
      <c r="I419" s="6" t="s">
        <v>66</v>
      </c>
      <c r="J419" s="6" t="s">
        <v>122</v>
      </c>
      <c r="K419" s="6" t="s">
        <v>133</v>
      </c>
      <c r="L419" s="6" t="s">
        <v>704</v>
      </c>
      <c r="M419" s="6" t="s">
        <v>55</v>
      </c>
      <c r="N419" s="6" t="s">
        <v>28</v>
      </c>
      <c r="O419" s="6" t="s">
        <v>48</v>
      </c>
      <c r="P419" s="6" t="s">
        <v>48</v>
      </c>
      <c r="Q419" s="6" t="s">
        <v>48</v>
      </c>
      <c r="R419" s="6" t="s">
        <v>122</v>
      </c>
      <c r="S419" s="6" t="s">
        <v>54</v>
      </c>
      <c r="T419" s="6" t="s">
        <v>48</v>
      </c>
      <c r="U419" s="6" t="s">
        <v>74</v>
      </c>
      <c r="V419" s="6" t="s">
        <v>82</v>
      </c>
      <c r="W419" t="s">
        <v>786</v>
      </c>
    </row>
    <row r="420" spans="1:23" x14ac:dyDescent="0.3">
      <c r="A420" s="6" t="s">
        <v>473</v>
      </c>
      <c r="B420" s="1">
        <v>45782</v>
      </c>
      <c r="C420" s="6" t="s">
        <v>343</v>
      </c>
      <c r="D420" s="6" t="s">
        <v>122</v>
      </c>
      <c r="E420" s="6" t="s">
        <v>68</v>
      </c>
      <c r="F420" s="6" t="s">
        <v>24</v>
      </c>
      <c r="G420" s="6" t="s">
        <v>97</v>
      </c>
      <c r="H420" s="6" t="s">
        <v>26</v>
      </c>
      <c r="I420" s="6" t="s">
        <v>66</v>
      </c>
      <c r="J420" s="6" t="s">
        <v>122</v>
      </c>
      <c r="K420" s="6" t="s">
        <v>133</v>
      </c>
      <c r="L420" s="6" t="s">
        <v>704</v>
      </c>
      <c r="M420" s="6" t="s">
        <v>55</v>
      </c>
      <c r="N420" s="6" t="s">
        <v>28</v>
      </c>
      <c r="O420" s="6" t="s">
        <v>48</v>
      </c>
      <c r="P420" s="6" t="s">
        <v>48</v>
      </c>
      <c r="Q420" s="6" t="s">
        <v>48</v>
      </c>
      <c r="R420" s="6" t="s">
        <v>122</v>
      </c>
      <c r="S420" s="6" t="s">
        <v>54</v>
      </c>
      <c r="T420" s="6" t="s">
        <v>48</v>
      </c>
      <c r="U420" s="6" t="s">
        <v>74</v>
      </c>
      <c r="V420" s="6" t="s">
        <v>82</v>
      </c>
      <c r="W420" t="s">
        <v>786</v>
      </c>
    </row>
    <row r="421" spans="1:23" x14ac:dyDescent="0.3">
      <c r="A421" s="6" t="s">
        <v>472</v>
      </c>
      <c r="B421" s="1">
        <v>45782</v>
      </c>
      <c r="C421" s="6" t="s">
        <v>343</v>
      </c>
      <c r="D421" s="6" t="s">
        <v>122</v>
      </c>
      <c r="E421" s="6" t="s">
        <v>68</v>
      </c>
      <c r="F421" s="6" t="s">
        <v>24</v>
      </c>
      <c r="G421" s="6" t="s">
        <v>97</v>
      </c>
      <c r="H421" s="6" t="s">
        <v>26</v>
      </c>
      <c r="I421" s="6" t="s">
        <v>66</v>
      </c>
      <c r="J421" s="6" t="s">
        <v>122</v>
      </c>
      <c r="K421" s="6" t="s">
        <v>133</v>
      </c>
      <c r="L421" s="6" t="s">
        <v>704</v>
      </c>
      <c r="M421" s="6" t="s">
        <v>55</v>
      </c>
      <c r="N421" s="6" t="s">
        <v>28</v>
      </c>
      <c r="O421" s="6" t="s">
        <v>48</v>
      </c>
      <c r="P421" s="6" t="s">
        <v>48</v>
      </c>
      <c r="Q421" s="6" t="s">
        <v>48</v>
      </c>
      <c r="R421" s="6" t="s">
        <v>122</v>
      </c>
      <c r="S421" s="6" t="s">
        <v>54</v>
      </c>
      <c r="T421" s="6" t="s">
        <v>48</v>
      </c>
      <c r="U421" s="6" t="s">
        <v>74</v>
      </c>
      <c r="V421" s="6" t="s">
        <v>82</v>
      </c>
      <c r="W421" t="s">
        <v>786</v>
      </c>
    </row>
    <row r="422" spans="1:23" x14ac:dyDescent="0.3">
      <c r="A422" s="6" t="s">
        <v>474</v>
      </c>
      <c r="B422" s="1">
        <v>45782</v>
      </c>
      <c r="C422" s="6" t="s">
        <v>33</v>
      </c>
      <c r="D422" s="6" t="s">
        <v>70</v>
      </c>
      <c r="E422" s="6" t="s">
        <v>68</v>
      </c>
      <c r="F422" s="6" t="s">
        <v>24</v>
      </c>
      <c r="G422" s="6" t="s">
        <v>110</v>
      </c>
      <c r="H422" s="6" t="s">
        <v>26</v>
      </c>
      <c r="I422" s="6" t="s">
        <v>42</v>
      </c>
      <c r="J422" s="6" t="s">
        <v>70</v>
      </c>
      <c r="K422" s="6" t="s">
        <v>48</v>
      </c>
      <c r="L422" s="6" t="s">
        <v>54</v>
      </c>
      <c r="M422" s="6" t="s">
        <v>32</v>
      </c>
      <c r="N422" s="6" t="s">
        <v>28</v>
      </c>
      <c r="O422" s="6" t="s">
        <v>26</v>
      </c>
      <c r="P422" s="6" t="s">
        <v>52</v>
      </c>
      <c r="Q422" s="6" t="s">
        <v>31</v>
      </c>
      <c r="R422" s="6" t="s">
        <v>70</v>
      </c>
      <c r="S422" s="6" t="s">
        <v>54</v>
      </c>
      <c r="T422" s="6" t="s">
        <v>48</v>
      </c>
      <c r="U422" s="6" t="s">
        <v>28</v>
      </c>
      <c r="V422" s="6" t="s">
        <v>82</v>
      </c>
      <c r="W422" t="s">
        <v>786</v>
      </c>
    </row>
    <row r="423" spans="1:23" x14ac:dyDescent="0.3">
      <c r="A423" s="6" t="s">
        <v>475</v>
      </c>
      <c r="B423" s="1">
        <v>45783</v>
      </c>
      <c r="C423" s="6" t="s">
        <v>33</v>
      </c>
      <c r="D423" s="6" t="s">
        <v>34</v>
      </c>
      <c r="E423" s="6" t="s">
        <v>41</v>
      </c>
      <c r="F423" s="6" t="s">
        <v>24</v>
      </c>
      <c r="G423" s="6" t="s">
        <v>69</v>
      </c>
      <c r="H423" s="6" t="s">
        <v>48</v>
      </c>
      <c r="I423" s="6" t="s">
        <v>42</v>
      </c>
      <c r="J423" s="6" t="s">
        <v>34</v>
      </c>
      <c r="K423" s="6" t="s">
        <v>48</v>
      </c>
      <c r="L423" s="6" t="s">
        <v>54</v>
      </c>
      <c r="M423" s="6" t="s">
        <v>48</v>
      </c>
      <c r="N423" s="6" t="s">
        <v>28</v>
      </c>
      <c r="O423" s="6" t="s">
        <v>26</v>
      </c>
      <c r="P423" s="6" t="s">
        <v>788</v>
      </c>
      <c r="Q423" s="6" t="s">
        <v>31</v>
      </c>
      <c r="R423" s="6" t="s">
        <v>34</v>
      </c>
      <c r="S423" s="6" t="s">
        <v>54</v>
      </c>
      <c r="T423" s="6" t="s">
        <v>32</v>
      </c>
      <c r="U423" s="6" t="s">
        <v>28</v>
      </c>
      <c r="V423" s="6" t="s">
        <v>146</v>
      </c>
      <c r="W423" t="s">
        <v>786</v>
      </c>
    </row>
    <row r="424" spans="1:23" x14ac:dyDescent="0.3">
      <c r="A424" s="6" t="s">
        <v>477</v>
      </c>
      <c r="B424" s="1">
        <v>45783</v>
      </c>
      <c r="C424" s="6" t="s">
        <v>33</v>
      </c>
      <c r="D424" s="6" t="s">
        <v>34</v>
      </c>
      <c r="E424" s="6" t="s">
        <v>41</v>
      </c>
      <c r="F424" s="6" t="s">
        <v>24</v>
      </c>
      <c r="G424" s="6" t="s">
        <v>69</v>
      </c>
      <c r="H424" s="6" t="s">
        <v>48</v>
      </c>
      <c r="I424" s="6" t="s">
        <v>42</v>
      </c>
      <c r="J424" s="6" t="s">
        <v>34</v>
      </c>
      <c r="K424" s="6" t="s">
        <v>48</v>
      </c>
      <c r="L424" s="6" t="s">
        <v>54</v>
      </c>
      <c r="M424" s="6" t="s">
        <v>48</v>
      </c>
      <c r="N424" s="6" t="s">
        <v>28</v>
      </c>
      <c r="O424" s="6" t="s">
        <v>30</v>
      </c>
      <c r="P424" s="6" t="s">
        <v>788</v>
      </c>
      <c r="Q424" s="6" t="s">
        <v>31</v>
      </c>
      <c r="R424" s="6" t="s">
        <v>34</v>
      </c>
      <c r="S424" s="6" t="s">
        <v>54</v>
      </c>
      <c r="T424" s="6" t="s">
        <v>32</v>
      </c>
      <c r="U424" s="6" t="s">
        <v>28</v>
      </c>
      <c r="V424" s="6" t="s">
        <v>146</v>
      </c>
      <c r="W424" t="s">
        <v>786</v>
      </c>
    </row>
    <row r="425" spans="1:23" x14ac:dyDescent="0.3">
      <c r="A425" s="6" t="s">
        <v>479</v>
      </c>
      <c r="B425" s="1">
        <v>45783</v>
      </c>
      <c r="C425" s="6" t="s">
        <v>33</v>
      </c>
      <c r="D425" s="6" t="s">
        <v>34</v>
      </c>
      <c r="E425" s="6" t="s">
        <v>41</v>
      </c>
      <c r="F425" s="6" t="s">
        <v>24</v>
      </c>
      <c r="G425" s="6" t="s">
        <v>69</v>
      </c>
      <c r="H425" s="6" t="s">
        <v>48</v>
      </c>
      <c r="I425" s="6" t="s">
        <v>42</v>
      </c>
      <c r="J425" s="6" t="s">
        <v>34</v>
      </c>
      <c r="K425" s="6" t="s">
        <v>48</v>
      </c>
      <c r="L425" s="6" t="s">
        <v>54</v>
      </c>
      <c r="M425" s="6" t="s">
        <v>48</v>
      </c>
      <c r="N425" s="6" t="s">
        <v>28</v>
      </c>
      <c r="O425" s="6" t="s">
        <v>26</v>
      </c>
      <c r="P425" s="6" t="s">
        <v>45</v>
      </c>
      <c r="Q425" s="6" t="s">
        <v>31</v>
      </c>
      <c r="R425" s="6" t="s">
        <v>34</v>
      </c>
      <c r="S425" s="6" t="s">
        <v>54</v>
      </c>
      <c r="T425" s="6" t="s">
        <v>29</v>
      </c>
      <c r="U425" s="6" t="s">
        <v>28</v>
      </c>
      <c r="V425" s="6" t="s">
        <v>146</v>
      </c>
      <c r="W425" t="s">
        <v>786</v>
      </c>
    </row>
    <row r="426" spans="1:23" x14ac:dyDescent="0.3">
      <c r="A426" s="6" t="s">
        <v>478</v>
      </c>
      <c r="B426" s="1">
        <v>45783</v>
      </c>
      <c r="C426" s="6" t="s">
        <v>33</v>
      </c>
      <c r="D426" s="6" t="s">
        <v>34</v>
      </c>
      <c r="E426" s="6" t="s">
        <v>41</v>
      </c>
      <c r="F426" s="6" t="s">
        <v>24</v>
      </c>
      <c r="G426" s="6" t="s">
        <v>69</v>
      </c>
      <c r="H426" s="6" t="s">
        <v>48</v>
      </c>
      <c r="I426" s="6" t="s">
        <v>42</v>
      </c>
      <c r="J426" s="6" t="s">
        <v>34</v>
      </c>
      <c r="K426" s="6" t="s">
        <v>48</v>
      </c>
      <c r="L426" s="6" t="s">
        <v>54</v>
      </c>
      <c r="M426" s="6" t="s">
        <v>48</v>
      </c>
      <c r="N426" s="6" t="s">
        <v>28</v>
      </c>
      <c r="O426" s="6" t="s">
        <v>26</v>
      </c>
      <c r="P426" s="6" t="s">
        <v>45</v>
      </c>
      <c r="Q426" s="6" t="s">
        <v>31</v>
      </c>
      <c r="R426" s="6" t="s">
        <v>34</v>
      </c>
      <c r="S426" s="6" t="s">
        <v>54</v>
      </c>
      <c r="T426" s="6" t="s">
        <v>29</v>
      </c>
      <c r="U426" s="6" t="s">
        <v>28</v>
      </c>
      <c r="V426" s="6" t="s">
        <v>146</v>
      </c>
      <c r="W426" t="s">
        <v>786</v>
      </c>
    </row>
    <row r="427" spans="1:23" x14ac:dyDescent="0.3">
      <c r="A427" s="6" t="s">
        <v>476</v>
      </c>
      <c r="B427" s="1">
        <v>45783</v>
      </c>
      <c r="C427" s="6" t="s">
        <v>33</v>
      </c>
      <c r="D427" s="6" t="s">
        <v>34</v>
      </c>
      <c r="E427" s="6" t="s">
        <v>41</v>
      </c>
      <c r="F427" s="6" t="s">
        <v>24</v>
      </c>
      <c r="G427" s="6" t="s">
        <v>69</v>
      </c>
      <c r="H427" s="6" t="s">
        <v>48</v>
      </c>
      <c r="I427" s="6" t="s">
        <v>42</v>
      </c>
      <c r="J427" s="6" t="s">
        <v>34</v>
      </c>
      <c r="K427" s="6" t="s">
        <v>48</v>
      </c>
      <c r="L427" s="6" t="s">
        <v>54</v>
      </c>
      <c r="M427" s="6" t="s">
        <v>48</v>
      </c>
      <c r="N427" s="6" t="s">
        <v>28</v>
      </c>
      <c r="O427" s="6" t="s">
        <v>30</v>
      </c>
      <c r="P427" s="6" t="s">
        <v>788</v>
      </c>
      <c r="Q427" s="6" t="s">
        <v>31</v>
      </c>
      <c r="R427" s="6" t="s">
        <v>34</v>
      </c>
      <c r="S427" s="6" t="s">
        <v>54</v>
      </c>
      <c r="T427" s="6" t="s">
        <v>32</v>
      </c>
      <c r="U427" s="6" t="s">
        <v>28</v>
      </c>
      <c r="V427" s="6" t="s">
        <v>146</v>
      </c>
      <c r="W427" t="s">
        <v>786</v>
      </c>
    </row>
    <row r="428" spans="1:23" x14ac:dyDescent="0.3">
      <c r="A428" s="6" t="s">
        <v>480</v>
      </c>
      <c r="B428" s="1">
        <v>45784</v>
      </c>
      <c r="C428" s="6" t="s">
        <v>33</v>
      </c>
      <c r="D428" s="6" t="s">
        <v>43</v>
      </c>
      <c r="E428" s="6" t="s">
        <v>68</v>
      </c>
      <c r="F428" s="6" t="s">
        <v>24</v>
      </c>
      <c r="G428" s="6" t="s">
        <v>97</v>
      </c>
      <c r="H428" s="6" t="s">
        <v>26</v>
      </c>
      <c r="I428" s="6" t="s">
        <v>45</v>
      </c>
      <c r="J428" s="6" t="s">
        <v>43</v>
      </c>
      <c r="K428" s="6" t="s">
        <v>76</v>
      </c>
      <c r="L428" s="6" t="s">
        <v>54</v>
      </c>
      <c r="M428" s="6" t="s">
        <v>29</v>
      </c>
      <c r="N428" s="6" t="s">
        <v>28</v>
      </c>
      <c r="O428" s="6" t="s">
        <v>26</v>
      </c>
      <c r="P428" s="6" t="s">
        <v>58</v>
      </c>
      <c r="Q428" s="6" t="s">
        <v>48</v>
      </c>
      <c r="R428" s="6" t="s">
        <v>43</v>
      </c>
      <c r="S428" s="6" t="s">
        <v>54</v>
      </c>
      <c r="T428" s="6" t="s">
        <v>29</v>
      </c>
      <c r="U428" s="6" t="s">
        <v>28</v>
      </c>
      <c r="V428" s="6" t="s">
        <v>82</v>
      </c>
      <c r="W428" t="s">
        <v>786</v>
      </c>
    </row>
    <row r="429" spans="1:23" x14ac:dyDescent="0.3">
      <c r="A429" s="6" t="s">
        <v>481</v>
      </c>
      <c r="B429" s="1">
        <v>45784</v>
      </c>
      <c r="C429" s="6" t="s">
        <v>343</v>
      </c>
      <c r="D429" s="6" t="s">
        <v>22</v>
      </c>
      <c r="E429" s="6" t="s">
        <v>35</v>
      </c>
      <c r="F429" s="6" t="s">
        <v>24</v>
      </c>
      <c r="G429" s="6" t="s">
        <v>46</v>
      </c>
      <c r="H429" s="6" t="s">
        <v>26</v>
      </c>
      <c r="I429" s="6" t="s">
        <v>38</v>
      </c>
      <c r="J429" s="6" t="s">
        <v>22</v>
      </c>
      <c r="K429" s="6" t="s">
        <v>76</v>
      </c>
      <c r="L429" s="6" t="s">
        <v>54</v>
      </c>
      <c r="M429" s="6" t="s">
        <v>32</v>
      </c>
      <c r="N429" s="6" t="s">
        <v>28</v>
      </c>
      <c r="O429" s="6" t="s">
        <v>48</v>
      </c>
      <c r="P429" s="6" t="s">
        <v>38</v>
      </c>
      <c r="Q429" s="6" t="s">
        <v>48</v>
      </c>
      <c r="R429" s="6" t="s">
        <v>22</v>
      </c>
      <c r="S429" s="6" t="s">
        <v>54</v>
      </c>
      <c r="T429" s="6" t="s">
        <v>48</v>
      </c>
      <c r="U429" s="6" t="s">
        <v>28</v>
      </c>
      <c r="V429" s="6" t="s">
        <v>82</v>
      </c>
      <c r="W429" t="s">
        <v>786</v>
      </c>
    </row>
    <row r="430" spans="1:23" x14ac:dyDescent="0.3">
      <c r="A430" s="6" t="s">
        <v>482</v>
      </c>
      <c r="B430" s="1">
        <v>45785</v>
      </c>
      <c r="C430" s="6" t="s">
        <v>343</v>
      </c>
      <c r="D430" s="6" t="s">
        <v>22</v>
      </c>
      <c r="E430" s="6" t="s">
        <v>68</v>
      </c>
      <c r="F430" s="6" t="s">
        <v>24</v>
      </c>
      <c r="G430" s="6" t="s">
        <v>107</v>
      </c>
      <c r="H430" s="6" t="s">
        <v>26</v>
      </c>
      <c r="I430" s="6" t="s">
        <v>27</v>
      </c>
      <c r="J430" s="6" t="s">
        <v>22</v>
      </c>
      <c r="K430" s="6" t="s">
        <v>48</v>
      </c>
      <c r="L430" s="6" t="s">
        <v>54</v>
      </c>
      <c r="M430" s="6" t="s">
        <v>29</v>
      </c>
      <c r="N430" s="6" t="s">
        <v>28</v>
      </c>
      <c r="O430" s="6" t="s">
        <v>48</v>
      </c>
      <c r="P430" s="6" t="s">
        <v>48</v>
      </c>
      <c r="Q430" s="6" t="s">
        <v>48</v>
      </c>
      <c r="R430" s="6" t="s">
        <v>22</v>
      </c>
      <c r="S430" s="6" t="s">
        <v>54</v>
      </c>
      <c r="T430" s="6" t="s">
        <v>48</v>
      </c>
      <c r="U430" s="6" t="s">
        <v>121</v>
      </c>
      <c r="V430" s="6" t="s">
        <v>146</v>
      </c>
      <c r="W430" t="s">
        <v>786</v>
      </c>
    </row>
    <row r="431" spans="1:23" x14ac:dyDescent="0.3">
      <c r="A431" s="6" t="s">
        <v>483</v>
      </c>
      <c r="B431" s="1">
        <v>45786</v>
      </c>
      <c r="C431" s="6" t="s">
        <v>343</v>
      </c>
      <c r="D431" s="6" t="s">
        <v>125</v>
      </c>
      <c r="E431" s="6" t="s">
        <v>64</v>
      </c>
      <c r="F431" s="6" t="s">
        <v>24</v>
      </c>
      <c r="G431" s="6" t="s">
        <v>86</v>
      </c>
      <c r="H431" s="6" t="s">
        <v>26</v>
      </c>
      <c r="I431" s="6" t="s">
        <v>58</v>
      </c>
      <c r="J431" s="6" t="s">
        <v>125</v>
      </c>
      <c r="K431" s="6" t="s">
        <v>48</v>
      </c>
      <c r="L431" s="6" t="s">
        <v>54</v>
      </c>
      <c r="M431" s="6" t="s">
        <v>55</v>
      </c>
      <c r="N431" s="6" t="s">
        <v>28</v>
      </c>
      <c r="O431" s="6" t="s">
        <v>48</v>
      </c>
      <c r="P431" s="6" t="s">
        <v>48</v>
      </c>
      <c r="Q431" s="6" t="s">
        <v>48</v>
      </c>
      <c r="R431" s="6" t="s">
        <v>49</v>
      </c>
      <c r="S431" s="6" t="s">
        <v>54</v>
      </c>
      <c r="T431" s="6" t="s">
        <v>48</v>
      </c>
      <c r="U431" s="6" t="s">
        <v>56</v>
      </c>
      <c r="V431" s="6" t="s">
        <v>82</v>
      </c>
      <c r="W431" t="s">
        <v>786</v>
      </c>
    </row>
    <row r="432" spans="1:23" x14ac:dyDescent="0.3">
      <c r="A432" s="6" t="s">
        <v>484</v>
      </c>
      <c r="B432" s="1">
        <v>45786</v>
      </c>
      <c r="C432" s="6" t="s">
        <v>90</v>
      </c>
      <c r="D432" s="6" t="s">
        <v>22</v>
      </c>
      <c r="E432" s="6" t="s">
        <v>23</v>
      </c>
      <c r="F432" s="6" t="s">
        <v>24</v>
      </c>
      <c r="G432" s="6" t="s">
        <v>86</v>
      </c>
      <c r="H432" s="6" t="s">
        <v>26</v>
      </c>
      <c r="I432" s="6" t="s">
        <v>100</v>
      </c>
      <c r="J432" s="6" t="s">
        <v>22</v>
      </c>
      <c r="K432" s="6" t="s">
        <v>53</v>
      </c>
      <c r="L432" s="6" t="s">
        <v>54</v>
      </c>
      <c r="M432" s="6" t="s">
        <v>48</v>
      </c>
      <c r="N432" s="6" t="s">
        <v>28</v>
      </c>
      <c r="O432" s="6" t="s">
        <v>48</v>
      </c>
      <c r="P432" s="6" t="s">
        <v>48</v>
      </c>
      <c r="Q432" s="6" t="s">
        <v>48</v>
      </c>
      <c r="R432" s="6" t="s">
        <v>22</v>
      </c>
      <c r="S432" s="6" t="s">
        <v>54</v>
      </c>
      <c r="T432" s="6" t="s">
        <v>48</v>
      </c>
      <c r="U432" s="6" t="s">
        <v>127</v>
      </c>
      <c r="V432" s="6" t="s">
        <v>137</v>
      </c>
      <c r="W432" t="s">
        <v>786</v>
      </c>
    </row>
    <row r="433" spans="1:23" x14ac:dyDescent="0.3">
      <c r="A433" s="6" t="s">
        <v>485</v>
      </c>
      <c r="B433" s="1">
        <v>45786</v>
      </c>
      <c r="C433" s="6" t="s">
        <v>90</v>
      </c>
      <c r="D433" s="6" t="s">
        <v>22</v>
      </c>
      <c r="E433" s="6" t="s">
        <v>23</v>
      </c>
      <c r="F433" s="6" t="s">
        <v>24</v>
      </c>
      <c r="G433" s="6" t="s">
        <v>86</v>
      </c>
      <c r="H433" s="6" t="s">
        <v>26</v>
      </c>
      <c r="I433" s="6" t="s">
        <v>100</v>
      </c>
      <c r="J433" s="6" t="s">
        <v>22</v>
      </c>
      <c r="K433" s="6" t="s">
        <v>53</v>
      </c>
      <c r="L433" s="6" t="s">
        <v>54</v>
      </c>
      <c r="M433" s="6" t="s">
        <v>48</v>
      </c>
      <c r="N433" s="6" t="s">
        <v>28</v>
      </c>
      <c r="O433" s="6" t="s">
        <v>48</v>
      </c>
      <c r="P433" s="6" t="s">
        <v>48</v>
      </c>
      <c r="Q433" s="6" t="s">
        <v>48</v>
      </c>
      <c r="R433" s="6" t="s">
        <v>22</v>
      </c>
      <c r="S433" s="6" t="s">
        <v>54</v>
      </c>
      <c r="T433" s="6" t="s">
        <v>48</v>
      </c>
      <c r="U433" s="6" t="s">
        <v>127</v>
      </c>
      <c r="V433" s="6" t="s">
        <v>82</v>
      </c>
      <c r="W433" t="s">
        <v>786</v>
      </c>
    </row>
    <row r="434" spans="1:23" x14ac:dyDescent="0.3">
      <c r="A434" s="6" t="s">
        <v>485</v>
      </c>
      <c r="B434" s="1">
        <v>45786</v>
      </c>
      <c r="C434" s="6" t="s">
        <v>90</v>
      </c>
      <c r="D434" s="6" t="s">
        <v>22</v>
      </c>
      <c r="E434" s="6" t="s">
        <v>23</v>
      </c>
      <c r="F434" s="6" t="s">
        <v>24</v>
      </c>
      <c r="G434" s="6" t="s">
        <v>86</v>
      </c>
      <c r="H434" s="6" t="s">
        <v>26</v>
      </c>
      <c r="I434" s="6" t="s">
        <v>100</v>
      </c>
      <c r="J434" s="6" t="s">
        <v>22</v>
      </c>
      <c r="K434" s="6" t="s">
        <v>53</v>
      </c>
      <c r="L434" s="6" t="s">
        <v>54</v>
      </c>
      <c r="M434" s="6" t="s">
        <v>48</v>
      </c>
      <c r="N434" s="6" t="s">
        <v>28</v>
      </c>
      <c r="O434" s="6" t="s">
        <v>48</v>
      </c>
      <c r="P434" s="6" t="s">
        <v>48</v>
      </c>
      <c r="Q434" s="6" t="s">
        <v>48</v>
      </c>
      <c r="R434" s="6" t="s">
        <v>22</v>
      </c>
      <c r="S434" s="6" t="s">
        <v>54</v>
      </c>
      <c r="T434" s="6" t="s">
        <v>48</v>
      </c>
      <c r="U434" s="6" t="s">
        <v>127</v>
      </c>
      <c r="V434" s="6" t="s">
        <v>137</v>
      </c>
      <c r="W434" t="s">
        <v>786</v>
      </c>
    </row>
    <row r="435" spans="1:23" x14ac:dyDescent="0.3">
      <c r="A435" s="6" t="s">
        <v>484</v>
      </c>
      <c r="B435" s="1">
        <v>45786</v>
      </c>
      <c r="C435" s="6" t="s">
        <v>90</v>
      </c>
      <c r="D435" s="6" t="s">
        <v>22</v>
      </c>
      <c r="E435" s="6" t="s">
        <v>23</v>
      </c>
      <c r="F435" s="6" t="s">
        <v>24</v>
      </c>
      <c r="G435" s="6" t="s">
        <v>86</v>
      </c>
      <c r="H435" s="6" t="s">
        <v>26</v>
      </c>
      <c r="I435" s="6" t="s">
        <v>100</v>
      </c>
      <c r="J435" s="6" t="s">
        <v>22</v>
      </c>
      <c r="K435" s="6" t="s">
        <v>53</v>
      </c>
      <c r="L435" s="6" t="s">
        <v>54</v>
      </c>
      <c r="M435" s="6" t="s">
        <v>48</v>
      </c>
      <c r="N435" s="6" t="s">
        <v>28</v>
      </c>
      <c r="O435" s="6" t="s">
        <v>48</v>
      </c>
      <c r="P435" s="6" t="s">
        <v>48</v>
      </c>
      <c r="Q435" s="6" t="s">
        <v>48</v>
      </c>
      <c r="R435" s="6" t="s">
        <v>22</v>
      </c>
      <c r="S435" s="6" t="s">
        <v>54</v>
      </c>
      <c r="T435" s="6" t="s">
        <v>48</v>
      </c>
      <c r="U435" s="6" t="s">
        <v>127</v>
      </c>
      <c r="V435" s="6" t="s">
        <v>82</v>
      </c>
      <c r="W435" t="s">
        <v>786</v>
      </c>
    </row>
    <row r="436" spans="1:23" x14ac:dyDescent="0.3">
      <c r="A436" s="6" t="s">
        <v>486</v>
      </c>
      <c r="B436" s="1">
        <v>45786</v>
      </c>
      <c r="C436" s="6" t="s">
        <v>57</v>
      </c>
      <c r="D436" s="6" t="s">
        <v>43</v>
      </c>
      <c r="E436" s="6" t="s">
        <v>64</v>
      </c>
      <c r="F436" s="6" t="s">
        <v>24</v>
      </c>
      <c r="G436" s="6" t="s">
        <v>145</v>
      </c>
      <c r="H436" s="6" t="s">
        <v>26</v>
      </c>
      <c r="I436" s="6" t="s">
        <v>38</v>
      </c>
      <c r="J436" s="6" t="s">
        <v>43</v>
      </c>
      <c r="K436" s="6" t="s">
        <v>48</v>
      </c>
      <c r="L436" s="6" t="s">
        <v>152</v>
      </c>
      <c r="M436" s="6" t="s">
        <v>32</v>
      </c>
      <c r="N436" s="6" t="s">
        <v>28</v>
      </c>
      <c r="O436" s="6" t="s">
        <v>26</v>
      </c>
      <c r="P436" s="6" t="s">
        <v>42</v>
      </c>
      <c r="Q436" s="6" t="s">
        <v>31</v>
      </c>
      <c r="R436" s="6" t="s">
        <v>43</v>
      </c>
      <c r="S436" s="6" t="s">
        <v>128</v>
      </c>
      <c r="T436" s="6" t="s">
        <v>29</v>
      </c>
      <c r="U436" s="6" t="s">
        <v>28</v>
      </c>
      <c r="V436" s="6" t="s">
        <v>146</v>
      </c>
      <c r="W436" t="s">
        <v>786</v>
      </c>
    </row>
    <row r="437" spans="1:23" x14ac:dyDescent="0.3">
      <c r="A437" s="6" t="s">
        <v>486</v>
      </c>
      <c r="B437" s="1">
        <v>45786</v>
      </c>
      <c r="C437" s="6" t="s">
        <v>57</v>
      </c>
      <c r="D437" s="6" t="s">
        <v>43</v>
      </c>
      <c r="E437" s="6" t="s">
        <v>64</v>
      </c>
      <c r="F437" s="6" t="s">
        <v>24</v>
      </c>
      <c r="G437" s="6" t="s">
        <v>145</v>
      </c>
      <c r="H437" s="6" t="s">
        <v>26</v>
      </c>
      <c r="I437" s="6" t="s">
        <v>38</v>
      </c>
      <c r="J437" s="6" t="s">
        <v>43</v>
      </c>
      <c r="K437" s="6" t="s">
        <v>48</v>
      </c>
      <c r="L437" s="6" t="s">
        <v>152</v>
      </c>
      <c r="M437" s="6" t="s">
        <v>32</v>
      </c>
      <c r="N437" s="6" t="s">
        <v>28</v>
      </c>
      <c r="O437" s="6" t="s">
        <v>26</v>
      </c>
      <c r="P437" s="6" t="s">
        <v>42</v>
      </c>
      <c r="Q437" s="6" t="s">
        <v>31</v>
      </c>
      <c r="R437" s="6" t="s">
        <v>43</v>
      </c>
      <c r="S437" s="6" t="s">
        <v>128</v>
      </c>
      <c r="T437" s="6" t="s">
        <v>29</v>
      </c>
      <c r="U437" s="6" t="s">
        <v>28</v>
      </c>
      <c r="V437" s="6" t="s">
        <v>82</v>
      </c>
      <c r="W437" t="s">
        <v>786</v>
      </c>
    </row>
    <row r="438" spans="1:23" x14ac:dyDescent="0.3">
      <c r="A438" s="6" t="s">
        <v>487</v>
      </c>
      <c r="B438" s="1">
        <v>45787</v>
      </c>
      <c r="C438" s="6" t="s">
        <v>57</v>
      </c>
      <c r="D438" s="6" t="s">
        <v>122</v>
      </c>
      <c r="E438" s="6" t="s">
        <v>46</v>
      </c>
      <c r="F438" s="6" t="s">
        <v>24</v>
      </c>
      <c r="G438" s="6" t="s">
        <v>61</v>
      </c>
      <c r="H438" s="6" t="s">
        <v>26</v>
      </c>
      <c r="I438" s="6" t="s">
        <v>52</v>
      </c>
      <c r="J438" s="6" t="s">
        <v>122</v>
      </c>
      <c r="K438" s="6" t="s">
        <v>141</v>
      </c>
      <c r="L438" s="6" t="s">
        <v>54</v>
      </c>
      <c r="M438" s="6" t="s">
        <v>29</v>
      </c>
      <c r="N438" s="6" t="s">
        <v>28</v>
      </c>
      <c r="O438" s="6" t="s">
        <v>48</v>
      </c>
      <c r="P438" s="6" t="s">
        <v>48</v>
      </c>
      <c r="Q438" s="6" t="s">
        <v>48</v>
      </c>
      <c r="R438" s="6" t="s">
        <v>122</v>
      </c>
      <c r="S438" s="6" t="s">
        <v>54</v>
      </c>
      <c r="T438" s="6" t="s">
        <v>48</v>
      </c>
      <c r="U438" s="6" t="s">
        <v>123</v>
      </c>
      <c r="V438" s="6" t="s">
        <v>82</v>
      </c>
      <c r="W438" t="s">
        <v>786</v>
      </c>
    </row>
    <row r="439" spans="1:23" x14ac:dyDescent="0.3">
      <c r="A439" s="6" t="s">
        <v>488</v>
      </c>
      <c r="B439" s="1">
        <v>45788</v>
      </c>
      <c r="C439" s="6" t="s">
        <v>84</v>
      </c>
      <c r="D439" s="6" t="s">
        <v>22</v>
      </c>
      <c r="E439" s="6" t="s">
        <v>68</v>
      </c>
      <c r="F439" s="6" t="s">
        <v>24</v>
      </c>
      <c r="G439" s="6" t="s">
        <v>61</v>
      </c>
      <c r="H439" s="6" t="s">
        <v>26</v>
      </c>
      <c r="I439" s="6" t="s">
        <v>38</v>
      </c>
      <c r="J439" s="6" t="s">
        <v>22</v>
      </c>
      <c r="K439" s="6" t="s">
        <v>48</v>
      </c>
      <c r="L439" s="6" t="s">
        <v>54</v>
      </c>
      <c r="M439" s="6" t="s">
        <v>32</v>
      </c>
      <c r="N439" s="6" t="s">
        <v>28</v>
      </c>
      <c r="O439" s="6" t="s">
        <v>30</v>
      </c>
      <c r="P439" s="6" t="s">
        <v>27</v>
      </c>
      <c r="Q439" s="6" t="s">
        <v>31</v>
      </c>
      <c r="R439" s="6" t="s">
        <v>49</v>
      </c>
      <c r="S439" s="6" t="s">
        <v>54</v>
      </c>
      <c r="T439" s="6" t="s">
        <v>32</v>
      </c>
      <c r="U439" s="6" t="s">
        <v>28</v>
      </c>
      <c r="V439" s="6" t="s">
        <v>82</v>
      </c>
      <c r="W439" t="s">
        <v>786</v>
      </c>
    </row>
    <row r="440" spans="1:23" x14ac:dyDescent="0.3">
      <c r="A440" s="6" t="s">
        <v>489</v>
      </c>
      <c r="B440" s="1">
        <v>45788</v>
      </c>
      <c r="C440" s="6" t="s">
        <v>343</v>
      </c>
      <c r="D440" s="6" t="s">
        <v>22</v>
      </c>
      <c r="E440" s="6" t="s">
        <v>68</v>
      </c>
      <c r="F440" s="6" t="s">
        <v>24</v>
      </c>
      <c r="G440" s="6" t="s">
        <v>61</v>
      </c>
      <c r="H440" s="6" t="s">
        <v>26</v>
      </c>
      <c r="I440" s="6" t="s">
        <v>27</v>
      </c>
      <c r="J440" s="6" t="s">
        <v>43</v>
      </c>
      <c r="K440" s="6" t="s">
        <v>48</v>
      </c>
      <c r="L440" s="6" t="s">
        <v>152</v>
      </c>
      <c r="M440" s="6" t="s">
        <v>55</v>
      </c>
      <c r="N440" s="6" t="s">
        <v>28</v>
      </c>
      <c r="O440" s="6" t="s">
        <v>26</v>
      </c>
      <c r="P440" s="6" t="s">
        <v>48</v>
      </c>
      <c r="Q440" s="6" t="s">
        <v>48</v>
      </c>
      <c r="R440" s="6" t="s">
        <v>22</v>
      </c>
      <c r="S440" s="6" t="s">
        <v>54</v>
      </c>
      <c r="T440" s="6" t="s">
        <v>48</v>
      </c>
      <c r="U440" s="6" t="s">
        <v>28</v>
      </c>
      <c r="V440" s="6" t="s">
        <v>137</v>
      </c>
      <c r="W440" t="s">
        <v>786</v>
      </c>
    </row>
    <row r="441" spans="1:23" x14ac:dyDescent="0.3">
      <c r="A441" s="6" t="s">
        <v>490</v>
      </c>
      <c r="B441" s="1">
        <v>45788</v>
      </c>
      <c r="C441" s="6" t="s">
        <v>39</v>
      </c>
      <c r="D441" s="6" t="s">
        <v>43</v>
      </c>
      <c r="E441" s="6" t="s">
        <v>35</v>
      </c>
      <c r="F441" s="6" t="s">
        <v>24</v>
      </c>
      <c r="G441" s="6" t="s">
        <v>36</v>
      </c>
      <c r="H441" s="6" t="s">
        <v>26</v>
      </c>
      <c r="I441" s="6" t="s">
        <v>27</v>
      </c>
      <c r="J441" s="6" t="s">
        <v>43</v>
      </c>
      <c r="K441" s="6" t="s">
        <v>53</v>
      </c>
      <c r="L441" s="6" t="s">
        <v>152</v>
      </c>
      <c r="M441" s="6" t="s">
        <v>29</v>
      </c>
      <c r="N441" s="6" t="s">
        <v>28</v>
      </c>
      <c r="O441" s="6" t="s">
        <v>26</v>
      </c>
      <c r="P441" s="6" t="s">
        <v>42</v>
      </c>
      <c r="Q441" s="6" t="s">
        <v>48</v>
      </c>
      <c r="R441" s="6" t="s">
        <v>43</v>
      </c>
      <c r="S441" s="6" t="s">
        <v>704</v>
      </c>
      <c r="T441" s="6" t="s">
        <v>55</v>
      </c>
      <c r="U441" s="6" t="s">
        <v>28</v>
      </c>
      <c r="V441" s="6" t="s">
        <v>82</v>
      </c>
      <c r="W441" t="s">
        <v>786</v>
      </c>
    </row>
    <row r="442" spans="1:23" x14ac:dyDescent="0.3">
      <c r="A442" s="6" t="s">
        <v>492</v>
      </c>
      <c r="B442" s="1">
        <v>45789</v>
      </c>
      <c r="C442" s="6" t="s">
        <v>343</v>
      </c>
      <c r="D442" s="6" t="s">
        <v>67</v>
      </c>
      <c r="E442" s="6" t="s">
        <v>68</v>
      </c>
      <c r="F442" s="6" t="s">
        <v>24</v>
      </c>
      <c r="G442" s="6" t="s">
        <v>61</v>
      </c>
      <c r="H442" s="6" t="s">
        <v>26</v>
      </c>
      <c r="I442" s="6" t="s">
        <v>48</v>
      </c>
      <c r="J442" s="6" t="s">
        <v>49</v>
      </c>
      <c r="K442" s="6" t="s">
        <v>48</v>
      </c>
      <c r="L442" s="6" t="s">
        <v>54</v>
      </c>
      <c r="M442" s="6" t="s">
        <v>48</v>
      </c>
      <c r="N442" s="6" t="s">
        <v>28</v>
      </c>
      <c r="O442" s="6" t="s">
        <v>26</v>
      </c>
      <c r="P442" s="6" t="s">
        <v>58</v>
      </c>
      <c r="Q442" s="6" t="s">
        <v>48</v>
      </c>
      <c r="R442" s="6" t="s">
        <v>49</v>
      </c>
      <c r="S442" s="6" t="s">
        <v>54</v>
      </c>
      <c r="T442" s="6" t="s">
        <v>48</v>
      </c>
      <c r="U442" s="6" t="s">
        <v>28</v>
      </c>
      <c r="V442" s="6" t="s">
        <v>82</v>
      </c>
      <c r="W442" t="s">
        <v>786</v>
      </c>
    </row>
    <row r="443" spans="1:23" x14ac:dyDescent="0.3">
      <c r="A443" s="6" t="s">
        <v>491</v>
      </c>
      <c r="B443" s="1">
        <v>45789</v>
      </c>
      <c r="C443" s="6" t="s">
        <v>343</v>
      </c>
      <c r="D443" s="6" t="s">
        <v>67</v>
      </c>
      <c r="E443" s="6" t="s">
        <v>68</v>
      </c>
      <c r="F443" s="6" t="s">
        <v>24</v>
      </c>
      <c r="G443" s="6" t="s">
        <v>61</v>
      </c>
      <c r="H443" s="6" t="s">
        <v>26</v>
      </c>
      <c r="I443" s="6" t="s">
        <v>48</v>
      </c>
      <c r="J443" s="6" t="s">
        <v>49</v>
      </c>
      <c r="K443" s="6" t="s">
        <v>48</v>
      </c>
      <c r="L443" s="6" t="s">
        <v>54</v>
      </c>
      <c r="M443" s="6" t="s">
        <v>48</v>
      </c>
      <c r="N443" s="6" t="s">
        <v>28</v>
      </c>
      <c r="O443" s="6" t="s">
        <v>26</v>
      </c>
      <c r="P443" s="6" t="s">
        <v>42</v>
      </c>
      <c r="Q443" s="6" t="s">
        <v>31</v>
      </c>
      <c r="R443" s="6" t="s">
        <v>49</v>
      </c>
      <c r="S443" s="6" t="s">
        <v>54</v>
      </c>
      <c r="T443" s="6" t="s">
        <v>48</v>
      </c>
      <c r="U443" s="6" t="s">
        <v>28</v>
      </c>
      <c r="V443" s="6" t="s">
        <v>82</v>
      </c>
      <c r="W443" t="s">
        <v>786</v>
      </c>
    </row>
    <row r="444" spans="1:23" x14ac:dyDescent="0.3">
      <c r="A444" s="6" t="s">
        <v>493</v>
      </c>
      <c r="B444" s="1">
        <v>45789</v>
      </c>
      <c r="C444" s="6" t="s">
        <v>343</v>
      </c>
      <c r="D444" s="6" t="s">
        <v>67</v>
      </c>
      <c r="E444" s="6" t="s">
        <v>68</v>
      </c>
      <c r="F444" s="6" t="s">
        <v>24</v>
      </c>
      <c r="G444" s="6" t="s">
        <v>61</v>
      </c>
      <c r="H444" s="6" t="s">
        <v>26</v>
      </c>
      <c r="I444" s="6" t="s">
        <v>48</v>
      </c>
      <c r="J444" s="6" t="s">
        <v>49</v>
      </c>
      <c r="K444" s="6" t="s">
        <v>48</v>
      </c>
      <c r="L444" s="6" t="s">
        <v>54</v>
      </c>
      <c r="M444" s="6" t="s">
        <v>48</v>
      </c>
      <c r="N444" s="6" t="s">
        <v>28</v>
      </c>
      <c r="O444" s="6" t="s">
        <v>26</v>
      </c>
      <c r="P444" s="6" t="s">
        <v>58</v>
      </c>
      <c r="Q444" s="6" t="s">
        <v>31</v>
      </c>
      <c r="R444" s="6" t="s">
        <v>49</v>
      </c>
      <c r="S444" s="6" t="s">
        <v>54</v>
      </c>
      <c r="T444" s="6" t="s">
        <v>48</v>
      </c>
      <c r="U444" s="6" t="s">
        <v>28</v>
      </c>
      <c r="V444" s="6" t="s">
        <v>82</v>
      </c>
      <c r="W444" t="s">
        <v>786</v>
      </c>
    </row>
    <row r="445" spans="1:23" x14ac:dyDescent="0.3">
      <c r="A445" s="6" t="s">
        <v>494</v>
      </c>
      <c r="B445" s="1">
        <v>45789</v>
      </c>
      <c r="C445" s="6" t="s">
        <v>33</v>
      </c>
      <c r="D445" s="6" t="s">
        <v>34</v>
      </c>
      <c r="E445" s="6" t="s">
        <v>68</v>
      </c>
      <c r="F445" s="6" t="s">
        <v>24</v>
      </c>
      <c r="G445" s="6" t="s">
        <v>69</v>
      </c>
      <c r="H445" s="6" t="s">
        <v>48</v>
      </c>
      <c r="I445" s="6" t="s">
        <v>52</v>
      </c>
      <c r="J445" s="6" t="s">
        <v>34</v>
      </c>
      <c r="K445" s="6" t="s">
        <v>48</v>
      </c>
      <c r="L445" s="6" t="s">
        <v>151</v>
      </c>
      <c r="M445" s="6" t="s">
        <v>48</v>
      </c>
      <c r="N445" s="6" t="s">
        <v>28</v>
      </c>
      <c r="O445" s="6" t="s">
        <v>30</v>
      </c>
      <c r="P445" s="6" t="s">
        <v>788</v>
      </c>
      <c r="Q445" s="6" t="s">
        <v>48</v>
      </c>
      <c r="R445" s="6" t="s">
        <v>34</v>
      </c>
      <c r="S445" s="6" t="s">
        <v>54</v>
      </c>
      <c r="T445" s="6" t="s">
        <v>32</v>
      </c>
      <c r="U445" s="6" t="s">
        <v>28</v>
      </c>
      <c r="V445" s="6" t="s">
        <v>82</v>
      </c>
      <c r="W445" t="s">
        <v>786</v>
      </c>
    </row>
    <row r="446" spans="1:23" x14ac:dyDescent="0.3">
      <c r="A446" s="6" t="s">
        <v>495</v>
      </c>
      <c r="B446" s="1">
        <v>45789</v>
      </c>
      <c r="C446" s="6" t="s">
        <v>33</v>
      </c>
      <c r="D446" s="6" t="s">
        <v>22</v>
      </c>
      <c r="E446" s="6" t="s">
        <v>64</v>
      </c>
      <c r="F446" s="6" t="s">
        <v>24</v>
      </c>
      <c r="G446" s="6" t="s">
        <v>69</v>
      </c>
      <c r="H446" s="6" t="s">
        <v>26</v>
      </c>
      <c r="I446" s="6" t="s">
        <v>52</v>
      </c>
      <c r="J446" s="6" t="s">
        <v>22</v>
      </c>
      <c r="K446" s="6" t="s">
        <v>48</v>
      </c>
      <c r="L446" s="6" t="s">
        <v>54</v>
      </c>
      <c r="M446" s="6" t="s">
        <v>29</v>
      </c>
      <c r="N446" s="6" t="s">
        <v>28</v>
      </c>
      <c r="O446" s="6" t="s">
        <v>26</v>
      </c>
      <c r="P446" s="6" t="s">
        <v>48</v>
      </c>
      <c r="Q446" s="6" t="s">
        <v>48</v>
      </c>
      <c r="R446" s="6" t="s">
        <v>22</v>
      </c>
      <c r="S446" s="6" t="s">
        <v>54</v>
      </c>
      <c r="T446" s="6" t="s">
        <v>48</v>
      </c>
      <c r="U446" s="6" t="s">
        <v>28</v>
      </c>
      <c r="V446" s="6" t="s">
        <v>82</v>
      </c>
      <c r="W446" t="s">
        <v>786</v>
      </c>
    </row>
    <row r="447" spans="1:23" x14ac:dyDescent="0.3">
      <c r="A447" s="6" t="s">
        <v>496</v>
      </c>
      <c r="B447" s="1">
        <v>45790</v>
      </c>
      <c r="C447" s="6" t="s">
        <v>39</v>
      </c>
      <c r="D447" s="6" t="s">
        <v>83</v>
      </c>
      <c r="E447" s="6" t="s">
        <v>68</v>
      </c>
      <c r="F447" s="6" t="s">
        <v>24</v>
      </c>
      <c r="G447" s="6" t="s">
        <v>86</v>
      </c>
      <c r="H447" s="6" t="s">
        <v>26</v>
      </c>
      <c r="I447" s="6" t="s">
        <v>38</v>
      </c>
      <c r="J447" s="6" t="s">
        <v>83</v>
      </c>
      <c r="K447" s="6" t="s">
        <v>48</v>
      </c>
      <c r="L447" s="6" t="s">
        <v>54</v>
      </c>
      <c r="M447" s="6" t="s">
        <v>29</v>
      </c>
      <c r="N447" s="6" t="s">
        <v>28</v>
      </c>
      <c r="O447" s="6" t="s">
        <v>48</v>
      </c>
      <c r="P447" s="6" t="s">
        <v>48</v>
      </c>
      <c r="Q447" s="6" t="s">
        <v>48</v>
      </c>
      <c r="R447" s="6" t="s">
        <v>83</v>
      </c>
      <c r="S447" s="6" t="s">
        <v>54</v>
      </c>
      <c r="T447" s="6" t="s">
        <v>48</v>
      </c>
      <c r="U447" s="6" t="s">
        <v>59</v>
      </c>
      <c r="V447" s="6" t="s">
        <v>137</v>
      </c>
      <c r="W447" t="s">
        <v>786</v>
      </c>
    </row>
    <row r="448" spans="1:23" x14ac:dyDescent="0.3">
      <c r="A448" s="6" t="s">
        <v>496</v>
      </c>
      <c r="B448" s="1">
        <v>45790</v>
      </c>
      <c r="C448" s="6" t="s">
        <v>39</v>
      </c>
      <c r="D448" s="6" t="s">
        <v>83</v>
      </c>
      <c r="E448" s="6" t="s">
        <v>68</v>
      </c>
      <c r="F448" s="6" t="s">
        <v>24</v>
      </c>
      <c r="G448" s="6" t="s">
        <v>86</v>
      </c>
      <c r="H448" s="6" t="s">
        <v>26</v>
      </c>
      <c r="I448" s="6" t="s">
        <v>38</v>
      </c>
      <c r="J448" s="6" t="s">
        <v>83</v>
      </c>
      <c r="K448" s="6" t="s">
        <v>48</v>
      </c>
      <c r="L448" s="6" t="s">
        <v>54</v>
      </c>
      <c r="M448" s="6" t="s">
        <v>29</v>
      </c>
      <c r="N448" s="6" t="s">
        <v>28</v>
      </c>
      <c r="O448" s="6" t="s">
        <v>48</v>
      </c>
      <c r="P448" s="6" t="s">
        <v>48</v>
      </c>
      <c r="Q448" s="6" t="s">
        <v>48</v>
      </c>
      <c r="R448" s="6" t="s">
        <v>83</v>
      </c>
      <c r="S448" s="6" t="s">
        <v>54</v>
      </c>
      <c r="T448" s="6" t="s">
        <v>48</v>
      </c>
      <c r="U448" s="6" t="s">
        <v>59</v>
      </c>
      <c r="V448" s="6" t="s">
        <v>82</v>
      </c>
      <c r="W448" t="s">
        <v>786</v>
      </c>
    </row>
    <row r="449" spans="1:23" x14ac:dyDescent="0.3">
      <c r="A449" s="6" t="s">
        <v>497</v>
      </c>
      <c r="B449" s="1">
        <v>45790</v>
      </c>
      <c r="C449" s="6" t="s">
        <v>33</v>
      </c>
      <c r="D449" s="6" t="s">
        <v>83</v>
      </c>
      <c r="E449" s="6" t="s">
        <v>35</v>
      </c>
      <c r="F449" s="6" t="s">
        <v>24</v>
      </c>
      <c r="G449" s="6" t="s">
        <v>71</v>
      </c>
      <c r="H449" s="6" t="s">
        <v>26</v>
      </c>
      <c r="I449" s="6" t="s">
        <v>42</v>
      </c>
      <c r="J449" s="6" t="s">
        <v>83</v>
      </c>
      <c r="K449" s="6" t="s">
        <v>48</v>
      </c>
      <c r="L449" s="6" t="s">
        <v>152</v>
      </c>
      <c r="M449" s="6" t="s">
        <v>29</v>
      </c>
      <c r="N449" s="6" t="s">
        <v>28</v>
      </c>
      <c r="O449" s="6" t="s">
        <v>26</v>
      </c>
      <c r="P449" s="6" t="s">
        <v>42</v>
      </c>
      <c r="Q449" s="6" t="s">
        <v>31</v>
      </c>
      <c r="R449" s="6" t="s">
        <v>83</v>
      </c>
      <c r="S449" s="6" t="s">
        <v>54</v>
      </c>
      <c r="T449" s="6" t="s">
        <v>29</v>
      </c>
      <c r="U449" s="6" t="s">
        <v>28</v>
      </c>
      <c r="V449" s="6" t="s">
        <v>82</v>
      </c>
      <c r="W449" t="s">
        <v>786</v>
      </c>
    </row>
    <row r="450" spans="1:23" x14ac:dyDescent="0.3">
      <c r="A450" s="6" t="s">
        <v>498</v>
      </c>
      <c r="B450" s="1">
        <v>45790</v>
      </c>
      <c r="C450" s="6" t="s">
        <v>33</v>
      </c>
      <c r="D450" s="6" t="s">
        <v>83</v>
      </c>
      <c r="E450" s="6" t="s">
        <v>35</v>
      </c>
      <c r="F450" s="6" t="s">
        <v>24</v>
      </c>
      <c r="G450" s="6" t="s">
        <v>71</v>
      </c>
      <c r="H450" s="6" t="s">
        <v>26</v>
      </c>
      <c r="I450" s="6" t="s">
        <v>42</v>
      </c>
      <c r="J450" s="6" t="s">
        <v>83</v>
      </c>
      <c r="K450" s="6" t="s">
        <v>48</v>
      </c>
      <c r="L450" s="6" t="s">
        <v>152</v>
      </c>
      <c r="M450" s="6" t="s">
        <v>29</v>
      </c>
      <c r="N450" s="6" t="s">
        <v>28</v>
      </c>
      <c r="O450" s="6" t="s">
        <v>30</v>
      </c>
      <c r="P450" s="6" t="s">
        <v>45</v>
      </c>
      <c r="Q450" s="6" t="s">
        <v>31</v>
      </c>
      <c r="R450" s="6" t="s">
        <v>83</v>
      </c>
      <c r="S450" s="6" t="s">
        <v>152</v>
      </c>
      <c r="T450" s="6" t="s">
        <v>32</v>
      </c>
      <c r="U450" s="6" t="s">
        <v>28</v>
      </c>
      <c r="V450" s="6" t="s">
        <v>82</v>
      </c>
      <c r="W450" t="s">
        <v>786</v>
      </c>
    </row>
    <row r="451" spans="1:23" x14ac:dyDescent="0.3">
      <c r="A451" s="6" t="s">
        <v>499</v>
      </c>
      <c r="B451" s="1">
        <v>45790</v>
      </c>
      <c r="C451" s="6" t="s">
        <v>33</v>
      </c>
      <c r="D451" s="6" t="s">
        <v>22</v>
      </c>
      <c r="E451" s="6" t="s">
        <v>68</v>
      </c>
      <c r="F451" s="6" t="s">
        <v>24</v>
      </c>
      <c r="G451" s="6" t="s">
        <v>69</v>
      </c>
      <c r="H451" s="6" t="s">
        <v>26</v>
      </c>
      <c r="I451" s="6" t="s">
        <v>38</v>
      </c>
      <c r="J451" s="6" t="s">
        <v>22</v>
      </c>
      <c r="K451" s="6" t="s">
        <v>48</v>
      </c>
      <c r="L451" s="6" t="s">
        <v>152</v>
      </c>
      <c r="M451" s="6" t="s">
        <v>55</v>
      </c>
      <c r="N451" s="6" t="s">
        <v>28</v>
      </c>
      <c r="O451" s="6" t="s">
        <v>48</v>
      </c>
      <c r="P451" s="6" t="s">
        <v>48</v>
      </c>
      <c r="Q451" s="6" t="s">
        <v>48</v>
      </c>
      <c r="R451" s="6" t="s">
        <v>22</v>
      </c>
      <c r="S451" s="6" t="s">
        <v>54</v>
      </c>
      <c r="T451" s="6" t="s">
        <v>48</v>
      </c>
      <c r="U451" s="6" t="s">
        <v>28</v>
      </c>
      <c r="V451" s="6" t="s">
        <v>82</v>
      </c>
      <c r="W451" t="s">
        <v>786</v>
      </c>
    </row>
    <row r="452" spans="1:23" x14ac:dyDescent="0.3">
      <c r="A452" s="6" t="s">
        <v>500</v>
      </c>
      <c r="B452" s="1">
        <v>45791</v>
      </c>
      <c r="C452" s="6" t="s">
        <v>343</v>
      </c>
      <c r="D452" s="6" t="s">
        <v>34</v>
      </c>
      <c r="E452" s="6" t="s">
        <v>44</v>
      </c>
      <c r="F452" s="6" t="s">
        <v>24</v>
      </c>
      <c r="G452" s="6" t="s">
        <v>98</v>
      </c>
      <c r="H452" s="6" t="s">
        <v>48</v>
      </c>
      <c r="I452" s="6" t="s">
        <v>42</v>
      </c>
      <c r="J452" s="6" t="s">
        <v>34</v>
      </c>
      <c r="K452" s="6" t="s">
        <v>48</v>
      </c>
      <c r="L452" s="6" t="s">
        <v>54</v>
      </c>
      <c r="M452" s="6" t="s">
        <v>48</v>
      </c>
      <c r="N452" s="6" t="s">
        <v>28</v>
      </c>
      <c r="O452" s="6" t="s">
        <v>48</v>
      </c>
      <c r="P452" s="6" t="s">
        <v>48</v>
      </c>
      <c r="Q452" s="6" t="s">
        <v>48</v>
      </c>
      <c r="R452" s="6" t="s">
        <v>34</v>
      </c>
      <c r="S452" s="6" t="s">
        <v>54</v>
      </c>
      <c r="T452" s="6" t="s">
        <v>48</v>
      </c>
      <c r="U452" s="6" t="s">
        <v>94</v>
      </c>
      <c r="V452" s="6" t="s">
        <v>137</v>
      </c>
      <c r="W452" t="s">
        <v>786</v>
      </c>
    </row>
    <row r="453" spans="1:23" x14ac:dyDescent="0.3">
      <c r="A453" s="6" t="s">
        <v>502</v>
      </c>
      <c r="B453" s="1">
        <v>45791</v>
      </c>
      <c r="C453" s="6" t="s">
        <v>343</v>
      </c>
      <c r="D453" s="6" t="s">
        <v>34</v>
      </c>
      <c r="E453" s="6" t="s">
        <v>44</v>
      </c>
      <c r="F453" s="6" t="s">
        <v>24</v>
      </c>
      <c r="G453" s="6" t="s">
        <v>98</v>
      </c>
      <c r="H453" s="6" t="s">
        <v>48</v>
      </c>
      <c r="I453" s="6" t="s">
        <v>42</v>
      </c>
      <c r="J453" s="6" t="s">
        <v>34</v>
      </c>
      <c r="K453" s="6" t="s">
        <v>48</v>
      </c>
      <c r="L453" s="6" t="s">
        <v>54</v>
      </c>
      <c r="M453" s="6" t="s">
        <v>48</v>
      </c>
      <c r="N453" s="6" t="s">
        <v>28</v>
      </c>
      <c r="O453" s="6" t="s">
        <v>48</v>
      </c>
      <c r="P453" s="6" t="s">
        <v>48</v>
      </c>
      <c r="Q453" s="6" t="s">
        <v>48</v>
      </c>
      <c r="R453" s="6" t="s">
        <v>34</v>
      </c>
      <c r="S453" s="6" t="s">
        <v>54</v>
      </c>
      <c r="T453" s="6" t="s">
        <v>48</v>
      </c>
      <c r="U453" s="6" t="s">
        <v>94</v>
      </c>
      <c r="V453" s="6" t="s">
        <v>137</v>
      </c>
      <c r="W453" t="s">
        <v>786</v>
      </c>
    </row>
    <row r="454" spans="1:23" x14ac:dyDescent="0.3">
      <c r="A454" s="6" t="s">
        <v>501</v>
      </c>
      <c r="B454" s="1">
        <v>45791</v>
      </c>
      <c r="C454" s="6" t="s">
        <v>343</v>
      </c>
      <c r="D454" s="6" t="s">
        <v>34</v>
      </c>
      <c r="E454" s="6" t="s">
        <v>44</v>
      </c>
      <c r="F454" s="6" t="s">
        <v>24</v>
      </c>
      <c r="G454" s="6" t="s">
        <v>98</v>
      </c>
      <c r="H454" s="6" t="s">
        <v>48</v>
      </c>
      <c r="I454" s="6" t="s">
        <v>42</v>
      </c>
      <c r="J454" s="6" t="s">
        <v>34</v>
      </c>
      <c r="K454" s="6" t="s">
        <v>48</v>
      </c>
      <c r="L454" s="6" t="s">
        <v>54</v>
      </c>
      <c r="M454" s="6" t="s">
        <v>48</v>
      </c>
      <c r="N454" s="6" t="s">
        <v>28</v>
      </c>
      <c r="O454" s="6" t="s">
        <v>48</v>
      </c>
      <c r="P454" s="6" t="s">
        <v>48</v>
      </c>
      <c r="Q454" s="6" t="s">
        <v>48</v>
      </c>
      <c r="R454" s="6" t="s">
        <v>34</v>
      </c>
      <c r="S454" s="6" t="s">
        <v>54</v>
      </c>
      <c r="T454" s="6" t="s">
        <v>48</v>
      </c>
      <c r="U454" s="6" t="s">
        <v>94</v>
      </c>
      <c r="V454" s="6" t="s">
        <v>137</v>
      </c>
      <c r="W454" t="s">
        <v>786</v>
      </c>
    </row>
    <row r="455" spans="1:23" x14ac:dyDescent="0.3">
      <c r="A455" s="6" t="s">
        <v>504</v>
      </c>
      <c r="B455" s="1">
        <v>45792</v>
      </c>
      <c r="C455" s="6" t="s">
        <v>33</v>
      </c>
      <c r="D455" s="6" t="s">
        <v>75</v>
      </c>
      <c r="E455" s="6" t="s">
        <v>68</v>
      </c>
      <c r="F455" s="6" t="s">
        <v>24</v>
      </c>
      <c r="G455" s="6" t="s">
        <v>61</v>
      </c>
      <c r="H455" s="6" t="s">
        <v>26</v>
      </c>
      <c r="I455" s="6" t="s">
        <v>42</v>
      </c>
      <c r="J455" s="6" t="s">
        <v>75</v>
      </c>
      <c r="K455" s="6" t="s">
        <v>76</v>
      </c>
      <c r="L455" s="6" t="s">
        <v>704</v>
      </c>
      <c r="M455" s="6" t="s">
        <v>29</v>
      </c>
      <c r="N455" s="6" t="s">
        <v>28</v>
      </c>
      <c r="O455" s="6" t="s">
        <v>48</v>
      </c>
      <c r="P455" s="6" t="s">
        <v>48</v>
      </c>
      <c r="Q455" s="6" t="s">
        <v>48</v>
      </c>
      <c r="R455" s="6" t="s">
        <v>75</v>
      </c>
      <c r="S455" s="6" t="s">
        <v>54</v>
      </c>
      <c r="T455" s="6" t="s">
        <v>48</v>
      </c>
      <c r="U455" s="6" t="s">
        <v>118</v>
      </c>
      <c r="V455" s="6" t="s">
        <v>146</v>
      </c>
      <c r="W455" t="s">
        <v>786</v>
      </c>
    </row>
    <row r="456" spans="1:23" x14ac:dyDescent="0.3">
      <c r="A456" s="6" t="s">
        <v>503</v>
      </c>
      <c r="B456" s="1">
        <v>45792</v>
      </c>
      <c r="C456" s="6" t="s">
        <v>33</v>
      </c>
      <c r="D456" s="6" t="s">
        <v>75</v>
      </c>
      <c r="E456" s="6" t="s">
        <v>68</v>
      </c>
      <c r="F456" s="6" t="s">
        <v>24</v>
      </c>
      <c r="G456" s="6" t="s">
        <v>61</v>
      </c>
      <c r="H456" s="6" t="s">
        <v>26</v>
      </c>
      <c r="I456" s="6" t="s">
        <v>42</v>
      </c>
      <c r="J456" s="6" t="s">
        <v>75</v>
      </c>
      <c r="K456" s="6" t="s">
        <v>76</v>
      </c>
      <c r="L456" s="6" t="s">
        <v>704</v>
      </c>
      <c r="M456" s="6" t="s">
        <v>29</v>
      </c>
      <c r="N456" s="6" t="s">
        <v>28</v>
      </c>
      <c r="O456" s="6" t="s">
        <v>26</v>
      </c>
      <c r="P456" s="6" t="s">
        <v>788</v>
      </c>
      <c r="Q456" s="6" t="s">
        <v>31</v>
      </c>
      <c r="R456" s="6" t="s">
        <v>75</v>
      </c>
      <c r="S456" s="6" t="s">
        <v>704</v>
      </c>
      <c r="T456" s="6" t="s">
        <v>32</v>
      </c>
      <c r="U456" s="6" t="s">
        <v>28</v>
      </c>
      <c r="V456" s="6" t="s">
        <v>146</v>
      </c>
      <c r="W456" t="s">
        <v>786</v>
      </c>
    </row>
    <row r="457" spans="1:23" x14ac:dyDescent="0.3">
      <c r="A457" s="6" t="s">
        <v>505</v>
      </c>
      <c r="B457" s="1">
        <v>45792</v>
      </c>
      <c r="C457" s="6" t="s">
        <v>57</v>
      </c>
      <c r="D457" s="6" t="s">
        <v>43</v>
      </c>
      <c r="E457" s="6" t="s">
        <v>35</v>
      </c>
      <c r="F457" s="6" t="s">
        <v>24</v>
      </c>
      <c r="G457" s="6" t="s">
        <v>47</v>
      </c>
      <c r="H457" s="6" t="s">
        <v>26</v>
      </c>
      <c r="I457" s="6" t="s">
        <v>27</v>
      </c>
      <c r="J457" s="6" t="s">
        <v>43</v>
      </c>
      <c r="K457" s="6" t="s">
        <v>76</v>
      </c>
      <c r="L457" s="6" t="s">
        <v>54</v>
      </c>
      <c r="M457" s="6" t="s">
        <v>29</v>
      </c>
      <c r="N457" s="6" t="s">
        <v>28</v>
      </c>
      <c r="O457" s="6" t="s">
        <v>48</v>
      </c>
      <c r="P457" s="6" t="s">
        <v>48</v>
      </c>
      <c r="Q457" s="6" t="s">
        <v>48</v>
      </c>
      <c r="R457" s="6" t="s">
        <v>43</v>
      </c>
      <c r="S457" s="6" t="s">
        <v>54</v>
      </c>
      <c r="T457" s="6" t="s">
        <v>48</v>
      </c>
      <c r="U457" s="6" t="s">
        <v>109</v>
      </c>
      <c r="V457" s="6" t="s">
        <v>82</v>
      </c>
      <c r="W457" t="s">
        <v>786</v>
      </c>
    </row>
    <row r="458" spans="1:23" x14ac:dyDescent="0.3">
      <c r="A458" s="6" t="s">
        <v>506</v>
      </c>
      <c r="B458" s="1">
        <v>45792</v>
      </c>
      <c r="C458" s="6" t="s">
        <v>57</v>
      </c>
      <c r="D458" s="6" t="s">
        <v>43</v>
      </c>
      <c r="E458" s="6" t="s">
        <v>35</v>
      </c>
      <c r="F458" s="6" t="s">
        <v>24</v>
      </c>
      <c r="G458" s="6" t="s">
        <v>47</v>
      </c>
      <c r="H458" s="6" t="s">
        <v>26</v>
      </c>
      <c r="I458" s="6" t="s">
        <v>27</v>
      </c>
      <c r="J458" s="6" t="s">
        <v>43</v>
      </c>
      <c r="K458" s="6" t="s">
        <v>76</v>
      </c>
      <c r="L458" s="6" t="s">
        <v>54</v>
      </c>
      <c r="M458" s="6" t="s">
        <v>29</v>
      </c>
      <c r="N458" s="6" t="s">
        <v>28</v>
      </c>
      <c r="O458" s="6" t="s">
        <v>48</v>
      </c>
      <c r="P458" s="6" t="s">
        <v>48</v>
      </c>
      <c r="Q458" s="6" t="s">
        <v>48</v>
      </c>
      <c r="R458" s="6" t="s">
        <v>43</v>
      </c>
      <c r="S458" s="6" t="s">
        <v>54</v>
      </c>
      <c r="T458" s="6" t="s">
        <v>48</v>
      </c>
      <c r="U458" s="6" t="s">
        <v>127</v>
      </c>
      <c r="V458" s="6" t="s">
        <v>82</v>
      </c>
      <c r="W458" t="s">
        <v>786</v>
      </c>
    </row>
    <row r="459" spans="1:23" x14ac:dyDescent="0.3">
      <c r="A459" s="6" t="s">
        <v>507</v>
      </c>
      <c r="B459" s="1">
        <v>45794</v>
      </c>
      <c r="C459" s="6" t="s">
        <v>39</v>
      </c>
      <c r="D459" s="6" t="s">
        <v>70</v>
      </c>
      <c r="E459" s="6" t="s">
        <v>68</v>
      </c>
      <c r="F459" s="6" t="s">
        <v>24</v>
      </c>
      <c r="G459" s="6" t="s">
        <v>61</v>
      </c>
      <c r="H459" s="6" t="s">
        <v>48</v>
      </c>
      <c r="I459" s="6" t="s">
        <v>27</v>
      </c>
      <c r="J459" s="6" t="s">
        <v>49</v>
      </c>
      <c r="K459" s="6" t="s">
        <v>48</v>
      </c>
      <c r="L459" s="6" t="s">
        <v>54</v>
      </c>
      <c r="M459" s="6" t="s">
        <v>48</v>
      </c>
      <c r="N459" s="6" t="s">
        <v>28</v>
      </c>
      <c r="O459" s="6" t="s">
        <v>30</v>
      </c>
      <c r="P459" s="6" t="s">
        <v>48</v>
      </c>
      <c r="Q459" s="6" t="s">
        <v>48</v>
      </c>
      <c r="R459" s="6" t="s">
        <v>70</v>
      </c>
      <c r="S459" s="6" t="s">
        <v>54</v>
      </c>
      <c r="T459" s="6" t="s">
        <v>48</v>
      </c>
      <c r="U459" s="6" t="s">
        <v>28</v>
      </c>
      <c r="V459" s="6" t="s">
        <v>137</v>
      </c>
      <c r="W459" t="s">
        <v>786</v>
      </c>
    </row>
    <row r="460" spans="1:23" x14ac:dyDescent="0.3">
      <c r="A460" s="6" t="s">
        <v>507</v>
      </c>
      <c r="B460" s="1">
        <v>45794</v>
      </c>
      <c r="C460" s="6" t="s">
        <v>39</v>
      </c>
      <c r="D460" s="6" t="s">
        <v>70</v>
      </c>
      <c r="E460" s="6" t="s">
        <v>68</v>
      </c>
      <c r="F460" s="6" t="s">
        <v>24</v>
      </c>
      <c r="G460" s="6" t="s">
        <v>61</v>
      </c>
      <c r="H460" s="6" t="s">
        <v>48</v>
      </c>
      <c r="I460" s="6" t="s">
        <v>27</v>
      </c>
      <c r="J460" s="6" t="s">
        <v>49</v>
      </c>
      <c r="K460" s="6" t="s">
        <v>48</v>
      </c>
      <c r="L460" s="6" t="s">
        <v>54</v>
      </c>
      <c r="M460" s="6" t="s">
        <v>48</v>
      </c>
      <c r="N460" s="6" t="s">
        <v>28</v>
      </c>
      <c r="O460" s="6" t="s">
        <v>30</v>
      </c>
      <c r="P460" s="6" t="s">
        <v>48</v>
      </c>
      <c r="Q460" s="6" t="s">
        <v>48</v>
      </c>
      <c r="R460" s="6" t="s">
        <v>70</v>
      </c>
      <c r="S460" s="6" t="s">
        <v>54</v>
      </c>
      <c r="T460" s="6" t="s">
        <v>48</v>
      </c>
      <c r="U460" s="6" t="s">
        <v>28</v>
      </c>
      <c r="V460" s="6" t="s">
        <v>82</v>
      </c>
      <c r="W460" t="s">
        <v>786</v>
      </c>
    </row>
    <row r="461" spans="1:23" x14ac:dyDescent="0.3">
      <c r="A461" s="6" t="s">
        <v>507</v>
      </c>
      <c r="B461" s="1">
        <v>45794</v>
      </c>
      <c r="C461" s="6" t="s">
        <v>39</v>
      </c>
      <c r="D461" s="6" t="s">
        <v>70</v>
      </c>
      <c r="E461" s="6" t="s">
        <v>68</v>
      </c>
      <c r="F461" s="6" t="s">
        <v>24</v>
      </c>
      <c r="G461" s="6" t="s">
        <v>61</v>
      </c>
      <c r="H461" s="6" t="s">
        <v>48</v>
      </c>
      <c r="I461" s="6" t="s">
        <v>27</v>
      </c>
      <c r="J461" s="6" t="s">
        <v>49</v>
      </c>
      <c r="K461" s="6" t="s">
        <v>48</v>
      </c>
      <c r="L461" s="6" t="s">
        <v>54</v>
      </c>
      <c r="M461" s="6" t="s">
        <v>48</v>
      </c>
      <c r="N461" s="6" t="s">
        <v>28</v>
      </c>
      <c r="O461" s="6" t="s">
        <v>30</v>
      </c>
      <c r="P461" s="6" t="s">
        <v>48</v>
      </c>
      <c r="Q461" s="6" t="s">
        <v>48</v>
      </c>
      <c r="R461" s="6" t="s">
        <v>70</v>
      </c>
      <c r="S461" s="6" t="s">
        <v>54</v>
      </c>
      <c r="T461" s="6" t="s">
        <v>48</v>
      </c>
      <c r="U461" s="6" t="s">
        <v>28</v>
      </c>
      <c r="V461" s="6" t="s">
        <v>146</v>
      </c>
      <c r="W461" t="s">
        <v>786</v>
      </c>
    </row>
    <row r="462" spans="1:23" x14ac:dyDescent="0.3">
      <c r="A462" s="6" t="s">
        <v>508</v>
      </c>
      <c r="B462" s="1">
        <v>45795</v>
      </c>
      <c r="C462" s="6" t="s">
        <v>33</v>
      </c>
      <c r="D462" s="6" t="s">
        <v>92</v>
      </c>
      <c r="E462" s="6" t="s">
        <v>68</v>
      </c>
      <c r="F462" s="6" t="s">
        <v>24</v>
      </c>
      <c r="G462" s="6" t="s">
        <v>69</v>
      </c>
      <c r="H462" s="6" t="s">
        <v>26</v>
      </c>
      <c r="I462" s="6" t="s">
        <v>45</v>
      </c>
      <c r="J462" s="6" t="s">
        <v>92</v>
      </c>
      <c r="K462" s="6" t="s">
        <v>48</v>
      </c>
      <c r="L462" s="6" t="s">
        <v>54</v>
      </c>
      <c r="M462" s="6" t="s">
        <v>29</v>
      </c>
      <c r="N462" s="6" t="s">
        <v>28</v>
      </c>
      <c r="O462" s="6" t="s">
        <v>26</v>
      </c>
      <c r="P462" s="6" t="s">
        <v>52</v>
      </c>
      <c r="Q462" s="6" t="s">
        <v>31</v>
      </c>
      <c r="R462" s="6" t="s">
        <v>92</v>
      </c>
      <c r="S462" s="6" t="s">
        <v>54</v>
      </c>
      <c r="T462" s="6" t="s">
        <v>32</v>
      </c>
      <c r="U462" s="6" t="s">
        <v>28</v>
      </c>
      <c r="V462" s="6" t="s">
        <v>146</v>
      </c>
      <c r="W462" t="s">
        <v>786</v>
      </c>
    </row>
    <row r="463" spans="1:23" x14ac:dyDescent="0.3">
      <c r="A463" s="6" t="s">
        <v>508</v>
      </c>
      <c r="B463" s="1">
        <v>45795</v>
      </c>
      <c r="C463" s="6" t="s">
        <v>33</v>
      </c>
      <c r="D463" s="6" t="s">
        <v>92</v>
      </c>
      <c r="E463" s="6" t="s">
        <v>68</v>
      </c>
      <c r="F463" s="6" t="s">
        <v>24</v>
      </c>
      <c r="G463" s="6" t="s">
        <v>69</v>
      </c>
      <c r="H463" s="6" t="s">
        <v>26</v>
      </c>
      <c r="I463" s="6" t="s">
        <v>45</v>
      </c>
      <c r="J463" s="6" t="s">
        <v>92</v>
      </c>
      <c r="K463" s="6" t="s">
        <v>48</v>
      </c>
      <c r="L463" s="6" t="s">
        <v>54</v>
      </c>
      <c r="M463" s="6" t="s">
        <v>29</v>
      </c>
      <c r="N463" s="6" t="s">
        <v>28</v>
      </c>
      <c r="O463" s="6" t="s">
        <v>26</v>
      </c>
      <c r="P463" s="6" t="s">
        <v>52</v>
      </c>
      <c r="Q463" s="6" t="s">
        <v>31</v>
      </c>
      <c r="R463" s="6" t="s">
        <v>92</v>
      </c>
      <c r="S463" s="6" t="s">
        <v>54</v>
      </c>
      <c r="T463" s="6" t="s">
        <v>32</v>
      </c>
      <c r="U463" s="6" t="s">
        <v>28</v>
      </c>
      <c r="V463" s="6" t="s">
        <v>82</v>
      </c>
      <c r="W463" t="s">
        <v>786</v>
      </c>
    </row>
    <row r="464" spans="1:23" x14ac:dyDescent="0.3">
      <c r="A464" s="6" t="s">
        <v>509</v>
      </c>
      <c r="B464" s="1">
        <v>45795</v>
      </c>
      <c r="C464" s="6" t="s">
        <v>39</v>
      </c>
      <c r="D464" s="6" t="s">
        <v>34</v>
      </c>
      <c r="E464" s="6" t="s">
        <v>23</v>
      </c>
      <c r="F464" s="6" t="s">
        <v>24</v>
      </c>
      <c r="G464" s="6" t="s">
        <v>69</v>
      </c>
      <c r="H464" s="6" t="s">
        <v>48</v>
      </c>
      <c r="I464" s="6" t="s">
        <v>27</v>
      </c>
      <c r="J464" s="6" t="s">
        <v>34</v>
      </c>
      <c r="K464" s="6" t="s">
        <v>48</v>
      </c>
      <c r="L464" s="6" t="s">
        <v>54</v>
      </c>
      <c r="M464" s="6" t="s">
        <v>48</v>
      </c>
      <c r="N464" s="6" t="s">
        <v>28</v>
      </c>
      <c r="O464" s="6" t="s">
        <v>30</v>
      </c>
      <c r="P464" s="6" t="s">
        <v>45</v>
      </c>
      <c r="Q464" s="6" t="s">
        <v>31</v>
      </c>
      <c r="R464" s="6" t="s">
        <v>34</v>
      </c>
      <c r="S464" s="6" t="s">
        <v>54</v>
      </c>
      <c r="T464" s="6" t="s">
        <v>29</v>
      </c>
      <c r="U464" s="6" t="s">
        <v>28</v>
      </c>
      <c r="V464" s="6" t="s">
        <v>146</v>
      </c>
      <c r="W464" t="s">
        <v>786</v>
      </c>
    </row>
    <row r="465" spans="1:23" x14ac:dyDescent="0.3">
      <c r="A465" s="6" t="s">
        <v>509</v>
      </c>
      <c r="B465" s="1">
        <v>45795</v>
      </c>
      <c r="C465" s="6" t="s">
        <v>39</v>
      </c>
      <c r="D465" s="6" t="s">
        <v>34</v>
      </c>
      <c r="E465" s="6" t="s">
        <v>23</v>
      </c>
      <c r="F465" s="6" t="s">
        <v>24</v>
      </c>
      <c r="G465" s="6" t="s">
        <v>69</v>
      </c>
      <c r="H465" s="6" t="s">
        <v>48</v>
      </c>
      <c r="I465" s="6" t="s">
        <v>27</v>
      </c>
      <c r="J465" s="6" t="s">
        <v>34</v>
      </c>
      <c r="K465" s="6" t="s">
        <v>48</v>
      </c>
      <c r="L465" s="6" t="s">
        <v>54</v>
      </c>
      <c r="M465" s="6" t="s">
        <v>48</v>
      </c>
      <c r="N465" s="6" t="s">
        <v>28</v>
      </c>
      <c r="O465" s="6" t="s">
        <v>30</v>
      </c>
      <c r="P465" s="6" t="s">
        <v>45</v>
      </c>
      <c r="Q465" s="6" t="s">
        <v>31</v>
      </c>
      <c r="R465" s="6" t="s">
        <v>34</v>
      </c>
      <c r="S465" s="6" t="s">
        <v>54</v>
      </c>
      <c r="T465" s="6" t="s">
        <v>29</v>
      </c>
      <c r="U465" s="6" t="s">
        <v>28</v>
      </c>
      <c r="V465" s="6" t="s">
        <v>82</v>
      </c>
      <c r="W465" t="s">
        <v>786</v>
      </c>
    </row>
    <row r="466" spans="1:23" x14ac:dyDescent="0.3">
      <c r="A466" s="6" t="s">
        <v>510</v>
      </c>
      <c r="B466" s="1">
        <v>45796</v>
      </c>
      <c r="C466" s="6" t="s">
        <v>84</v>
      </c>
      <c r="D466" s="6" t="s">
        <v>48</v>
      </c>
      <c r="E466" s="6" t="s">
        <v>46</v>
      </c>
      <c r="F466" s="6" t="s">
        <v>24</v>
      </c>
      <c r="G466" s="6" t="s">
        <v>97</v>
      </c>
      <c r="H466" s="6" t="s">
        <v>26</v>
      </c>
      <c r="I466" s="6" t="s">
        <v>45</v>
      </c>
      <c r="J466" s="6" t="s">
        <v>22</v>
      </c>
      <c r="K466" s="6" t="s">
        <v>48</v>
      </c>
      <c r="L466" s="6" t="s">
        <v>54</v>
      </c>
      <c r="M466" s="6" t="s">
        <v>29</v>
      </c>
      <c r="N466" s="6" t="s">
        <v>28</v>
      </c>
      <c r="O466" s="6" t="s">
        <v>26</v>
      </c>
      <c r="P466" s="6" t="s">
        <v>48</v>
      </c>
      <c r="Q466" s="6" t="s">
        <v>48</v>
      </c>
      <c r="R466" s="6" t="s">
        <v>49</v>
      </c>
      <c r="S466" s="6" t="s">
        <v>54</v>
      </c>
      <c r="T466" s="6" t="s">
        <v>29</v>
      </c>
      <c r="U466" s="6" t="s">
        <v>28</v>
      </c>
      <c r="V466" s="6" t="s">
        <v>137</v>
      </c>
      <c r="W466" t="s">
        <v>786</v>
      </c>
    </row>
    <row r="467" spans="1:23" x14ac:dyDescent="0.3">
      <c r="A467" s="6" t="s">
        <v>510</v>
      </c>
      <c r="B467" s="1">
        <v>45796</v>
      </c>
      <c r="C467" s="6" t="s">
        <v>84</v>
      </c>
      <c r="D467" s="6" t="s">
        <v>48</v>
      </c>
      <c r="E467" s="6" t="s">
        <v>46</v>
      </c>
      <c r="F467" s="6" t="s">
        <v>24</v>
      </c>
      <c r="G467" s="6" t="s">
        <v>97</v>
      </c>
      <c r="H467" s="6" t="s">
        <v>26</v>
      </c>
      <c r="I467" s="6" t="s">
        <v>45</v>
      </c>
      <c r="J467" s="6" t="s">
        <v>22</v>
      </c>
      <c r="K467" s="6" t="s">
        <v>48</v>
      </c>
      <c r="L467" s="6" t="s">
        <v>54</v>
      </c>
      <c r="M467" s="6" t="s">
        <v>29</v>
      </c>
      <c r="N467" s="6" t="s">
        <v>28</v>
      </c>
      <c r="O467" s="6" t="s">
        <v>26</v>
      </c>
      <c r="P467" s="6" t="s">
        <v>48</v>
      </c>
      <c r="Q467" s="6" t="s">
        <v>48</v>
      </c>
      <c r="R467" s="6" t="s">
        <v>49</v>
      </c>
      <c r="S467" s="6" t="s">
        <v>54</v>
      </c>
      <c r="T467" s="6" t="s">
        <v>29</v>
      </c>
      <c r="U467" s="6" t="s">
        <v>28</v>
      </c>
      <c r="V467" s="6" t="s">
        <v>82</v>
      </c>
      <c r="W467" t="s">
        <v>786</v>
      </c>
    </row>
    <row r="468" spans="1:23" x14ac:dyDescent="0.3">
      <c r="A468" s="6" t="s">
        <v>511</v>
      </c>
      <c r="B468" s="1">
        <v>45796</v>
      </c>
      <c r="C468" s="6" t="s">
        <v>84</v>
      </c>
      <c r="D468" s="6" t="s">
        <v>48</v>
      </c>
      <c r="E468" s="6" t="s">
        <v>46</v>
      </c>
      <c r="F468" s="6" t="s">
        <v>24</v>
      </c>
      <c r="G468" s="6" t="s">
        <v>46</v>
      </c>
      <c r="H468" s="6" t="s">
        <v>48</v>
      </c>
      <c r="I468" s="6" t="s">
        <v>58</v>
      </c>
      <c r="J468" s="6" t="s">
        <v>49</v>
      </c>
      <c r="K468" s="6" t="s">
        <v>48</v>
      </c>
      <c r="L468" s="6" t="s">
        <v>54</v>
      </c>
      <c r="M468" s="6" t="s">
        <v>129</v>
      </c>
      <c r="N468" s="6" t="s">
        <v>28</v>
      </c>
      <c r="O468" s="6" t="s">
        <v>48</v>
      </c>
      <c r="P468" s="6" t="s">
        <v>48</v>
      </c>
      <c r="Q468" s="6" t="s">
        <v>48</v>
      </c>
      <c r="R468" s="6" t="s">
        <v>49</v>
      </c>
      <c r="S468" s="6" t="s">
        <v>54</v>
      </c>
      <c r="T468" s="6" t="s">
        <v>48</v>
      </c>
      <c r="U468" s="6" t="s">
        <v>28</v>
      </c>
      <c r="V468" s="6" t="s">
        <v>82</v>
      </c>
      <c r="W468" t="s">
        <v>786</v>
      </c>
    </row>
    <row r="469" spans="1:23" x14ac:dyDescent="0.3">
      <c r="A469" s="6" t="s">
        <v>512</v>
      </c>
      <c r="B469" s="1">
        <v>45796</v>
      </c>
      <c r="C469" s="6" t="s">
        <v>343</v>
      </c>
      <c r="D469" s="6" t="s">
        <v>22</v>
      </c>
      <c r="E469" s="6" t="s">
        <v>46</v>
      </c>
      <c r="F469" s="6" t="s">
        <v>24</v>
      </c>
      <c r="G469" s="6" t="s">
        <v>71</v>
      </c>
      <c r="H469" s="6" t="s">
        <v>26</v>
      </c>
      <c r="I469" s="6" t="s">
        <v>66</v>
      </c>
      <c r="J469" s="6" t="s">
        <v>22</v>
      </c>
      <c r="K469" s="6" t="s">
        <v>48</v>
      </c>
      <c r="L469" s="6" t="s">
        <v>54</v>
      </c>
      <c r="M469" s="6" t="s">
        <v>32</v>
      </c>
      <c r="N469" s="6" t="s">
        <v>28</v>
      </c>
      <c r="O469" s="6" t="s">
        <v>26</v>
      </c>
      <c r="P469" s="6" t="s">
        <v>52</v>
      </c>
      <c r="Q469" s="6" t="s">
        <v>31</v>
      </c>
      <c r="R469" s="6" t="s">
        <v>22</v>
      </c>
      <c r="S469" s="6" t="s">
        <v>54</v>
      </c>
      <c r="T469" s="6" t="s">
        <v>32</v>
      </c>
      <c r="U469" s="6" t="s">
        <v>28</v>
      </c>
      <c r="V469" s="6" t="s">
        <v>82</v>
      </c>
      <c r="W469" t="s">
        <v>786</v>
      </c>
    </row>
    <row r="470" spans="1:23" x14ac:dyDescent="0.3">
      <c r="A470" s="6" t="s">
        <v>513</v>
      </c>
      <c r="B470" s="1">
        <v>45797</v>
      </c>
      <c r="C470" s="6" t="s">
        <v>39</v>
      </c>
      <c r="D470" s="6" t="s">
        <v>22</v>
      </c>
      <c r="E470" s="6" t="s">
        <v>46</v>
      </c>
      <c r="F470" s="6" t="s">
        <v>24</v>
      </c>
      <c r="G470" s="6" t="s">
        <v>36</v>
      </c>
      <c r="H470" s="6" t="s">
        <v>26</v>
      </c>
      <c r="I470" s="6" t="s">
        <v>45</v>
      </c>
      <c r="J470" s="6" t="s">
        <v>22</v>
      </c>
      <c r="K470" s="6" t="s">
        <v>53</v>
      </c>
      <c r="L470" s="6" t="s">
        <v>152</v>
      </c>
      <c r="M470" s="6" t="s">
        <v>32</v>
      </c>
      <c r="N470" s="6" t="s">
        <v>28</v>
      </c>
      <c r="O470" s="6" t="s">
        <v>30</v>
      </c>
      <c r="P470" s="6" t="s">
        <v>66</v>
      </c>
      <c r="Q470" s="6" t="s">
        <v>48</v>
      </c>
      <c r="R470" s="6" t="s">
        <v>22</v>
      </c>
      <c r="S470" s="6" t="s">
        <v>128</v>
      </c>
      <c r="T470" s="6" t="s">
        <v>48</v>
      </c>
      <c r="U470" s="6" t="s">
        <v>28</v>
      </c>
      <c r="V470" s="6" t="s">
        <v>82</v>
      </c>
      <c r="W470" t="s">
        <v>786</v>
      </c>
    </row>
    <row r="471" spans="1:23" x14ac:dyDescent="0.3">
      <c r="A471" s="6" t="s">
        <v>513</v>
      </c>
      <c r="B471" s="1">
        <v>45797</v>
      </c>
      <c r="C471" s="6" t="s">
        <v>39</v>
      </c>
      <c r="D471" s="6" t="s">
        <v>22</v>
      </c>
      <c r="E471" s="6" t="s">
        <v>46</v>
      </c>
      <c r="F471" s="6" t="s">
        <v>24</v>
      </c>
      <c r="G471" s="6" t="s">
        <v>36</v>
      </c>
      <c r="H471" s="6" t="s">
        <v>26</v>
      </c>
      <c r="I471" s="6" t="s">
        <v>45</v>
      </c>
      <c r="J471" s="6" t="s">
        <v>22</v>
      </c>
      <c r="K471" s="6" t="s">
        <v>53</v>
      </c>
      <c r="L471" s="6" t="s">
        <v>152</v>
      </c>
      <c r="M471" s="6" t="s">
        <v>32</v>
      </c>
      <c r="N471" s="6" t="s">
        <v>28</v>
      </c>
      <c r="O471" s="6" t="s">
        <v>30</v>
      </c>
      <c r="P471" s="6" t="s">
        <v>66</v>
      </c>
      <c r="Q471" s="6" t="s">
        <v>48</v>
      </c>
      <c r="R471" s="6" t="s">
        <v>22</v>
      </c>
      <c r="S471" s="6" t="s">
        <v>128</v>
      </c>
      <c r="T471" s="6" t="s">
        <v>48</v>
      </c>
      <c r="U471" s="6" t="s">
        <v>28</v>
      </c>
      <c r="V471" s="6" t="s">
        <v>146</v>
      </c>
      <c r="W471" t="s">
        <v>786</v>
      </c>
    </row>
    <row r="472" spans="1:23" x14ac:dyDescent="0.3">
      <c r="A472" s="6" t="s">
        <v>513</v>
      </c>
      <c r="B472" s="1">
        <v>45797</v>
      </c>
      <c r="C472" s="6" t="s">
        <v>39</v>
      </c>
      <c r="D472" s="6" t="s">
        <v>22</v>
      </c>
      <c r="E472" s="6" t="s">
        <v>46</v>
      </c>
      <c r="F472" s="6" t="s">
        <v>24</v>
      </c>
      <c r="G472" s="6" t="s">
        <v>36</v>
      </c>
      <c r="H472" s="6" t="s">
        <v>26</v>
      </c>
      <c r="I472" s="6" t="s">
        <v>45</v>
      </c>
      <c r="J472" s="6" t="s">
        <v>22</v>
      </c>
      <c r="K472" s="6" t="s">
        <v>53</v>
      </c>
      <c r="L472" s="6" t="s">
        <v>152</v>
      </c>
      <c r="M472" s="6" t="s">
        <v>32</v>
      </c>
      <c r="N472" s="6" t="s">
        <v>28</v>
      </c>
      <c r="O472" s="6" t="s">
        <v>30</v>
      </c>
      <c r="P472" s="6" t="s">
        <v>66</v>
      </c>
      <c r="Q472" s="6" t="s">
        <v>48</v>
      </c>
      <c r="R472" s="6" t="s">
        <v>22</v>
      </c>
      <c r="S472" s="6" t="s">
        <v>128</v>
      </c>
      <c r="T472" s="6" t="s">
        <v>48</v>
      </c>
      <c r="U472" s="6" t="s">
        <v>28</v>
      </c>
      <c r="V472" s="6" t="s">
        <v>137</v>
      </c>
      <c r="W472" t="s">
        <v>786</v>
      </c>
    </row>
    <row r="473" spans="1:23" x14ac:dyDescent="0.3">
      <c r="A473" s="6" t="s">
        <v>514</v>
      </c>
      <c r="B473" s="1">
        <v>45797</v>
      </c>
      <c r="C473" s="6" t="s">
        <v>33</v>
      </c>
      <c r="D473" s="6" t="s">
        <v>92</v>
      </c>
      <c r="E473" s="6" t="s">
        <v>46</v>
      </c>
      <c r="F473" s="6" t="s">
        <v>24</v>
      </c>
      <c r="G473" s="6" t="s">
        <v>46</v>
      </c>
      <c r="H473" s="6" t="s">
        <v>48</v>
      </c>
      <c r="I473" s="6" t="s">
        <v>100</v>
      </c>
      <c r="J473" s="6" t="s">
        <v>92</v>
      </c>
      <c r="K473" s="6" t="s">
        <v>48</v>
      </c>
      <c r="L473" s="6" t="s">
        <v>54</v>
      </c>
      <c r="M473" s="6" t="s">
        <v>48</v>
      </c>
      <c r="N473" s="6" t="s">
        <v>28</v>
      </c>
      <c r="O473" s="6" t="s">
        <v>26</v>
      </c>
      <c r="P473" s="6" t="s">
        <v>52</v>
      </c>
      <c r="Q473" s="6" t="s">
        <v>48</v>
      </c>
      <c r="R473" s="6" t="s">
        <v>92</v>
      </c>
      <c r="S473" s="6" t="s">
        <v>54</v>
      </c>
      <c r="T473" s="6" t="s">
        <v>55</v>
      </c>
      <c r="U473" s="6" t="s">
        <v>28</v>
      </c>
      <c r="V473" s="6" t="s">
        <v>82</v>
      </c>
      <c r="W473" t="s">
        <v>786</v>
      </c>
    </row>
    <row r="474" spans="1:23" x14ac:dyDescent="0.3">
      <c r="A474" s="6" t="s">
        <v>516</v>
      </c>
      <c r="B474" s="1">
        <v>45798</v>
      </c>
      <c r="C474" s="6" t="s">
        <v>33</v>
      </c>
      <c r="D474" s="6" t="s">
        <v>60</v>
      </c>
      <c r="E474" s="6" t="s">
        <v>35</v>
      </c>
      <c r="F474" s="6" t="s">
        <v>24</v>
      </c>
      <c r="G474" s="6" t="s">
        <v>61</v>
      </c>
      <c r="H474" s="6" t="s">
        <v>26</v>
      </c>
      <c r="I474" s="6" t="s">
        <v>38</v>
      </c>
      <c r="J474" s="6" t="s">
        <v>60</v>
      </c>
      <c r="K474" s="6" t="s">
        <v>48</v>
      </c>
      <c r="L474" s="6" t="s">
        <v>54</v>
      </c>
      <c r="M474" s="6" t="s">
        <v>29</v>
      </c>
      <c r="N474" s="6" t="s">
        <v>28</v>
      </c>
      <c r="O474" s="6" t="s">
        <v>26</v>
      </c>
      <c r="P474" s="6" t="s">
        <v>45</v>
      </c>
      <c r="Q474" s="6" t="s">
        <v>31</v>
      </c>
      <c r="R474" s="6" t="s">
        <v>60</v>
      </c>
      <c r="S474" s="6" t="s">
        <v>54</v>
      </c>
      <c r="T474" s="6" t="s">
        <v>32</v>
      </c>
      <c r="U474" s="6" t="s">
        <v>28</v>
      </c>
      <c r="V474" s="6" t="s">
        <v>146</v>
      </c>
      <c r="W474" t="s">
        <v>786</v>
      </c>
    </row>
    <row r="475" spans="1:23" x14ac:dyDescent="0.3">
      <c r="A475" s="6" t="s">
        <v>515</v>
      </c>
      <c r="B475" s="1">
        <v>45798</v>
      </c>
      <c r="C475" s="6" t="s">
        <v>33</v>
      </c>
      <c r="D475" s="6" t="s">
        <v>60</v>
      </c>
      <c r="E475" s="6" t="s">
        <v>35</v>
      </c>
      <c r="F475" s="6" t="s">
        <v>24</v>
      </c>
      <c r="G475" s="6" t="s">
        <v>61</v>
      </c>
      <c r="H475" s="6" t="s">
        <v>26</v>
      </c>
      <c r="I475" s="6" t="s">
        <v>38</v>
      </c>
      <c r="J475" s="6" t="s">
        <v>60</v>
      </c>
      <c r="K475" s="6" t="s">
        <v>48</v>
      </c>
      <c r="L475" s="6" t="s">
        <v>54</v>
      </c>
      <c r="M475" s="6" t="s">
        <v>29</v>
      </c>
      <c r="N475" s="6" t="s">
        <v>28</v>
      </c>
      <c r="O475" s="6" t="s">
        <v>48</v>
      </c>
      <c r="P475" s="6" t="s">
        <v>48</v>
      </c>
      <c r="Q475" s="6" t="s">
        <v>48</v>
      </c>
      <c r="R475" s="6" t="s">
        <v>60</v>
      </c>
      <c r="S475" s="6" t="s">
        <v>54</v>
      </c>
      <c r="T475" s="6" t="s">
        <v>48</v>
      </c>
      <c r="U475" s="6" t="s">
        <v>130</v>
      </c>
      <c r="V475" s="6" t="s">
        <v>146</v>
      </c>
      <c r="W475" t="s">
        <v>786</v>
      </c>
    </row>
    <row r="476" spans="1:23" x14ac:dyDescent="0.3">
      <c r="A476" s="6" t="s">
        <v>517</v>
      </c>
      <c r="B476" s="1">
        <v>45798</v>
      </c>
      <c r="C476" s="6" t="s">
        <v>84</v>
      </c>
      <c r="D476" s="6" t="s">
        <v>67</v>
      </c>
      <c r="E476" s="6" t="s">
        <v>64</v>
      </c>
      <c r="F476" s="6" t="s">
        <v>24</v>
      </c>
      <c r="G476" s="6" t="s">
        <v>61</v>
      </c>
      <c r="H476" s="6" t="s">
        <v>26</v>
      </c>
      <c r="I476" s="6" t="s">
        <v>27</v>
      </c>
      <c r="J476" s="6" t="s">
        <v>67</v>
      </c>
      <c r="K476" s="6" t="s">
        <v>48</v>
      </c>
      <c r="L476" s="6" t="s">
        <v>54</v>
      </c>
      <c r="M476" s="6" t="s">
        <v>48</v>
      </c>
      <c r="N476" s="6" t="s">
        <v>28</v>
      </c>
      <c r="O476" s="6" t="s">
        <v>26</v>
      </c>
      <c r="P476" s="6" t="s">
        <v>58</v>
      </c>
      <c r="Q476" s="6" t="s">
        <v>48</v>
      </c>
      <c r="R476" s="6" t="s">
        <v>67</v>
      </c>
      <c r="S476" s="6" t="s">
        <v>54</v>
      </c>
      <c r="T476" s="6" t="s">
        <v>55</v>
      </c>
      <c r="U476" s="6" t="s">
        <v>28</v>
      </c>
      <c r="V476" s="6" t="s">
        <v>82</v>
      </c>
      <c r="W476" t="s">
        <v>786</v>
      </c>
    </row>
    <row r="477" spans="1:23" x14ac:dyDescent="0.3">
      <c r="A477" s="6" t="s">
        <v>518</v>
      </c>
      <c r="B477" s="1">
        <v>45798</v>
      </c>
      <c r="C477" s="6" t="s">
        <v>84</v>
      </c>
      <c r="D477" s="6" t="s">
        <v>67</v>
      </c>
      <c r="E477" s="6" t="s">
        <v>64</v>
      </c>
      <c r="F477" s="6" t="s">
        <v>24</v>
      </c>
      <c r="G477" s="6" t="s">
        <v>61</v>
      </c>
      <c r="H477" s="6" t="s">
        <v>26</v>
      </c>
      <c r="I477" s="6" t="s">
        <v>27</v>
      </c>
      <c r="J477" s="6" t="s">
        <v>67</v>
      </c>
      <c r="K477" s="6" t="s">
        <v>48</v>
      </c>
      <c r="L477" s="6" t="s">
        <v>54</v>
      </c>
      <c r="M477" s="6" t="s">
        <v>48</v>
      </c>
      <c r="N477" s="6" t="s">
        <v>28</v>
      </c>
      <c r="O477" s="6" t="s">
        <v>26</v>
      </c>
      <c r="P477" s="6" t="s">
        <v>42</v>
      </c>
      <c r="Q477" s="6" t="s">
        <v>31</v>
      </c>
      <c r="R477" s="6" t="s">
        <v>67</v>
      </c>
      <c r="S477" s="6" t="s">
        <v>54</v>
      </c>
      <c r="T477" s="6" t="s">
        <v>32</v>
      </c>
      <c r="U477" s="6" t="s">
        <v>28</v>
      </c>
      <c r="V477" s="6" t="s">
        <v>82</v>
      </c>
      <c r="W477" t="s">
        <v>786</v>
      </c>
    </row>
    <row r="478" spans="1:23" x14ac:dyDescent="0.3">
      <c r="A478" s="6" t="s">
        <v>519</v>
      </c>
      <c r="B478" s="1">
        <v>45798</v>
      </c>
      <c r="C478" s="6" t="s">
        <v>84</v>
      </c>
      <c r="D478" s="6" t="s">
        <v>67</v>
      </c>
      <c r="E478" s="6" t="s">
        <v>64</v>
      </c>
      <c r="F478" s="6" t="s">
        <v>24</v>
      </c>
      <c r="G478" s="6" t="s">
        <v>61</v>
      </c>
      <c r="H478" s="6" t="s">
        <v>26</v>
      </c>
      <c r="I478" s="6" t="s">
        <v>27</v>
      </c>
      <c r="J478" s="6" t="s">
        <v>67</v>
      </c>
      <c r="K478" s="6" t="s">
        <v>48</v>
      </c>
      <c r="L478" s="6" t="s">
        <v>54</v>
      </c>
      <c r="M478" s="6" t="s">
        <v>48</v>
      </c>
      <c r="N478" s="6" t="s">
        <v>28</v>
      </c>
      <c r="O478" s="6" t="s">
        <v>26</v>
      </c>
      <c r="P478" s="6" t="s">
        <v>58</v>
      </c>
      <c r="Q478" s="6" t="s">
        <v>48</v>
      </c>
      <c r="R478" s="6" t="s">
        <v>67</v>
      </c>
      <c r="S478" s="6" t="s">
        <v>54</v>
      </c>
      <c r="T478" s="6" t="s">
        <v>55</v>
      </c>
      <c r="U478" s="6" t="s">
        <v>28</v>
      </c>
      <c r="V478" s="6" t="s">
        <v>82</v>
      </c>
      <c r="W478" t="s">
        <v>786</v>
      </c>
    </row>
    <row r="479" spans="1:23" x14ac:dyDescent="0.3">
      <c r="A479" s="6" t="s">
        <v>520</v>
      </c>
      <c r="B479" s="1">
        <v>45798</v>
      </c>
      <c r="C479" s="6" t="s">
        <v>84</v>
      </c>
      <c r="D479" s="6" t="s">
        <v>22</v>
      </c>
      <c r="E479" s="6" t="s">
        <v>23</v>
      </c>
      <c r="F479" s="6" t="s">
        <v>24</v>
      </c>
      <c r="G479" s="6" t="s">
        <v>61</v>
      </c>
      <c r="H479" s="6" t="s">
        <v>48</v>
      </c>
      <c r="I479" s="6" t="s">
        <v>100</v>
      </c>
      <c r="J479" s="6" t="s">
        <v>49</v>
      </c>
      <c r="K479" s="6" t="s">
        <v>48</v>
      </c>
      <c r="L479" s="6" t="s">
        <v>54</v>
      </c>
      <c r="M479" s="6" t="s">
        <v>48</v>
      </c>
      <c r="N479" s="6" t="s">
        <v>28</v>
      </c>
      <c r="O479" s="6" t="s">
        <v>26</v>
      </c>
      <c r="P479" s="6" t="s">
        <v>48</v>
      </c>
      <c r="Q479" s="6" t="s">
        <v>31</v>
      </c>
      <c r="R479" s="6" t="s">
        <v>22</v>
      </c>
      <c r="S479" s="6" t="s">
        <v>54</v>
      </c>
      <c r="T479" s="6" t="s">
        <v>32</v>
      </c>
      <c r="U479" s="6" t="s">
        <v>28</v>
      </c>
      <c r="V479" s="6" t="s">
        <v>82</v>
      </c>
      <c r="W479" t="s">
        <v>786</v>
      </c>
    </row>
    <row r="480" spans="1:23" x14ac:dyDescent="0.3">
      <c r="A480" s="6" t="s">
        <v>521</v>
      </c>
      <c r="B480" s="1">
        <v>45799</v>
      </c>
      <c r="C480" s="6" t="s">
        <v>84</v>
      </c>
      <c r="D480" s="6" t="s">
        <v>48</v>
      </c>
      <c r="E480" s="6" t="s">
        <v>35</v>
      </c>
      <c r="F480" s="6" t="s">
        <v>24</v>
      </c>
      <c r="G480" s="6" t="s">
        <v>97</v>
      </c>
      <c r="H480" s="6" t="s">
        <v>48</v>
      </c>
      <c r="I480" s="6" t="s">
        <v>100</v>
      </c>
      <c r="J480" s="6" t="s">
        <v>49</v>
      </c>
      <c r="K480" s="6" t="s">
        <v>48</v>
      </c>
      <c r="L480" s="6" t="s">
        <v>54</v>
      </c>
      <c r="M480" s="6" t="s">
        <v>48</v>
      </c>
      <c r="N480" s="6" t="s">
        <v>28</v>
      </c>
      <c r="O480" s="6" t="s">
        <v>26</v>
      </c>
      <c r="P480" s="6" t="s">
        <v>37</v>
      </c>
      <c r="Q480" s="6" t="s">
        <v>48</v>
      </c>
      <c r="R480" s="6" t="s">
        <v>22</v>
      </c>
      <c r="S480" s="6" t="s">
        <v>128</v>
      </c>
      <c r="T480" s="6" t="s">
        <v>29</v>
      </c>
      <c r="U480" s="6" t="s">
        <v>28</v>
      </c>
      <c r="V480" s="6" t="s">
        <v>82</v>
      </c>
      <c r="W480" t="s">
        <v>786</v>
      </c>
    </row>
    <row r="481" spans="1:23" x14ac:dyDescent="0.3">
      <c r="A481" s="6" t="s">
        <v>521</v>
      </c>
      <c r="B481" s="1">
        <v>45799</v>
      </c>
      <c r="C481" s="6" t="s">
        <v>84</v>
      </c>
      <c r="D481" s="6" t="s">
        <v>48</v>
      </c>
      <c r="E481" s="6" t="s">
        <v>35</v>
      </c>
      <c r="F481" s="6" t="s">
        <v>24</v>
      </c>
      <c r="G481" s="6" t="s">
        <v>97</v>
      </c>
      <c r="H481" s="6" t="s">
        <v>48</v>
      </c>
      <c r="I481" s="6" t="s">
        <v>100</v>
      </c>
      <c r="J481" s="6" t="s">
        <v>49</v>
      </c>
      <c r="K481" s="6" t="s">
        <v>48</v>
      </c>
      <c r="L481" s="6" t="s">
        <v>54</v>
      </c>
      <c r="M481" s="6" t="s">
        <v>48</v>
      </c>
      <c r="N481" s="6" t="s">
        <v>28</v>
      </c>
      <c r="O481" s="6" t="s">
        <v>26</v>
      </c>
      <c r="P481" s="6" t="s">
        <v>37</v>
      </c>
      <c r="Q481" s="6" t="s">
        <v>48</v>
      </c>
      <c r="R481" s="6" t="s">
        <v>22</v>
      </c>
      <c r="S481" s="6" t="s">
        <v>128</v>
      </c>
      <c r="T481" s="6" t="s">
        <v>29</v>
      </c>
      <c r="U481" s="6" t="s">
        <v>28</v>
      </c>
      <c r="V481" s="6" t="s">
        <v>146</v>
      </c>
      <c r="W481" t="s">
        <v>786</v>
      </c>
    </row>
    <row r="482" spans="1:23" x14ac:dyDescent="0.3">
      <c r="A482" s="6" t="s">
        <v>521</v>
      </c>
      <c r="B482" s="1">
        <v>45799</v>
      </c>
      <c r="C482" s="6" t="s">
        <v>84</v>
      </c>
      <c r="D482" s="6" t="s">
        <v>48</v>
      </c>
      <c r="E482" s="6" t="s">
        <v>35</v>
      </c>
      <c r="F482" s="6" t="s">
        <v>24</v>
      </c>
      <c r="G482" s="6" t="s">
        <v>97</v>
      </c>
      <c r="H482" s="6" t="s">
        <v>48</v>
      </c>
      <c r="I482" s="6" t="s">
        <v>100</v>
      </c>
      <c r="J482" s="6" t="s">
        <v>49</v>
      </c>
      <c r="K482" s="6" t="s">
        <v>48</v>
      </c>
      <c r="L482" s="6" t="s">
        <v>54</v>
      </c>
      <c r="M482" s="6" t="s">
        <v>48</v>
      </c>
      <c r="N482" s="6" t="s">
        <v>28</v>
      </c>
      <c r="O482" s="6" t="s">
        <v>26</v>
      </c>
      <c r="P482" s="6" t="s">
        <v>37</v>
      </c>
      <c r="Q482" s="6" t="s">
        <v>48</v>
      </c>
      <c r="R482" s="6" t="s">
        <v>22</v>
      </c>
      <c r="S482" s="6" t="s">
        <v>128</v>
      </c>
      <c r="T482" s="6" t="s">
        <v>29</v>
      </c>
      <c r="U482" s="6" t="s">
        <v>28</v>
      </c>
      <c r="V482" s="6" t="s">
        <v>137</v>
      </c>
      <c r="W482" t="s">
        <v>786</v>
      </c>
    </row>
    <row r="483" spans="1:23" x14ac:dyDescent="0.3">
      <c r="A483" s="6" t="s">
        <v>522</v>
      </c>
      <c r="B483" s="1">
        <v>45799</v>
      </c>
      <c r="C483" s="6" t="s">
        <v>39</v>
      </c>
      <c r="D483" s="6" t="s">
        <v>43</v>
      </c>
      <c r="E483" s="6" t="s">
        <v>46</v>
      </c>
      <c r="F483" s="6" t="s">
        <v>24</v>
      </c>
      <c r="G483" s="6" t="s">
        <v>147</v>
      </c>
      <c r="H483" s="6" t="s">
        <v>26</v>
      </c>
      <c r="I483" s="6" t="s">
        <v>100</v>
      </c>
      <c r="J483" s="6" t="s">
        <v>43</v>
      </c>
      <c r="K483" s="6" t="s">
        <v>76</v>
      </c>
      <c r="L483" s="6" t="s">
        <v>54</v>
      </c>
      <c r="M483" s="6" t="s">
        <v>32</v>
      </c>
      <c r="N483" s="6" t="s">
        <v>28</v>
      </c>
      <c r="O483" s="6" t="s">
        <v>26</v>
      </c>
      <c r="P483" s="6" t="s">
        <v>37</v>
      </c>
      <c r="Q483" s="6" t="s">
        <v>31</v>
      </c>
      <c r="R483" s="6" t="s">
        <v>43</v>
      </c>
      <c r="S483" s="6" t="s">
        <v>128</v>
      </c>
      <c r="T483" s="6" t="s">
        <v>32</v>
      </c>
      <c r="U483" s="6" t="s">
        <v>28</v>
      </c>
      <c r="V483" s="6" t="s">
        <v>82</v>
      </c>
      <c r="W483" t="s">
        <v>786</v>
      </c>
    </row>
    <row r="484" spans="1:23" x14ac:dyDescent="0.3">
      <c r="A484" s="6" t="s">
        <v>524</v>
      </c>
      <c r="B484" s="1">
        <v>45799</v>
      </c>
      <c r="C484" s="6" t="s">
        <v>33</v>
      </c>
      <c r="D484" s="6" t="s">
        <v>22</v>
      </c>
      <c r="E484" s="6" t="s">
        <v>35</v>
      </c>
      <c r="F484" s="6" t="s">
        <v>24</v>
      </c>
      <c r="G484" s="6" t="s">
        <v>86</v>
      </c>
      <c r="H484" s="6" t="s">
        <v>26</v>
      </c>
      <c r="I484" s="6" t="s">
        <v>38</v>
      </c>
      <c r="J484" s="6" t="s">
        <v>22</v>
      </c>
      <c r="K484" s="6" t="s">
        <v>48</v>
      </c>
      <c r="L484" s="6" t="s">
        <v>54</v>
      </c>
      <c r="M484" s="6" t="s">
        <v>142</v>
      </c>
      <c r="N484" s="6" t="s">
        <v>28</v>
      </c>
      <c r="O484" s="6" t="s">
        <v>48</v>
      </c>
      <c r="P484" s="6" t="s">
        <v>48</v>
      </c>
      <c r="Q484" s="6" t="s">
        <v>48</v>
      </c>
      <c r="R484" s="6" t="s">
        <v>22</v>
      </c>
      <c r="S484" s="6" t="s">
        <v>54</v>
      </c>
      <c r="T484" s="6" t="s">
        <v>48</v>
      </c>
      <c r="U484" s="6" t="s">
        <v>56</v>
      </c>
      <c r="V484" s="6" t="s">
        <v>82</v>
      </c>
      <c r="W484" t="s">
        <v>786</v>
      </c>
    </row>
    <row r="485" spans="1:23" x14ac:dyDescent="0.3">
      <c r="A485" s="6" t="s">
        <v>523</v>
      </c>
      <c r="B485" s="1">
        <v>45799</v>
      </c>
      <c r="C485" s="6" t="s">
        <v>33</v>
      </c>
      <c r="D485" s="6" t="s">
        <v>22</v>
      </c>
      <c r="E485" s="6" t="s">
        <v>35</v>
      </c>
      <c r="F485" s="6" t="s">
        <v>24</v>
      </c>
      <c r="G485" s="6" t="s">
        <v>86</v>
      </c>
      <c r="H485" s="6" t="s">
        <v>26</v>
      </c>
      <c r="I485" s="6" t="s">
        <v>38</v>
      </c>
      <c r="J485" s="6" t="s">
        <v>22</v>
      </c>
      <c r="K485" s="6" t="s">
        <v>48</v>
      </c>
      <c r="L485" s="6" t="s">
        <v>54</v>
      </c>
      <c r="M485" s="6" t="s">
        <v>142</v>
      </c>
      <c r="N485" s="6" t="s">
        <v>28</v>
      </c>
      <c r="O485" s="6" t="s">
        <v>48</v>
      </c>
      <c r="P485" s="6" t="s">
        <v>48</v>
      </c>
      <c r="Q485" s="6" t="s">
        <v>48</v>
      </c>
      <c r="R485" s="6" t="s">
        <v>22</v>
      </c>
      <c r="S485" s="6" t="s">
        <v>54</v>
      </c>
      <c r="T485" s="6" t="s">
        <v>48</v>
      </c>
      <c r="U485" s="6" t="s">
        <v>87</v>
      </c>
      <c r="V485" s="6" t="s">
        <v>82</v>
      </c>
      <c r="W485" t="s">
        <v>786</v>
      </c>
    </row>
    <row r="486" spans="1:23" x14ac:dyDescent="0.3">
      <c r="A486" s="6" t="s">
        <v>526</v>
      </c>
      <c r="B486" s="1">
        <v>45799</v>
      </c>
      <c r="C486" s="6" t="s">
        <v>33</v>
      </c>
      <c r="D486" s="6" t="s">
        <v>22</v>
      </c>
      <c r="E486" s="6" t="s">
        <v>35</v>
      </c>
      <c r="F486" s="6" t="s">
        <v>24</v>
      </c>
      <c r="G486" s="6" t="s">
        <v>86</v>
      </c>
      <c r="H486" s="6" t="s">
        <v>26</v>
      </c>
      <c r="I486" s="6" t="s">
        <v>38</v>
      </c>
      <c r="J486" s="6" t="s">
        <v>22</v>
      </c>
      <c r="K486" s="6" t="s">
        <v>48</v>
      </c>
      <c r="L486" s="6" t="s">
        <v>54</v>
      </c>
      <c r="M486" s="6" t="s">
        <v>142</v>
      </c>
      <c r="N486" s="6" t="s">
        <v>28</v>
      </c>
      <c r="O486" s="6" t="s">
        <v>48</v>
      </c>
      <c r="P486" s="6" t="s">
        <v>48</v>
      </c>
      <c r="Q486" s="6" t="s">
        <v>48</v>
      </c>
      <c r="R486" s="6" t="s">
        <v>22</v>
      </c>
      <c r="S486" s="6" t="s">
        <v>54</v>
      </c>
      <c r="T486" s="6" t="s">
        <v>48</v>
      </c>
      <c r="U486" s="6" t="s">
        <v>56</v>
      </c>
      <c r="V486" s="6" t="s">
        <v>82</v>
      </c>
      <c r="W486" t="s">
        <v>786</v>
      </c>
    </row>
    <row r="487" spans="1:23" x14ac:dyDescent="0.3">
      <c r="A487" s="6" t="s">
        <v>528</v>
      </c>
      <c r="B487" s="1">
        <v>45799</v>
      </c>
      <c r="C487" s="6" t="s">
        <v>33</v>
      </c>
      <c r="D487" s="6" t="s">
        <v>22</v>
      </c>
      <c r="E487" s="6" t="s">
        <v>35</v>
      </c>
      <c r="F487" s="6" t="s">
        <v>24</v>
      </c>
      <c r="G487" s="6" t="s">
        <v>86</v>
      </c>
      <c r="H487" s="6" t="s">
        <v>26</v>
      </c>
      <c r="I487" s="6" t="s">
        <v>38</v>
      </c>
      <c r="J487" s="6" t="s">
        <v>22</v>
      </c>
      <c r="K487" s="6" t="s">
        <v>48</v>
      </c>
      <c r="L487" s="6" t="s">
        <v>54</v>
      </c>
      <c r="M487" s="6" t="s">
        <v>142</v>
      </c>
      <c r="N487" s="6" t="s">
        <v>28</v>
      </c>
      <c r="O487" s="6" t="s">
        <v>48</v>
      </c>
      <c r="P487" s="6" t="s">
        <v>48</v>
      </c>
      <c r="Q487" s="6" t="s">
        <v>48</v>
      </c>
      <c r="R487" s="6" t="s">
        <v>22</v>
      </c>
      <c r="S487" s="6" t="s">
        <v>54</v>
      </c>
      <c r="T487" s="6" t="s">
        <v>48</v>
      </c>
      <c r="U487" s="6" t="s">
        <v>56</v>
      </c>
      <c r="V487" s="6" t="s">
        <v>82</v>
      </c>
      <c r="W487" t="s">
        <v>786</v>
      </c>
    </row>
    <row r="488" spans="1:23" x14ac:dyDescent="0.3">
      <c r="A488" s="6" t="s">
        <v>527</v>
      </c>
      <c r="B488" s="1">
        <v>45799</v>
      </c>
      <c r="C488" s="6" t="s">
        <v>33</v>
      </c>
      <c r="D488" s="6" t="s">
        <v>22</v>
      </c>
      <c r="E488" s="6" t="s">
        <v>35</v>
      </c>
      <c r="F488" s="6" t="s">
        <v>24</v>
      </c>
      <c r="G488" s="6" t="s">
        <v>86</v>
      </c>
      <c r="H488" s="6" t="s">
        <v>26</v>
      </c>
      <c r="I488" s="6" t="s">
        <v>38</v>
      </c>
      <c r="J488" s="6" t="s">
        <v>22</v>
      </c>
      <c r="K488" s="6" t="s">
        <v>48</v>
      </c>
      <c r="L488" s="6" t="s">
        <v>54</v>
      </c>
      <c r="M488" s="6" t="s">
        <v>142</v>
      </c>
      <c r="N488" s="6" t="s">
        <v>28</v>
      </c>
      <c r="O488" s="6" t="s">
        <v>48</v>
      </c>
      <c r="P488" s="6" t="s">
        <v>48</v>
      </c>
      <c r="Q488" s="6" t="s">
        <v>48</v>
      </c>
      <c r="R488" s="6" t="s">
        <v>22</v>
      </c>
      <c r="S488" s="6" t="s">
        <v>54</v>
      </c>
      <c r="T488" s="6" t="s">
        <v>48</v>
      </c>
      <c r="U488" s="6" t="s">
        <v>56</v>
      </c>
      <c r="V488" s="6" t="s">
        <v>82</v>
      </c>
      <c r="W488" t="s">
        <v>786</v>
      </c>
    </row>
    <row r="489" spans="1:23" x14ac:dyDescent="0.3">
      <c r="A489" s="6" t="s">
        <v>525</v>
      </c>
      <c r="B489" s="1">
        <v>45799</v>
      </c>
      <c r="C489" s="6" t="s">
        <v>33</v>
      </c>
      <c r="D489" s="6" t="s">
        <v>22</v>
      </c>
      <c r="E489" s="6" t="s">
        <v>35</v>
      </c>
      <c r="F489" s="6" t="s">
        <v>24</v>
      </c>
      <c r="G489" s="6" t="s">
        <v>86</v>
      </c>
      <c r="H489" s="6" t="s">
        <v>26</v>
      </c>
      <c r="I489" s="6" t="s">
        <v>38</v>
      </c>
      <c r="J489" s="6" t="s">
        <v>22</v>
      </c>
      <c r="K489" s="6" t="s">
        <v>48</v>
      </c>
      <c r="L489" s="6" t="s">
        <v>54</v>
      </c>
      <c r="M489" s="6" t="s">
        <v>142</v>
      </c>
      <c r="N489" s="6" t="s">
        <v>28</v>
      </c>
      <c r="O489" s="6" t="s">
        <v>30</v>
      </c>
      <c r="P489" s="6" t="s">
        <v>48</v>
      </c>
      <c r="Q489" s="6" t="s">
        <v>48</v>
      </c>
      <c r="R489" s="6" t="s">
        <v>22</v>
      </c>
      <c r="S489" s="6" t="s">
        <v>54</v>
      </c>
      <c r="T489" s="6" t="s">
        <v>48</v>
      </c>
      <c r="U489" s="6" t="s">
        <v>28</v>
      </c>
      <c r="V489" s="6" t="s">
        <v>82</v>
      </c>
      <c r="W489" t="s">
        <v>786</v>
      </c>
    </row>
    <row r="490" spans="1:23" x14ac:dyDescent="0.3">
      <c r="A490" s="6" t="s">
        <v>529</v>
      </c>
      <c r="B490" s="1">
        <v>45800</v>
      </c>
      <c r="C490" s="6" t="s">
        <v>343</v>
      </c>
      <c r="D490" s="6" t="s">
        <v>43</v>
      </c>
      <c r="E490" s="6" t="s">
        <v>68</v>
      </c>
      <c r="F490" s="6" t="s">
        <v>24</v>
      </c>
      <c r="G490" s="6" t="s">
        <v>85</v>
      </c>
      <c r="H490" s="6" t="s">
        <v>26</v>
      </c>
      <c r="I490" s="6" t="s">
        <v>37</v>
      </c>
      <c r="J490" s="6" t="s">
        <v>43</v>
      </c>
      <c r="K490" s="6" t="s">
        <v>120</v>
      </c>
      <c r="L490" s="6" t="s">
        <v>54</v>
      </c>
      <c r="M490" s="6" t="s">
        <v>32</v>
      </c>
      <c r="N490" s="6" t="s">
        <v>28</v>
      </c>
      <c r="O490" s="6" t="s">
        <v>26</v>
      </c>
      <c r="P490" s="6" t="s">
        <v>52</v>
      </c>
      <c r="Q490" s="6" t="s">
        <v>31</v>
      </c>
      <c r="R490" s="6" t="s">
        <v>43</v>
      </c>
      <c r="S490" s="6" t="s">
        <v>54</v>
      </c>
      <c r="T490" s="6" t="s">
        <v>29</v>
      </c>
      <c r="U490" s="6" t="s">
        <v>28</v>
      </c>
      <c r="V490" s="6" t="s">
        <v>82</v>
      </c>
      <c r="W490" t="s">
        <v>786</v>
      </c>
    </row>
    <row r="491" spans="1:23" x14ac:dyDescent="0.3">
      <c r="A491" s="6" t="s">
        <v>530</v>
      </c>
      <c r="B491" s="1">
        <v>45801</v>
      </c>
      <c r="C491" s="6" t="s">
        <v>21</v>
      </c>
      <c r="D491" s="6" t="s">
        <v>43</v>
      </c>
      <c r="E491" s="6" t="s">
        <v>41</v>
      </c>
      <c r="F491" s="6" t="s">
        <v>24</v>
      </c>
      <c r="G491" s="6" t="s">
        <v>69</v>
      </c>
      <c r="H491" s="6" t="s">
        <v>26</v>
      </c>
      <c r="I491" s="6" t="s">
        <v>27</v>
      </c>
      <c r="J491" s="6" t="s">
        <v>43</v>
      </c>
      <c r="K491" s="6" t="s">
        <v>48</v>
      </c>
      <c r="L491" s="6" t="s">
        <v>54</v>
      </c>
      <c r="M491" s="6" t="s">
        <v>29</v>
      </c>
      <c r="N491" s="6" t="s">
        <v>28</v>
      </c>
      <c r="O491" s="6" t="s">
        <v>30</v>
      </c>
      <c r="P491" s="6" t="s">
        <v>37</v>
      </c>
      <c r="Q491" s="6" t="s">
        <v>48</v>
      </c>
      <c r="R491" s="6" t="s">
        <v>43</v>
      </c>
      <c r="S491" s="6" t="s">
        <v>54</v>
      </c>
      <c r="T491" s="6" t="s">
        <v>29</v>
      </c>
      <c r="U491" s="6" t="s">
        <v>28</v>
      </c>
      <c r="V491" s="6" t="s">
        <v>82</v>
      </c>
      <c r="W491" t="s">
        <v>786</v>
      </c>
    </row>
    <row r="492" spans="1:23" x14ac:dyDescent="0.3">
      <c r="A492" s="6" t="s">
        <v>530</v>
      </c>
      <c r="B492" s="1">
        <v>45801</v>
      </c>
      <c r="C492" s="6" t="s">
        <v>21</v>
      </c>
      <c r="D492" s="6" t="s">
        <v>43</v>
      </c>
      <c r="E492" s="6" t="s">
        <v>41</v>
      </c>
      <c r="F492" s="6" t="s">
        <v>24</v>
      </c>
      <c r="G492" s="6" t="s">
        <v>69</v>
      </c>
      <c r="H492" s="6" t="s">
        <v>26</v>
      </c>
      <c r="I492" s="6" t="s">
        <v>27</v>
      </c>
      <c r="J492" s="6" t="s">
        <v>43</v>
      </c>
      <c r="K492" s="6" t="s">
        <v>48</v>
      </c>
      <c r="L492" s="6" t="s">
        <v>54</v>
      </c>
      <c r="M492" s="6" t="s">
        <v>29</v>
      </c>
      <c r="N492" s="6" t="s">
        <v>28</v>
      </c>
      <c r="O492" s="6" t="s">
        <v>30</v>
      </c>
      <c r="P492" s="6" t="s">
        <v>37</v>
      </c>
      <c r="Q492" s="6" t="s">
        <v>48</v>
      </c>
      <c r="R492" s="6" t="s">
        <v>43</v>
      </c>
      <c r="S492" s="6" t="s">
        <v>54</v>
      </c>
      <c r="T492" s="6" t="s">
        <v>29</v>
      </c>
      <c r="U492" s="6" t="s">
        <v>28</v>
      </c>
      <c r="V492" s="6" t="s">
        <v>137</v>
      </c>
      <c r="W492" t="s">
        <v>786</v>
      </c>
    </row>
    <row r="493" spans="1:23" x14ac:dyDescent="0.3">
      <c r="A493" s="6" t="s">
        <v>531</v>
      </c>
      <c r="B493" s="1">
        <v>45802</v>
      </c>
      <c r="C493" s="6" t="s">
        <v>33</v>
      </c>
      <c r="D493" s="6" t="s">
        <v>83</v>
      </c>
      <c r="E493" s="6" t="s">
        <v>35</v>
      </c>
      <c r="F493" s="6" t="s">
        <v>24</v>
      </c>
      <c r="G493" s="6" t="s">
        <v>69</v>
      </c>
      <c r="H493" s="6" t="s">
        <v>26</v>
      </c>
      <c r="I493" s="6" t="s">
        <v>37</v>
      </c>
      <c r="J493" s="6" t="s">
        <v>83</v>
      </c>
      <c r="K493" s="6" t="s">
        <v>102</v>
      </c>
      <c r="L493" s="6" t="s">
        <v>54</v>
      </c>
      <c r="M493" s="6" t="s">
        <v>32</v>
      </c>
      <c r="N493" s="6" t="s">
        <v>28</v>
      </c>
      <c r="O493" s="6" t="s">
        <v>26</v>
      </c>
      <c r="P493" s="6" t="s">
        <v>66</v>
      </c>
      <c r="Q493" s="6" t="s">
        <v>48</v>
      </c>
      <c r="R493" s="6" t="s">
        <v>83</v>
      </c>
      <c r="S493" s="6" t="s">
        <v>54</v>
      </c>
      <c r="T493" s="6" t="s">
        <v>32</v>
      </c>
      <c r="U493" s="6" t="s">
        <v>28</v>
      </c>
      <c r="V493" s="6" t="s">
        <v>82</v>
      </c>
      <c r="W493" t="s">
        <v>786</v>
      </c>
    </row>
    <row r="494" spans="1:23" x14ac:dyDescent="0.3">
      <c r="A494" s="6" t="s">
        <v>532</v>
      </c>
      <c r="B494" s="1">
        <v>45802</v>
      </c>
      <c r="C494" s="6" t="s">
        <v>33</v>
      </c>
      <c r="D494" s="6" t="s">
        <v>83</v>
      </c>
      <c r="E494" s="6" t="s">
        <v>35</v>
      </c>
      <c r="F494" s="6" t="s">
        <v>24</v>
      </c>
      <c r="G494" s="6" t="s">
        <v>69</v>
      </c>
      <c r="H494" s="6" t="s">
        <v>26</v>
      </c>
      <c r="I494" s="6" t="s">
        <v>37</v>
      </c>
      <c r="J494" s="6" t="s">
        <v>83</v>
      </c>
      <c r="K494" s="6" t="s">
        <v>102</v>
      </c>
      <c r="L494" s="6" t="s">
        <v>54</v>
      </c>
      <c r="M494" s="6" t="s">
        <v>32</v>
      </c>
      <c r="N494" s="6" t="s">
        <v>28</v>
      </c>
      <c r="O494" s="6" t="s">
        <v>26</v>
      </c>
      <c r="P494" s="6" t="s">
        <v>37</v>
      </c>
      <c r="Q494" s="6" t="s">
        <v>48</v>
      </c>
      <c r="R494" s="6" t="s">
        <v>83</v>
      </c>
      <c r="S494" s="6" t="s">
        <v>54</v>
      </c>
      <c r="T494" s="6" t="s">
        <v>32</v>
      </c>
      <c r="U494" s="6" t="s">
        <v>28</v>
      </c>
      <c r="V494" s="6" t="s">
        <v>82</v>
      </c>
      <c r="W494" t="s">
        <v>786</v>
      </c>
    </row>
    <row r="495" spans="1:23" x14ac:dyDescent="0.3">
      <c r="A495" s="6" t="s">
        <v>533</v>
      </c>
      <c r="B495" s="1">
        <v>45802</v>
      </c>
      <c r="C495" s="6" t="s">
        <v>343</v>
      </c>
      <c r="D495" s="6" t="s">
        <v>83</v>
      </c>
      <c r="E495" s="6" t="s">
        <v>68</v>
      </c>
      <c r="F495" s="6" t="s">
        <v>24</v>
      </c>
      <c r="G495" s="6" t="s">
        <v>97</v>
      </c>
      <c r="H495" s="6" t="s">
        <v>48</v>
      </c>
      <c r="I495" s="6" t="s">
        <v>27</v>
      </c>
      <c r="J495" s="6" t="s">
        <v>83</v>
      </c>
      <c r="K495" s="6" t="s">
        <v>48</v>
      </c>
      <c r="L495" s="6" t="s">
        <v>152</v>
      </c>
      <c r="M495" s="6" t="s">
        <v>48</v>
      </c>
      <c r="N495" s="6" t="s">
        <v>158</v>
      </c>
      <c r="O495" s="6" t="s">
        <v>30</v>
      </c>
      <c r="P495" s="6" t="s">
        <v>48</v>
      </c>
      <c r="Q495" s="6" t="s">
        <v>31</v>
      </c>
      <c r="R495" s="6" t="s">
        <v>83</v>
      </c>
      <c r="S495" s="6" t="s">
        <v>54</v>
      </c>
      <c r="T495" s="6" t="s">
        <v>48</v>
      </c>
      <c r="U495" s="6" t="s">
        <v>28</v>
      </c>
      <c r="V495" s="6" t="s">
        <v>146</v>
      </c>
      <c r="W495" t="s">
        <v>786</v>
      </c>
    </row>
    <row r="496" spans="1:23" x14ac:dyDescent="0.3">
      <c r="A496" s="6" t="s">
        <v>533</v>
      </c>
      <c r="B496" s="1">
        <v>45802</v>
      </c>
      <c r="C496" s="6" t="s">
        <v>343</v>
      </c>
      <c r="D496" s="6" t="s">
        <v>83</v>
      </c>
      <c r="E496" s="6" t="s">
        <v>68</v>
      </c>
      <c r="F496" s="6" t="s">
        <v>24</v>
      </c>
      <c r="G496" s="6" t="s">
        <v>97</v>
      </c>
      <c r="H496" s="6" t="s">
        <v>48</v>
      </c>
      <c r="I496" s="6" t="s">
        <v>27</v>
      </c>
      <c r="J496" s="6" t="s">
        <v>83</v>
      </c>
      <c r="K496" s="6" t="s">
        <v>48</v>
      </c>
      <c r="L496" s="6" t="s">
        <v>152</v>
      </c>
      <c r="M496" s="6" t="s">
        <v>48</v>
      </c>
      <c r="N496" s="6" t="s">
        <v>158</v>
      </c>
      <c r="O496" s="6" t="s">
        <v>30</v>
      </c>
      <c r="P496" s="6" t="s">
        <v>48</v>
      </c>
      <c r="Q496" s="6" t="s">
        <v>31</v>
      </c>
      <c r="R496" s="6" t="s">
        <v>83</v>
      </c>
      <c r="S496" s="6" t="s">
        <v>54</v>
      </c>
      <c r="T496" s="6" t="s">
        <v>48</v>
      </c>
      <c r="U496" s="6" t="s">
        <v>28</v>
      </c>
      <c r="V496" s="6" t="s">
        <v>82</v>
      </c>
      <c r="W496" t="s">
        <v>786</v>
      </c>
    </row>
    <row r="497" spans="1:23" x14ac:dyDescent="0.3">
      <c r="A497" s="6" t="s">
        <v>534</v>
      </c>
      <c r="B497" s="1">
        <v>45803</v>
      </c>
      <c r="C497" s="6" t="s">
        <v>343</v>
      </c>
      <c r="D497" s="6" t="s">
        <v>22</v>
      </c>
      <c r="E497" s="6" t="s">
        <v>46</v>
      </c>
      <c r="F497" s="6" t="s">
        <v>24</v>
      </c>
      <c r="G497" s="6" t="s">
        <v>69</v>
      </c>
      <c r="H497" s="6" t="s">
        <v>26</v>
      </c>
      <c r="I497" s="6" t="s">
        <v>45</v>
      </c>
      <c r="J497" s="6" t="s">
        <v>22</v>
      </c>
      <c r="K497" s="6" t="s">
        <v>102</v>
      </c>
      <c r="L497" s="6" t="s">
        <v>128</v>
      </c>
      <c r="M497" s="6" t="s">
        <v>55</v>
      </c>
      <c r="N497" s="6" t="s">
        <v>28</v>
      </c>
      <c r="O497" s="6" t="s">
        <v>30</v>
      </c>
      <c r="P497" s="6" t="s">
        <v>45</v>
      </c>
      <c r="Q497" s="6" t="s">
        <v>48</v>
      </c>
      <c r="R497" s="6" t="s">
        <v>22</v>
      </c>
      <c r="S497" s="6" t="s">
        <v>54</v>
      </c>
      <c r="T497" s="6" t="s">
        <v>48</v>
      </c>
      <c r="U497" s="6" t="s">
        <v>28</v>
      </c>
      <c r="V497" s="6" t="s">
        <v>146</v>
      </c>
      <c r="W497" t="s">
        <v>786</v>
      </c>
    </row>
    <row r="498" spans="1:23" x14ac:dyDescent="0.3">
      <c r="A498" s="6" t="s">
        <v>535</v>
      </c>
      <c r="B498" s="1">
        <v>45804</v>
      </c>
      <c r="C498" s="6" t="s">
        <v>84</v>
      </c>
      <c r="D498" s="6" t="s">
        <v>122</v>
      </c>
      <c r="E498" s="6" t="s">
        <v>46</v>
      </c>
      <c r="F498" s="6" t="s">
        <v>24</v>
      </c>
      <c r="G498" s="6" t="s">
        <v>71</v>
      </c>
      <c r="H498" s="6" t="s">
        <v>48</v>
      </c>
      <c r="I498" s="6" t="s">
        <v>48</v>
      </c>
      <c r="J498" s="6" t="s">
        <v>49</v>
      </c>
      <c r="K498" s="6" t="s">
        <v>48</v>
      </c>
      <c r="L498" s="6" t="s">
        <v>54</v>
      </c>
      <c r="M498" s="6" t="s">
        <v>48</v>
      </c>
      <c r="N498" s="6" t="s">
        <v>28</v>
      </c>
      <c r="O498" s="6" t="s">
        <v>26</v>
      </c>
      <c r="P498" s="6" t="s">
        <v>42</v>
      </c>
      <c r="Q498" s="6" t="s">
        <v>31</v>
      </c>
      <c r="R498" s="6" t="s">
        <v>122</v>
      </c>
      <c r="S498" s="6" t="s">
        <v>54</v>
      </c>
      <c r="T498" s="6" t="s">
        <v>48</v>
      </c>
      <c r="U498" s="6" t="s">
        <v>28</v>
      </c>
      <c r="V498" s="6" t="s">
        <v>146</v>
      </c>
      <c r="W498" t="s">
        <v>786</v>
      </c>
    </row>
    <row r="499" spans="1:23" x14ac:dyDescent="0.3">
      <c r="A499" s="6" t="s">
        <v>536</v>
      </c>
      <c r="B499" s="1">
        <v>45805</v>
      </c>
      <c r="C499" s="6" t="s">
        <v>90</v>
      </c>
      <c r="D499" s="6" t="s">
        <v>43</v>
      </c>
      <c r="E499" s="6" t="s">
        <v>68</v>
      </c>
      <c r="F499" s="6" t="s">
        <v>24</v>
      </c>
      <c r="G499" s="6" t="s">
        <v>107</v>
      </c>
      <c r="H499" s="6" t="s">
        <v>26</v>
      </c>
      <c r="I499" s="6" t="s">
        <v>66</v>
      </c>
      <c r="J499" s="6" t="s">
        <v>43</v>
      </c>
      <c r="K499" s="6" t="s">
        <v>48</v>
      </c>
      <c r="L499" s="6" t="s">
        <v>54</v>
      </c>
      <c r="M499" s="6" t="s">
        <v>48</v>
      </c>
      <c r="N499" s="6" t="s">
        <v>28</v>
      </c>
      <c r="O499" s="6" t="s">
        <v>48</v>
      </c>
      <c r="P499" s="6" t="s">
        <v>48</v>
      </c>
      <c r="Q499" s="6" t="s">
        <v>48</v>
      </c>
      <c r="R499" s="6" t="s">
        <v>43</v>
      </c>
      <c r="S499" s="6" t="s">
        <v>54</v>
      </c>
      <c r="T499" s="6" t="s">
        <v>48</v>
      </c>
      <c r="U499" s="6" t="s">
        <v>118</v>
      </c>
      <c r="V499" s="6" t="s">
        <v>146</v>
      </c>
      <c r="W499" t="s">
        <v>786</v>
      </c>
    </row>
    <row r="500" spans="1:23" x14ac:dyDescent="0.3">
      <c r="A500" s="6" t="s">
        <v>537</v>
      </c>
      <c r="B500" s="1">
        <v>45806</v>
      </c>
      <c r="C500" s="6" t="s">
        <v>33</v>
      </c>
      <c r="D500" s="6" t="s">
        <v>22</v>
      </c>
      <c r="E500" s="6" t="s">
        <v>44</v>
      </c>
      <c r="F500" s="6" t="s">
        <v>24</v>
      </c>
      <c r="G500" s="6" t="s">
        <v>110</v>
      </c>
      <c r="H500" s="6" t="s">
        <v>26</v>
      </c>
      <c r="I500" s="6" t="s">
        <v>37</v>
      </c>
      <c r="J500" s="6" t="s">
        <v>22</v>
      </c>
      <c r="K500" s="6" t="s">
        <v>48</v>
      </c>
      <c r="L500" s="6" t="s">
        <v>54</v>
      </c>
      <c r="M500" s="6" t="s">
        <v>32</v>
      </c>
      <c r="N500" s="6" t="s">
        <v>28</v>
      </c>
      <c r="O500" s="6" t="s">
        <v>26</v>
      </c>
      <c r="P500" s="6" t="s">
        <v>52</v>
      </c>
      <c r="Q500" s="6" t="s">
        <v>31</v>
      </c>
      <c r="R500" s="6" t="s">
        <v>22</v>
      </c>
      <c r="S500" s="6" t="s">
        <v>54</v>
      </c>
      <c r="T500" s="6" t="s">
        <v>32</v>
      </c>
      <c r="U500" s="6" t="s">
        <v>28</v>
      </c>
      <c r="V500" s="6" t="s">
        <v>82</v>
      </c>
      <c r="W500" t="s">
        <v>786</v>
      </c>
    </row>
    <row r="501" spans="1:23" x14ac:dyDescent="0.3">
      <c r="A501" s="6" t="s">
        <v>538</v>
      </c>
      <c r="B501" s="1">
        <v>45806</v>
      </c>
      <c r="C501" s="6" t="s">
        <v>33</v>
      </c>
      <c r="D501" s="6" t="s">
        <v>22</v>
      </c>
      <c r="E501" s="6" t="s">
        <v>44</v>
      </c>
      <c r="F501" s="6" t="s">
        <v>24</v>
      </c>
      <c r="G501" s="6" t="s">
        <v>110</v>
      </c>
      <c r="H501" s="6" t="s">
        <v>26</v>
      </c>
      <c r="I501" s="6" t="s">
        <v>37</v>
      </c>
      <c r="J501" s="6" t="s">
        <v>22</v>
      </c>
      <c r="K501" s="6" t="s">
        <v>48</v>
      </c>
      <c r="L501" s="6" t="s">
        <v>54</v>
      </c>
      <c r="M501" s="6" t="s">
        <v>32</v>
      </c>
      <c r="N501" s="6" t="s">
        <v>28</v>
      </c>
      <c r="O501" s="6" t="s">
        <v>30</v>
      </c>
      <c r="P501" s="6" t="s">
        <v>788</v>
      </c>
      <c r="Q501" s="6" t="s">
        <v>31</v>
      </c>
      <c r="R501" s="6" t="s">
        <v>22</v>
      </c>
      <c r="S501" s="6" t="s">
        <v>54</v>
      </c>
      <c r="T501" s="6" t="s">
        <v>32</v>
      </c>
      <c r="U501" s="6" t="s">
        <v>28</v>
      </c>
      <c r="V501" s="6" t="s">
        <v>82</v>
      </c>
      <c r="W501" t="s">
        <v>786</v>
      </c>
    </row>
    <row r="502" spans="1:23" x14ac:dyDescent="0.3">
      <c r="A502" s="6" t="s">
        <v>539</v>
      </c>
      <c r="B502" s="1">
        <v>45806</v>
      </c>
      <c r="C502" s="6" t="s">
        <v>33</v>
      </c>
      <c r="D502" s="6" t="s">
        <v>22</v>
      </c>
      <c r="E502" s="6" t="s">
        <v>44</v>
      </c>
      <c r="F502" s="6" t="s">
        <v>24</v>
      </c>
      <c r="G502" s="6" t="s">
        <v>110</v>
      </c>
      <c r="H502" s="6" t="s">
        <v>26</v>
      </c>
      <c r="I502" s="6" t="s">
        <v>37</v>
      </c>
      <c r="J502" s="6" t="s">
        <v>22</v>
      </c>
      <c r="K502" s="6" t="s">
        <v>48</v>
      </c>
      <c r="L502" s="6" t="s">
        <v>54</v>
      </c>
      <c r="M502" s="6" t="s">
        <v>32</v>
      </c>
      <c r="N502" s="6" t="s">
        <v>28</v>
      </c>
      <c r="O502" s="6" t="s">
        <v>26</v>
      </c>
      <c r="P502" s="6" t="s">
        <v>52</v>
      </c>
      <c r="Q502" s="6" t="s">
        <v>31</v>
      </c>
      <c r="R502" s="6" t="s">
        <v>22</v>
      </c>
      <c r="S502" s="6" t="s">
        <v>54</v>
      </c>
      <c r="T502" s="6" t="s">
        <v>48</v>
      </c>
      <c r="U502" s="6" t="s">
        <v>28</v>
      </c>
      <c r="V502" s="6" t="s">
        <v>82</v>
      </c>
      <c r="W502" t="s">
        <v>786</v>
      </c>
    </row>
    <row r="503" spans="1:23" x14ac:dyDescent="0.3">
      <c r="A503" s="6" t="s">
        <v>540</v>
      </c>
      <c r="B503" s="1">
        <v>45806</v>
      </c>
      <c r="C503" s="6" t="s">
        <v>33</v>
      </c>
      <c r="D503" s="6" t="s">
        <v>22</v>
      </c>
      <c r="E503" s="6" t="s">
        <v>44</v>
      </c>
      <c r="F503" s="6" t="s">
        <v>24</v>
      </c>
      <c r="G503" s="6" t="s">
        <v>110</v>
      </c>
      <c r="H503" s="6" t="s">
        <v>26</v>
      </c>
      <c r="I503" s="6" t="s">
        <v>37</v>
      </c>
      <c r="J503" s="6" t="s">
        <v>22</v>
      </c>
      <c r="K503" s="6" t="s">
        <v>48</v>
      </c>
      <c r="L503" s="6" t="s">
        <v>54</v>
      </c>
      <c r="M503" s="6" t="s">
        <v>32</v>
      </c>
      <c r="N503" s="6" t="s">
        <v>28</v>
      </c>
      <c r="O503" s="6" t="s">
        <v>30</v>
      </c>
      <c r="P503" s="6" t="s">
        <v>58</v>
      </c>
      <c r="Q503" s="6" t="s">
        <v>31</v>
      </c>
      <c r="R503" s="6" t="s">
        <v>22</v>
      </c>
      <c r="S503" s="6" t="s">
        <v>54</v>
      </c>
      <c r="T503" s="6" t="s">
        <v>48</v>
      </c>
      <c r="U503" s="6" t="s">
        <v>28</v>
      </c>
      <c r="V503" s="6" t="s">
        <v>82</v>
      </c>
      <c r="W503" t="s">
        <v>786</v>
      </c>
    </row>
    <row r="504" spans="1:23" x14ac:dyDescent="0.3">
      <c r="A504" s="6" t="s">
        <v>541</v>
      </c>
      <c r="B504" s="1">
        <v>45810</v>
      </c>
      <c r="C504" s="6" t="s">
        <v>33</v>
      </c>
      <c r="D504" s="6" t="s">
        <v>22</v>
      </c>
      <c r="E504" s="6" t="s">
        <v>68</v>
      </c>
      <c r="F504" s="6" t="s">
        <v>24</v>
      </c>
      <c r="G504" s="6" t="s">
        <v>69</v>
      </c>
      <c r="H504" s="6" t="s">
        <v>26</v>
      </c>
      <c r="I504" s="6" t="s">
        <v>38</v>
      </c>
      <c r="J504" s="6" t="s">
        <v>22</v>
      </c>
      <c r="K504" s="6" t="s">
        <v>48</v>
      </c>
      <c r="L504" s="6" t="s">
        <v>54</v>
      </c>
      <c r="M504" s="6" t="s">
        <v>32</v>
      </c>
      <c r="N504" s="6" t="s">
        <v>28</v>
      </c>
      <c r="O504" s="6" t="s">
        <v>26</v>
      </c>
      <c r="P504" s="6" t="s">
        <v>27</v>
      </c>
      <c r="Q504" s="6" t="s">
        <v>31</v>
      </c>
      <c r="R504" s="6" t="s">
        <v>22</v>
      </c>
      <c r="S504" s="6" t="s">
        <v>54</v>
      </c>
      <c r="T504" s="6" t="s">
        <v>48</v>
      </c>
      <c r="U504" s="6" t="s">
        <v>28</v>
      </c>
      <c r="V504" s="6" t="s">
        <v>82</v>
      </c>
      <c r="W504" t="s">
        <v>787</v>
      </c>
    </row>
    <row r="505" spans="1:23" x14ac:dyDescent="0.3">
      <c r="A505" s="6" t="s">
        <v>542</v>
      </c>
      <c r="B505" s="1">
        <v>45810</v>
      </c>
      <c r="C505" s="6" t="s">
        <v>343</v>
      </c>
      <c r="D505" s="6" t="s">
        <v>22</v>
      </c>
      <c r="E505" s="6" t="s">
        <v>64</v>
      </c>
      <c r="F505" s="6" t="s">
        <v>24</v>
      </c>
      <c r="G505" s="6" t="s">
        <v>61</v>
      </c>
      <c r="H505" s="6" t="s">
        <v>26</v>
      </c>
      <c r="I505" s="6" t="s">
        <v>27</v>
      </c>
      <c r="J505" s="6" t="s">
        <v>22</v>
      </c>
      <c r="K505" s="6" t="s">
        <v>53</v>
      </c>
      <c r="L505" s="6" t="s">
        <v>54</v>
      </c>
      <c r="M505" s="6" t="s">
        <v>55</v>
      </c>
      <c r="N505" s="6" t="s">
        <v>28</v>
      </c>
      <c r="O505" s="6" t="s">
        <v>48</v>
      </c>
      <c r="P505" s="6" t="s">
        <v>48</v>
      </c>
      <c r="Q505" s="6" t="s">
        <v>48</v>
      </c>
      <c r="R505" s="6" t="s">
        <v>22</v>
      </c>
      <c r="S505" s="6" t="s">
        <v>54</v>
      </c>
      <c r="T505" s="6" t="s">
        <v>48</v>
      </c>
      <c r="U505" s="6" t="s">
        <v>28</v>
      </c>
      <c r="V505" s="6" t="s">
        <v>146</v>
      </c>
      <c r="W505" t="s">
        <v>787</v>
      </c>
    </row>
    <row r="506" spans="1:23" x14ac:dyDescent="0.3">
      <c r="A506" s="6" t="s">
        <v>542</v>
      </c>
      <c r="B506" s="1">
        <v>45810</v>
      </c>
      <c r="C506" s="6" t="s">
        <v>343</v>
      </c>
      <c r="D506" s="6" t="s">
        <v>22</v>
      </c>
      <c r="E506" s="6" t="s">
        <v>64</v>
      </c>
      <c r="F506" s="6" t="s">
        <v>24</v>
      </c>
      <c r="G506" s="6" t="s">
        <v>61</v>
      </c>
      <c r="H506" s="6" t="s">
        <v>26</v>
      </c>
      <c r="I506" s="6" t="s">
        <v>27</v>
      </c>
      <c r="J506" s="6" t="s">
        <v>22</v>
      </c>
      <c r="K506" s="6" t="s">
        <v>53</v>
      </c>
      <c r="L506" s="6" t="s">
        <v>54</v>
      </c>
      <c r="M506" s="6" t="s">
        <v>55</v>
      </c>
      <c r="N506" s="6" t="s">
        <v>28</v>
      </c>
      <c r="O506" s="6" t="s">
        <v>48</v>
      </c>
      <c r="P506" s="6" t="s">
        <v>48</v>
      </c>
      <c r="Q506" s="6" t="s">
        <v>48</v>
      </c>
      <c r="R506" s="6" t="s">
        <v>22</v>
      </c>
      <c r="S506" s="6" t="s">
        <v>54</v>
      </c>
      <c r="T506" s="6" t="s">
        <v>48</v>
      </c>
      <c r="U506" s="6" t="s">
        <v>28</v>
      </c>
      <c r="V506" s="6" t="s">
        <v>82</v>
      </c>
      <c r="W506" t="s">
        <v>787</v>
      </c>
    </row>
    <row r="507" spans="1:23" x14ac:dyDescent="0.3">
      <c r="A507" s="6" t="s">
        <v>543</v>
      </c>
      <c r="B507" s="1">
        <v>45812</v>
      </c>
      <c r="C507" s="6" t="s">
        <v>343</v>
      </c>
      <c r="D507" s="6" t="s">
        <v>78</v>
      </c>
      <c r="E507" s="6" t="s">
        <v>41</v>
      </c>
      <c r="F507" s="6" t="s">
        <v>24</v>
      </c>
      <c r="G507" s="6" t="s">
        <v>61</v>
      </c>
      <c r="H507" s="6" t="s">
        <v>26</v>
      </c>
      <c r="I507" s="6" t="s">
        <v>58</v>
      </c>
      <c r="J507" s="6" t="s">
        <v>78</v>
      </c>
      <c r="K507" s="6" t="s">
        <v>48</v>
      </c>
      <c r="L507" s="6" t="s">
        <v>54</v>
      </c>
      <c r="M507" s="6" t="s">
        <v>29</v>
      </c>
      <c r="N507" s="6" t="s">
        <v>28</v>
      </c>
      <c r="O507" s="6" t="s">
        <v>48</v>
      </c>
      <c r="P507" s="6" t="s">
        <v>48</v>
      </c>
      <c r="Q507" s="6" t="s">
        <v>48</v>
      </c>
      <c r="R507" s="6" t="s">
        <v>78</v>
      </c>
      <c r="S507" s="6" t="s">
        <v>54</v>
      </c>
      <c r="T507" s="6" t="s">
        <v>48</v>
      </c>
      <c r="U507" s="6" t="s">
        <v>59</v>
      </c>
      <c r="V507" s="6" t="s">
        <v>146</v>
      </c>
      <c r="W507" t="s">
        <v>787</v>
      </c>
    </row>
    <row r="508" spans="1:23" x14ac:dyDescent="0.3">
      <c r="A508" s="6" t="s">
        <v>543</v>
      </c>
      <c r="B508" s="1">
        <v>45812</v>
      </c>
      <c r="C508" s="6" t="s">
        <v>343</v>
      </c>
      <c r="D508" s="6" t="s">
        <v>78</v>
      </c>
      <c r="E508" s="6" t="s">
        <v>41</v>
      </c>
      <c r="F508" s="6" t="s">
        <v>24</v>
      </c>
      <c r="G508" s="6" t="s">
        <v>61</v>
      </c>
      <c r="H508" s="6" t="s">
        <v>26</v>
      </c>
      <c r="I508" s="6" t="s">
        <v>58</v>
      </c>
      <c r="J508" s="6" t="s">
        <v>78</v>
      </c>
      <c r="K508" s="6" t="s">
        <v>48</v>
      </c>
      <c r="L508" s="6" t="s">
        <v>54</v>
      </c>
      <c r="M508" s="6" t="s">
        <v>29</v>
      </c>
      <c r="N508" s="6" t="s">
        <v>28</v>
      </c>
      <c r="O508" s="6" t="s">
        <v>48</v>
      </c>
      <c r="P508" s="6" t="s">
        <v>48</v>
      </c>
      <c r="Q508" s="6" t="s">
        <v>48</v>
      </c>
      <c r="R508" s="6" t="s">
        <v>78</v>
      </c>
      <c r="S508" s="6" t="s">
        <v>54</v>
      </c>
      <c r="T508" s="6" t="s">
        <v>48</v>
      </c>
      <c r="U508" s="6" t="s">
        <v>59</v>
      </c>
      <c r="V508" s="6" t="s">
        <v>137</v>
      </c>
      <c r="W508" t="s">
        <v>787</v>
      </c>
    </row>
    <row r="509" spans="1:23" x14ac:dyDescent="0.3">
      <c r="A509" s="6" t="s">
        <v>544</v>
      </c>
      <c r="B509" s="1">
        <v>45812</v>
      </c>
      <c r="C509" s="6" t="s">
        <v>343</v>
      </c>
      <c r="D509" s="6" t="s">
        <v>50</v>
      </c>
      <c r="E509" s="6" t="s">
        <v>46</v>
      </c>
      <c r="F509" s="6" t="s">
        <v>24</v>
      </c>
      <c r="G509" s="6" t="s">
        <v>71</v>
      </c>
      <c r="H509" s="6" t="s">
        <v>48</v>
      </c>
      <c r="I509" s="6" t="s">
        <v>58</v>
      </c>
      <c r="J509" s="6" t="s">
        <v>50</v>
      </c>
      <c r="K509" s="6" t="s">
        <v>48</v>
      </c>
      <c r="L509" s="6" t="s">
        <v>128</v>
      </c>
      <c r="M509" s="6" t="s">
        <v>48</v>
      </c>
      <c r="N509" s="6" t="s">
        <v>28</v>
      </c>
      <c r="O509" s="6" t="s">
        <v>48</v>
      </c>
      <c r="P509" s="6" t="s">
        <v>48</v>
      </c>
      <c r="Q509" s="6" t="s">
        <v>48</v>
      </c>
      <c r="R509" s="6" t="s">
        <v>50</v>
      </c>
      <c r="S509" s="6" t="s">
        <v>54</v>
      </c>
      <c r="T509" s="6" t="s">
        <v>48</v>
      </c>
      <c r="U509" s="6" t="s">
        <v>59</v>
      </c>
      <c r="V509" s="6" t="s">
        <v>146</v>
      </c>
      <c r="W509" t="s">
        <v>787</v>
      </c>
    </row>
    <row r="510" spans="1:23" x14ac:dyDescent="0.3">
      <c r="A510" s="6" t="s">
        <v>544</v>
      </c>
      <c r="B510" s="1">
        <v>45812</v>
      </c>
      <c r="C510" s="6" t="s">
        <v>343</v>
      </c>
      <c r="D510" s="6" t="s">
        <v>50</v>
      </c>
      <c r="E510" s="6" t="s">
        <v>46</v>
      </c>
      <c r="F510" s="6" t="s">
        <v>24</v>
      </c>
      <c r="G510" s="6" t="s">
        <v>71</v>
      </c>
      <c r="H510" s="6" t="s">
        <v>48</v>
      </c>
      <c r="I510" s="6" t="s">
        <v>58</v>
      </c>
      <c r="J510" s="6" t="s">
        <v>50</v>
      </c>
      <c r="K510" s="6" t="s">
        <v>48</v>
      </c>
      <c r="L510" s="6" t="s">
        <v>128</v>
      </c>
      <c r="M510" s="6" t="s">
        <v>48</v>
      </c>
      <c r="N510" s="6" t="s">
        <v>28</v>
      </c>
      <c r="O510" s="6" t="s">
        <v>48</v>
      </c>
      <c r="P510" s="6" t="s">
        <v>48</v>
      </c>
      <c r="Q510" s="6" t="s">
        <v>48</v>
      </c>
      <c r="R510" s="6" t="s">
        <v>50</v>
      </c>
      <c r="S510" s="6" t="s">
        <v>54</v>
      </c>
      <c r="T510" s="6" t="s">
        <v>48</v>
      </c>
      <c r="U510" s="6" t="s">
        <v>59</v>
      </c>
      <c r="V510" s="6" t="s">
        <v>82</v>
      </c>
      <c r="W510" t="s">
        <v>787</v>
      </c>
    </row>
    <row r="511" spans="1:23" x14ac:dyDescent="0.3">
      <c r="A511" s="6" t="s">
        <v>545</v>
      </c>
      <c r="B511" s="1">
        <v>45813</v>
      </c>
      <c r="C511" s="6" t="s">
        <v>84</v>
      </c>
      <c r="D511" s="6" t="s">
        <v>81</v>
      </c>
      <c r="E511" s="6" t="s">
        <v>73</v>
      </c>
      <c r="F511" s="6" t="s">
        <v>24</v>
      </c>
      <c r="G511" s="6" t="s">
        <v>114</v>
      </c>
      <c r="H511" s="6" t="s">
        <v>26</v>
      </c>
      <c r="I511" s="6" t="s">
        <v>38</v>
      </c>
      <c r="J511" s="6" t="s">
        <v>81</v>
      </c>
      <c r="K511" s="6" t="s">
        <v>48</v>
      </c>
      <c r="L511" s="6" t="s">
        <v>54</v>
      </c>
      <c r="M511" s="6" t="s">
        <v>32</v>
      </c>
      <c r="N511" s="6" t="s">
        <v>28</v>
      </c>
      <c r="O511" s="6" t="s">
        <v>30</v>
      </c>
      <c r="P511" s="6" t="s">
        <v>45</v>
      </c>
      <c r="Q511" s="6" t="s">
        <v>31</v>
      </c>
      <c r="R511" s="6" t="s">
        <v>81</v>
      </c>
      <c r="S511" s="6" t="s">
        <v>54</v>
      </c>
      <c r="T511" s="6" t="s">
        <v>48</v>
      </c>
      <c r="U511" s="6" t="s">
        <v>28</v>
      </c>
      <c r="V511" s="6" t="s">
        <v>82</v>
      </c>
      <c r="W511" t="s">
        <v>787</v>
      </c>
    </row>
    <row r="512" spans="1:23" x14ac:dyDescent="0.3">
      <c r="A512" s="6" t="s">
        <v>547</v>
      </c>
      <c r="B512" s="1">
        <v>45814</v>
      </c>
      <c r="C512" s="6" t="s">
        <v>84</v>
      </c>
      <c r="D512" s="6" t="s">
        <v>83</v>
      </c>
      <c r="E512" s="6" t="s">
        <v>46</v>
      </c>
      <c r="F512" s="6" t="s">
        <v>24</v>
      </c>
      <c r="G512" s="6" t="s">
        <v>61</v>
      </c>
      <c r="H512" s="6" t="s">
        <v>48</v>
      </c>
      <c r="I512" s="6" t="s">
        <v>37</v>
      </c>
      <c r="J512" s="6" t="s">
        <v>49</v>
      </c>
      <c r="K512" s="6" t="s">
        <v>48</v>
      </c>
      <c r="L512" s="6" t="s">
        <v>54</v>
      </c>
      <c r="M512" s="6" t="s">
        <v>48</v>
      </c>
      <c r="N512" s="6" t="s">
        <v>28</v>
      </c>
      <c r="O512" s="6" t="s">
        <v>30</v>
      </c>
      <c r="P512" s="6" t="s">
        <v>27</v>
      </c>
      <c r="Q512" s="6" t="s">
        <v>31</v>
      </c>
      <c r="R512" s="6" t="s">
        <v>83</v>
      </c>
      <c r="S512" s="6" t="s">
        <v>54</v>
      </c>
      <c r="T512" s="6" t="s">
        <v>48</v>
      </c>
      <c r="U512" s="6" t="s">
        <v>28</v>
      </c>
      <c r="V512" s="6" t="s">
        <v>82</v>
      </c>
      <c r="W512" t="s">
        <v>787</v>
      </c>
    </row>
    <row r="513" spans="1:23" x14ac:dyDescent="0.3">
      <c r="A513" s="6" t="s">
        <v>548</v>
      </c>
      <c r="B513" s="1">
        <v>45814</v>
      </c>
      <c r="C513" s="6" t="s">
        <v>84</v>
      </c>
      <c r="D513" s="6" t="s">
        <v>83</v>
      </c>
      <c r="E513" s="6" t="s">
        <v>46</v>
      </c>
      <c r="F513" s="6" t="s">
        <v>24</v>
      </c>
      <c r="G513" s="6" t="s">
        <v>61</v>
      </c>
      <c r="H513" s="6" t="s">
        <v>48</v>
      </c>
      <c r="I513" s="6" t="s">
        <v>37</v>
      </c>
      <c r="J513" s="6" t="s">
        <v>49</v>
      </c>
      <c r="K513" s="6" t="s">
        <v>48</v>
      </c>
      <c r="L513" s="6" t="s">
        <v>54</v>
      </c>
      <c r="M513" s="6" t="s">
        <v>48</v>
      </c>
      <c r="N513" s="6" t="s">
        <v>28</v>
      </c>
      <c r="O513" s="6" t="s">
        <v>26</v>
      </c>
      <c r="P513" s="6" t="s">
        <v>108</v>
      </c>
      <c r="Q513" s="6" t="s">
        <v>31</v>
      </c>
      <c r="R513" s="6" t="s">
        <v>49</v>
      </c>
      <c r="S513" s="6" t="s">
        <v>54</v>
      </c>
      <c r="T513" s="6" t="s">
        <v>48</v>
      </c>
      <c r="U513" s="6" t="s">
        <v>28</v>
      </c>
      <c r="V513" s="6" t="s">
        <v>82</v>
      </c>
      <c r="W513" t="s">
        <v>787</v>
      </c>
    </row>
    <row r="514" spans="1:23" x14ac:dyDescent="0.3">
      <c r="A514" s="6" t="s">
        <v>546</v>
      </c>
      <c r="B514" s="1">
        <v>45814</v>
      </c>
      <c r="C514" s="6" t="s">
        <v>84</v>
      </c>
      <c r="D514" s="6" t="s">
        <v>83</v>
      </c>
      <c r="E514" s="6" t="s">
        <v>46</v>
      </c>
      <c r="F514" s="6" t="s">
        <v>24</v>
      </c>
      <c r="G514" s="6" t="s">
        <v>61</v>
      </c>
      <c r="H514" s="6" t="s">
        <v>48</v>
      </c>
      <c r="I514" s="6" t="s">
        <v>37</v>
      </c>
      <c r="J514" s="6" t="s">
        <v>49</v>
      </c>
      <c r="K514" s="6" t="s">
        <v>48</v>
      </c>
      <c r="L514" s="6" t="s">
        <v>54</v>
      </c>
      <c r="M514" s="6" t="s">
        <v>48</v>
      </c>
      <c r="N514" s="6" t="s">
        <v>28</v>
      </c>
      <c r="O514" s="6" t="s">
        <v>26</v>
      </c>
      <c r="P514" s="6" t="s">
        <v>138</v>
      </c>
      <c r="Q514" s="6" t="s">
        <v>31</v>
      </c>
      <c r="R514" s="6" t="s">
        <v>49</v>
      </c>
      <c r="S514" s="6" t="s">
        <v>54</v>
      </c>
      <c r="T514" s="6" t="s">
        <v>48</v>
      </c>
      <c r="U514" s="6" t="s">
        <v>28</v>
      </c>
      <c r="V514" s="6" t="s">
        <v>82</v>
      </c>
      <c r="W514" t="s">
        <v>787</v>
      </c>
    </row>
    <row r="515" spans="1:23" x14ac:dyDescent="0.3">
      <c r="A515" s="6" t="s">
        <v>550</v>
      </c>
      <c r="B515" s="1">
        <v>45814</v>
      </c>
      <c r="C515" s="6" t="s">
        <v>84</v>
      </c>
      <c r="D515" s="6" t="s">
        <v>83</v>
      </c>
      <c r="E515" s="6" t="s">
        <v>46</v>
      </c>
      <c r="F515" s="6" t="s">
        <v>24</v>
      </c>
      <c r="G515" s="6" t="s">
        <v>61</v>
      </c>
      <c r="H515" s="6" t="s">
        <v>48</v>
      </c>
      <c r="I515" s="6" t="s">
        <v>37</v>
      </c>
      <c r="J515" s="6" t="s">
        <v>49</v>
      </c>
      <c r="K515" s="6" t="s">
        <v>48</v>
      </c>
      <c r="L515" s="6" t="s">
        <v>54</v>
      </c>
      <c r="M515" s="6" t="s">
        <v>48</v>
      </c>
      <c r="N515" s="6" t="s">
        <v>28</v>
      </c>
      <c r="O515" s="6" t="s">
        <v>26</v>
      </c>
      <c r="P515" s="6" t="s">
        <v>138</v>
      </c>
      <c r="Q515" s="6" t="s">
        <v>31</v>
      </c>
      <c r="R515" s="6" t="s">
        <v>49</v>
      </c>
      <c r="S515" s="6" t="s">
        <v>54</v>
      </c>
      <c r="T515" s="6" t="s">
        <v>48</v>
      </c>
      <c r="U515" s="6" t="s">
        <v>28</v>
      </c>
      <c r="V515" s="6" t="s">
        <v>82</v>
      </c>
      <c r="W515" t="s">
        <v>787</v>
      </c>
    </row>
    <row r="516" spans="1:23" x14ac:dyDescent="0.3">
      <c r="A516" s="6" t="s">
        <v>549</v>
      </c>
      <c r="B516" s="1">
        <v>45814</v>
      </c>
      <c r="C516" s="6" t="s">
        <v>84</v>
      </c>
      <c r="D516" s="6" t="s">
        <v>83</v>
      </c>
      <c r="E516" s="6" t="s">
        <v>46</v>
      </c>
      <c r="F516" s="6" t="s">
        <v>24</v>
      </c>
      <c r="G516" s="6" t="s">
        <v>61</v>
      </c>
      <c r="H516" s="6" t="s">
        <v>48</v>
      </c>
      <c r="I516" s="6" t="s">
        <v>37</v>
      </c>
      <c r="J516" s="6" t="s">
        <v>49</v>
      </c>
      <c r="K516" s="6" t="s">
        <v>48</v>
      </c>
      <c r="L516" s="6" t="s">
        <v>54</v>
      </c>
      <c r="M516" s="6" t="s">
        <v>48</v>
      </c>
      <c r="N516" s="6" t="s">
        <v>28</v>
      </c>
      <c r="O516" s="6" t="s">
        <v>48</v>
      </c>
      <c r="P516" s="6" t="s">
        <v>48</v>
      </c>
      <c r="Q516" s="6" t="s">
        <v>31</v>
      </c>
      <c r="R516" s="6" t="s">
        <v>49</v>
      </c>
      <c r="S516" s="6" t="s">
        <v>54</v>
      </c>
      <c r="T516" s="6" t="s">
        <v>48</v>
      </c>
      <c r="U516" s="6" t="s">
        <v>28</v>
      </c>
      <c r="V516" s="6" t="s">
        <v>82</v>
      </c>
      <c r="W516" t="s">
        <v>787</v>
      </c>
    </row>
    <row r="517" spans="1:23" x14ac:dyDescent="0.3">
      <c r="A517" s="6" t="s">
        <v>551</v>
      </c>
      <c r="B517" s="1">
        <v>45814</v>
      </c>
      <c r="C517" s="6" t="s">
        <v>33</v>
      </c>
      <c r="D517" s="6" t="s">
        <v>95</v>
      </c>
      <c r="E517" s="6" t="s">
        <v>64</v>
      </c>
      <c r="F517" s="6" t="s">
        <v>24</v>
      </c>
      <c r="G517" s="6" t="s">
        <v>69</v>
      </c>
      <c r="H517" s="6" t="s">
        <v>26</v>
      </c>
      <c r="I517" s="6" t="s">
        <v>42</v>
      </c>
      <c r="J517" s="6" t="s">
        <v>95</v>
      </c>
      <c r="K517" s="6" t="s">
        <v>48</v>
      </c>
      <c r="L517" s="6" t="s">
        <v>54</v>
      </c>
      <c r="M517" s="6" t="s">
        <v>32</v>
      </c>
      <c r="N517" s="6" t="s">
        <v>28</v>
      </c>
      <c r="O517" s="6" t="s">
        <v>30</v>
      </c>
      <c r="P517" s="6" t="s">
        <v>45</v>
      </c>
      <c r="Q517" s="6" t="s">
        <v>31</v>
      </c>
      <c r="R517" s="6" t="s">
        <v>95</v>
      </c>
      <c r="S517" s="6" t="s">
        <v>54</v>
      </c>
      <c r="T517" s="6" t="s">
        <v>32</v>
      </c>
      <c r="U517" s="6" t="s">
        <v>28</v>
      </c>
      <c r="V517" s="6" t="s">
        <v>82</v>
      </c>
      <c r="W517" t="s">
        <v>787</v>
      </c>
    </row>
    <row r="518" spans="1:23" x14ac:dyDescent="0.3">
      <c r="A518" s="6" t="s">
        <v>553</v>
      </c>
      <c r="B518" s="1">
        <v>45815</v>
      </c>
      <c r="C518" s="6" t="s">
        <v>343</v>
      </c>
      <c r="D518" s="6" t="s">
        <v>95</v>
      </c>
      <c r="E518" s="6" t="s">
        <v>64</v>
      </c>
      <c r="F518" s="6" t="s">
        <v>24</v>
      </c>
      <c r="G518" s="6" t="s">
        <v>69</v>
      </c>
      <c r="H518" s="6" t="s">
        <v>148</v>
      </c>
      <c r="I518" s="6" t="s">
        <v>37</v>
      </c>
      <c r="J518" s="6" t="s">
        <v>49</v>
      </c>
      <c r="K518" s="6" t="s">
        <v>48</v>
      </c>
      <c r="L518" s="6" t="s">
        <v>54</v>
      </c>
      <c r="M518" s="6" t="s">
        <v>29</v>
      </c>
      <c r="N518" s="6" t="s">
        <v>28</v>
      </c>
      <c r="O518" s="6" t="s">
        <v>48</v>
      </c>
      <c r="P518" s="6" t="s">
        <v>48</v>
      </c>
      <c r="Q518" s="6" t="s">
        <v>48</v>
      </c>
      <c r="R518" s="6" t="s">
        <v>95</v>
      </c>
      <c r="S518" s="6" t="s">
        <v>54</v>
      </c>
      <c r="T518" s="6" t="s">
        <v>48</v>
      </c>
      <c r="U518" s="6" t="s">
        <v>28</v>
      </c>
      <c r="V518" s="6" t="s">
        <v>146</v>
      </c>
      <c r="W518" t="s">
        <v>787</v>
      </c>
    </row>
    <row r="519" spans="1:23" x14ac:dyDescent="0.3">
      <c r="A519" s="6" t="s">
        <v>552</v>
      </c>
      <c r="B519" s="1">
        <v>45815</v>
      </c>
      <c r="C519" s="6" t="s">
        <v>343</v>
      </c>
      <c r="D519" s="6" t="s">
        <v>95</v>
      </c>
      <c r="E519" s="6" t="s">
        <v>64</v>
      </c>
      <c r="F519" s="6" t="s">
        <v>24</v>
      </c>
      <c r="G519" s="6" t="s">
        <v>69</v>
      </c>
      <c r="H519" s="6" t="s">
        <v>148</v>
      </c>
      <c r="I519" s="6" t="s">
        <v>37</v>
      </c>
      <c r="J519" s="6" t="s">
        <v>49</v>
      </c>
      <c r="K519" s="6" t="s">
        <v>48</v>
      </c>
      <c r="L519" s="6" t="s">
        <v>54</v>
      </c>
      <c r="M519" s="6" t="s">
        <v>29</v>
      </c>
      <c r="N519" s="6" t="s">
        <v>28</v>
      </c>
      <c r="O519" s="6" t="s">
        <v>48</v>
      </c>
      <c r="P519" s="6" t="s">
        <v>48</v>
      </c>
      <c r="Q519" s="6" t="s">
        <v>48</v>
      </c>
      <c r="R519" s="6" t="s">
        <v>95</v>
      </c>
      <c r="S519" s="6" t="s">
        <v>54</v>
      </c>
      <c r="T519" s="6" t="s">
        <v>48</v>
      </c>
      <c r="U519" s="6" t="s">
        <v>28</v>
      </c>
      <c r="V519" s="6" t="s">
        <v>137</v>
      </c>
      <c r="W519" t="s">
        <v>787</v>
      </c>
    </row>
    <row r="520" spans="1:23" x14ac:dyDescent="0.3">
      <c r="A520" s="6" t="s">
        <v>552</v>
      </c>
      <c r="B520" s="1">
        <v>45815</v>
      </c>
      <c r="C520" s="6" t="s">
        <v>343</v>
      </c>
      <c r="D520" s="6" t="s">
        <v>95</v>
      </c>
      <c r="E520" s="6" t="s">
        <v>64</v>
      </c>
      <c r="F520" s="6" t="s">
        <v>24</v>
      </c>
      <c r="G520" s="6" t="s">
        <v>69</v>
      </c>
      <c r="H520" s="6" t="s">
        <v>148</v>
      </c>
      <c r="I520" s="6" t="s">
        <v>37</v>
      </c>
      <c r="J520" s="6" t="s">
        <v>49</v>
      </c>
      <c r="K520" s="6" t="s">
        <v>48</v>
      </c>
      <c r="L520" s="6" t="s">
        <v>54</v>
      </c>
      <c r="M520" s="6" t="s">
        <v>29</v>
      </c>
      <c r="N520" s="6" t="s">
        <v>28</v>
      </c>
      <c r="O520" s="6" t="s">
        <v>48</v>
      </c>
      <c r="P520" s="6" t="s">
        <v>48</v>
      </c>
      <c r="Q520" s="6" t="s">
        <v>48</v>
      </c>
      <c r="R520" s="6" t="s">
        <v>95</v>
      </c>
      <c r="S520" s="6" t="s">
        <v>54</v>
      </c>
      <c r="T520" s="6" t="s">
        <v>48</v>
      </c>
      <c r="U520" s="6" t="s">
        <v>28</v>
      </c>
      <c r="V520" s="6" t="s">
        <v>146</v>
      </c>
      <c r="W520" t="s">
        <v>787</v>
      </c>
    </row>
    <row r="521" spans="1:23" x14ac:dyDescent="0.3">
      <c r="A521" s="6" t="s">
        <v>553</v>
      </c>
      <c r="B521" s="1">
        <v>45815</v>
      </c>
      <c r="C521" s="6" t="s">
        <v>343</v>
      </c>
      <c r="D521" s="6" t="s">
        <v>95</v>
      </c>
      <c r="E521" s="6" t="s">
        <v>64</v>
      </c>
      <c r="F521" s="6" t="s">
        <v>24</v>
      </c>
      <c r="G521" s="6" t="s">
        <v>69</v>
      </c>
      <c r="H521" s="6" t="s">
        <v>148</v>
      </c>
      <c r="I521" s="6" t="s">
        <v>37</v>
      </c>
      <c r="J521" s="6" t="s">
        <v>49</v>
      </c>
      <c r="K521" s="6" t="s">
        <v>48</v>
      </c>
      <c r="L521" s="6" t="s">
        <v>54</v>
      </c>
      <c r="M521" s="6" t="s">
        <v>29</v>
      </c>
      <c r="N521" s="6" t="s">
        <v>28</v>
      </c>
      <c r="O521" s="6" t="s">
        <v>48</v>
      </c>
      <c r="P521" s="6" t="s">
        <v>48</v>
      </c>
      <c r="Q521" s="6" t="s">
        <v>48</v>
      </c>
      <c r="R521" s="6" t="s">
        <v>95</v>
      </c>
      <c r="S521" s="6" t="s">
        <v>54</v>
      </c>
      <c r="T521" s="6" t="s">
        <v>48</v>
      </c>
      <c r="U521" s="6" t="s">
        <v>28</v>
      </c>
      <c r="V521" s="6" t="s">
        <v>137</v>
      </c>
      <c r="W521" t="s">
        <v>787</v>
      </c>
    </row>
    <row r="522" spans="1:23" x14ac:dyDescent="0.3">
      <c r="A522" s="6" t="s">
        <v>554</v>
      </c>
      <c r="B522" s="1">
        <v>45815</v>
      </c>
      <c r="C522" s="6" t="s">
        <v>33</v>
      </c>
      <c r="D522" s="6" t="s">
        <v>95</v>
      </c>
      <c r="E522" s="6" t="s">
        <v>64</v>
      </c>
      <c r="F522" s="6" t="s">
        <v>24</v>
      </c>
      <c r="G522" s="6" t="s">
        <v>69</v>
      </c>
      <c r="H522" s="6" t="s">
        <v>48</v>
      </c>
      <c r="I522" s="6" t="s">
        <v>27</v>
      </c>
      <c r="J522" s="6" t="s">
        <v>95</v>
      </c>
      <c r="K522" s="6" t="s">
        <v>48</v>
      </c>
      <c r="L522" s="6" t="s">
        <v>152</v>
      </c>
      <c r="M522" s="6" t="s">
        <v>48</v>
      </c>
      <c r="N522" s="6" t="s">
        <v>28</v>
      </c>
      <c r="O522" s="6" t="s">
        <v>48</v>
      </c>
      <c r="P522" s="6" t="s">
        <v>48</v>
      </c>
      <c r="Q522" s="6" t="s">
        <v>48</v>
      </c>
      <c r="R522" s="6" t="s">
        <v>95</v>
      </c>
      <c r="S522" s="6" t="s">
        <v>54</v>
      </c>
      <c r="T522" s="6" t="s">
        <v>48</v>
      </c>
      <c r="U522" s="6" t="s">
        <v>28</v>
      </c>
      <c r="V522" s="6" t="s">
        <v>82</v>
      </c>
      <c r="W522" t="s">
        <v>787</v>
      </c>
    </row>
    <row r="523" spans="1:23" x14ac:dyDescent="0.3">
      <c r="A523" s="6" t="s">
        <v>555</v>
      </c>
      <c r="B523" s="1">
        <v>45816</v>
      </c>
      <c r="C523" s="6" t="s">
        <v>33</v>
      </c>
      <c r="D523" s="6" t="s">
        <v>22</v>
      </c>
      <c r="E523" s="6" t="s">
        <v>35</v>
      </c>
      <c r="F523" s="6" t="s">
        <v>24</v>
      </c>
      <c r="G523" s="6" t="s">
        <v>101</v>
      </c>
      <c r="H523" s="6" t="s">
        <v>26</v>
      </c>
      <c r="I523" s="6" t="s">
        <v>42</v>
      </c>
      <c r="J523" s="6" t="s">
        <v>22</v>
      </c>
      <c r="K523" s="6" t="s">
        <v>76</v>
      </c>
      <c r="L523" s="6" t="s">
        <v>704</v>
      </c>
      <c r="M523" s="6" t="s">
        <v>32</v>
      </c>
      <c r="N523" s="6" t="s">
        <v>28</v>
      </c>
      <c r="O523" s="6" t="s">
        <v>30</v>
      </c>
      <c r="P523" s="6" t="s">
        <v>52</v>
      </c>
      <c r="Q523" s="6" t="s">
        <v>31</v>
      </c>
      <c r="R523" s="6" t="s">
        <v>22</v>
      </c>
      <c r="S523" s="6" t="s">
        <v>54</v>
      </c>
      <c r="T523" s="6" t="s">
        <v>32</v>
      </c>
      <c r="U523" s="6" t="s">
        <v>28</v>
      </c>
      <c r="V523" s="6" t="s">
        <v>146</v>
      </c>
      <c r="W523" t="s">
        <v>787</v>
      </c>
    </row>
    <row r="524" spans="1:23" x14ac:dyDescent="0.3">
      <c r="A524" s="6" t="s">
        <v>556</v>
      </c>
      <c r="B524" s="1">
        <v>45816</v>
      </c>
      <c r="C524" s="6" t="s">
        <v>343</v>
      </c>
      <c r="D524" s="6" t="s">
        <v>60</v>
      </c>
      <c r="E524" s="6" t="s">
        <v>44</v>
      </c>
      <c r="F524" s="6" t="s">
        <v>24</v>
      </c>
      <c r="G524" s="6" t="s">
        <v>71</v>
      </c>
      <c r="H524" s="6" t="s">
        <v>26</v>
      </c>
      <c r="I524" s="6" t="s">
        <v>38</v>
      </c>
      <c r="J524" s="6" t="s">
        <v>60</v>
      </c>
      <c r="K524" s="6" t="s">
        <v>48</v>
      </c>
      <c r="L524" s="6" t="s">
        <v>54</v>
      </c>
      <c r="M524" s="6" t="s">
        <v>32</v>
      </c>
      <c r="N524" s="6" t="s">
        <v>28</v>
      </c>
      <c r="O524" s="6" t="s">
        <v>48</v>
      </c>
      <c r="P524" s="6" t="s">
        <v>48</v>
      </c>
      <c r="Q524" s="6" t="s">
        <v>48</v>
      </c>
      <c r="R524" s="6" t="s">
        <v>60</v>
      </c>
      <c r="S524" s="6" t="s">
        <v>54</v>
      </c>
      <c r="T524" s="6" t="s">
        <v>48</v>
      </c>
      <c r="U524" s="6" t="s">
        <v>59</v>
      </c>
      <c r="V524" s="6" t="s">
        <v>82</v>
      </c>
      <c r="W524" t="s">
        <v>787</v>
      </c>
    </row>
    <row r="525" spans="1:23" x14ac:dyDescent="0.3">
      <c r="A525" s="6" t="s">
        <v>557</v>
      </c>
      <c r="B525" s="1">
        <v>45816</v>
      </c>
      <c r="C525" s="6" t="s">
        <v>84</v>
      </c>
      <c r="D525" s="6" t="s">
        <v>48</v>
      </c>
      <c r="E525" s="6" t="s">
        <v>46</v>
      </c>
      <c r="F525" s="6" t="s">
        <v>24</v>
      </c>
      <c r="G525" s="6" t="s">
        <v>61</v>
      </c>
      <c r="H525" s="6" t="s">
        <v>48</v>
      </c>
      <c r="I525" s="6" t="s">
        <v>100</v>
      </c>
      <c r="J525" s="6" t="s">
        <v>49</v>
      </c>
      <c r="K525" s="6" t="s">
        <v>48</v>
      </c>
      <c r="L525" s="6" t="s">
        <v>54</v>
      </c>
      <c r="M525" s="6" t="s">
        <v>48</v>
      </c>
      <c r="N525" s="6" t="s">
        <v>28</v>
      </c>
      <c r="O525" s="6" t="s">
        <v>26</v>
      </c>
      <c r="P525" s="6" t="s">
        <v>48</v>
      </c>
      <c r="Q525" s="6" t="s">
        <v>48</v>
      </c>
      <c r="R525" s="6" t="s">
        <v>40</v>
      </c>
      <c r="S525" s="6" t="s">
        <v>54</v>
      </c>
      <c r="T525" s="6" t="s">
        <v>48</v>
      </c>
      <c r="U525" s="6" t="s">
        <v>28</v>
      </c>
      <c r="V525" s="6" t="s">
        <v>82</v>
      </c>
      <c r="W525" t="s">
        <v>787</v>
      </c>
    </row>
    <row r="526" spans="1:23" x14ac:dyDescent="0.3">
      <c r="A526" s="6" t="s">
        <v>557</v>
      </c>
      <c r="B526" s="1">
        <v>45816</v>
      </c>
      <c r="C526" s="6" t="s">
        <v>84</v>
      </c>
      <c r="D526" s="6" t="s">
        <v>48</v>
      </c>
      <c r="E526" s="6" t="s">
        <v>46</v>
      </c>
      <c r="F526" s="6" t="s">
        <v>24</v>
      </c>
      <c r="G526" s="6" t="s">
        <v>61</v>
      </c>
      <c r="H526" s="6" t="s">
        <v>48</v>
      </c>
      <c r="I526" s="6" t="s">
        <v>100</v>
      </c>
      <c r="J526" s="6" t="s">
        <v>49</v>
      </c>
      <c r="K526" s="6" t="s">
        <v>48</v>
      </c>
      <c r="L526" s="6" t="s">
        <v>54</v>
      </c>
      <c r="M526" s="6" t="s">
        <v>48</v>
      </c>
      <c r="N526" s="6" t="s">
        <v>28</v>
      </c>
      <c r="O526" s="6" t="s">
        <v>26</v>
      </c>
      <c r="P526" s="6" t="s">
        <v>48</v>
      </c>
      <c r="Q526" s="6" t="s">
        <v>48</v>
      </c>
      <c r="R526" s="6" t="s">
        <v>40</v>
      </c>
      <c r="S526" s="6" t="s">
        <v>54</v>
      </c>
      <c r="T526" s="6" t="s">
        <v>48</v>
      </c>
      <c r="U526" s="6" t="s">
        <v>28</v>
      </c>
      <c r="V526" s="6" t="s">
        <v>146</v>
      </c>
      <c r="W526" t="s">
        <v>787</v>
      </c>
    </row>
    <row r="527" spans="1:23" x14ac:dyDescent="0.3">
      <c r="A527" s="6" t="s">
        <v>558</v>
      </c>
      <c r="B527" s="1">
        <v>45816</v>
      </c>
      <c r="C527" s="6" t="s">
        <v>343</v>
      </c>
      <c r="D527" s="6" t="s">
        <v>78</v>
      </c>
      <c r="E527" s="6" t="s">
        <v>35</v>
      </c>
      <c r="F527" s="6" t="s">
        <v>24</v>
      </c>
      <c r="G527" s="6" t="s">
        <v>61</v>
      </c>
      <c r="H527" s="6" t="s">
        <v>48</v>
      </c>
      <c r="I527" s="6" t="s">
        <v>38</v>
      </c>
      <c r="J527" s="6" t="s">
        <v>78</v>
      </c>
      <c r="K527" s="6" t="s">
        <v>48</v>
      </c>
      <c r="L527" s="6" t="s">
        <v>705</v>
      </c>
      <c r="M527" s="6" t="s">
        <v>48</v>
      </c>
      <c r="N527" s="6" t="s">
        <v>28</v>
      </c>
      <c r="O527" s="6" t="s">
        <v>48</v>
      </c>
      <c r="P527" s="6" t="s">
        <v>48</v>
      </c>
      <c r="Q527" s="6" t="s">
        <v>48</v>
      </c>
      <c r="R527" s="6" t="s">
        <v>78</v>
      </c>
      <c r="S527" s="6" t="s">
        <v>54</v>
      </c>
      <c r="T527" s="6" t="s">
        <v>48</v>
      </c>
      <c r="U527" s="6" t="s">
        <v>94</v>
      </c>
      <c r="V527" s="6" t="s">
        <v>82</v>
      </c>
      <c r="W527" t="s">
        <v>787</v>
      </c>
    </row>
    <row r="528" spans="1:23" x14ac:dyDescent="0.3">
      <c r="A528" s="6" t="s">
        <v>559</v>
      </c>
      <c r="B528" s="1">
        <v>45816</v>
      </c>
      <c r="C528" s="6" t="s">
        <v>21</v>
      </c>
      <c r="D528" s="6" t="s">
        <v>78</v>
      </c>
      <c r="E528" s="6" t="s">
        <v>46</v>
      </c>
      <c r="F528" s="6" t="s">
        <v>24</v>
      </c>
      <c r="G528" s="6" t="s">
        <v>65</v>
      </c>
      <c r="H528" s="6" t="s">
        <v>26</v>
      </c>
      <c r="I528" s="6" t="s">
        <v>45</v>
      </c>
      <c r="J528" s="6" t="s">
        <v>78</v>
      </c>
      <c r="K528" s="6" t="s">
        <v>48</v>
      </c>
      <c r="L528" s="6" t="s">
        <v>54</v>
      </c>
      <c r="M528" s="6" t="s">
        <v>48</v>
      </c>
      <c r="N528" s="6" t="s">
        <v>28</v>
      </c>
      <c r="O528" s="6" t="s">
        <v>30</v>
      </c>
      <c r="P528" s="6" t="s">
        <v>48</v>
      </c>
      <c r="Q528" s="6" t="s">
        <v>48</v>
      </c>
      <c r="R528" s="6" t="s">
        <v>78</v>
      </c>
      <c r="S528" s="6" t="s">
        <v>54</v>
      </c>
      <c r="T528" s="6" t="s">
        <v>48</v>
      </c>
      <c r="U528" s="6" t="s">
        <v>28</v>
      </c>
      <c r="V528" s="6" t="s">
        <v>82</v>
      </c>
      <c r="W528" t="s">
        <v>787</v>
      </c>
    </row>
    <row r="529" spans="1:23" x14ac:dyDescent="0.3">
      <c r="A529" s="6" t="s">
        <v>560</v>
      </c>
      <c r="B529" s="1">
        <v>45817</v>
      </c>
      <c r="C529" s="6" t="s">
        <v>39</v>
      </c>
      <c r="D529" s="6" t="s">
        <v>81</v>
      </c>
      <c r="E529" s="6" t="s">
        <v>73</v>
      </c>
      <c r="F529" s="6" t="s">
        <v>24</v>
      </c>
      <c r="G529" s="6" t="s">
        <v>110</v>
      </c>
      <c r="H529" s="6" t="s">
        <v>26</v>
      </c>
      <c r="I529" s="6" t="s">
        <v>52</v>
      </c>
      <c r="J529" s="6" t="s">
        <v>81</v>
      </c>
      <c r="K529" s="6" t="s">
        <v>48</v>
      </c>
      <c r="L529" s="6" t="s">
        <v>54</v>
      </c>
      <c r="M529" s="6" t="s">
        <v>32</v>
      </c>
      <c r="N529" s="6" t="s">
        <v>28</v>
      </c>
      <c r="O529" s="6" t="s">
        <v>26</v>
      </c>
      <c r="P529" s="6" t="s">
        <v>788</v>
      </c>
      <c r="Q529" s="6" t="s">
        <v>31</v>
      </c>
      <c r="R529" s="6" t="s">
        <v>81</v>
      </c>
      <c r="S529" s="6" t="s">
        <v>54</v>
      </c>
      <c r="T529" s="6" t="s">
        <v>32</v>
      </c>
      <c r="U529" s="6" t="s">
        <v>28</v>
      </c>
      <c r="V529" s="6" t="s">
        <v>82</v>
      </c>
      <c r="W529" t="s">
        <v>787</v>
      </c>
    </row>
    <row r="530" spans="1:23" x14ac:dyDescent="0.3">
      <c r="A530" s="6" t="s">
        <v>561</v>
      </c>
      <c r="B530" s="1">
        <v>45817</v>
      </c>
      <c r="C530" s="6" t="s">
        <v>39</v>
      </c>
      <c r="D530" s="6" t="s">
        <v>81</v>
      </c>
      <c r="E530" s="6" t="s">
        <v>73</v>
      </c>
      <c r="F530" s="6" t="s">
        <v>24</v>
      </c>
      <c r="G530" s="6" t="s">
        <v>110</v>
      </c>
      <c r="H530" s="6" t="s">
        <v>26</v>
      </c>
      <c r="I530" s="6" t="s">
        <v>52</v>
      </c>
      <c r="J530" s="6" t="s">
        <v>81</v>
      </c>
      <c r="K530" s="6" t="s">
        <v>48</v>
      </c>
      <c r="L530" s="6" t="s">
        <v>54</v>
      </c>
      <c r="M530" s="6" t="s">
        <v>32</v>
      </c>
      <c r="N530" s="6" t="s">
        <v>28</v>
      </c>
      <c r="O530" s="6" t="s">
        <v>30</v>
      </c>
      <c r="P530" s="6" t="s">
        <v>52</v>
      </c>
      <c r="Q530" s="6" t="s">
        <v>31</v>
      </c>
      <c r="R530" s="6" t="s">
        <v>81</v>
      </c>
      <c r="S530" s="6" t="s">
        <v>54</v>
      </c>
      <c r="T530" s="6" t="s">
        <v>32</v>
      </c>
      <c r="U530" s="6" t="s">
        <v>28</v>
      </c>
      <c r="V530" s="6" t="s">
        <v>82</v>
      </c>
      <c r="W530" t="s">
        <v>787</v>
      </c>
    </row>
    <row r="531" spans="1:23" x14ac:dyDescent="0.3">
      <c r="A531" s="6" t="s">
        <v>562</v>
      </c>
      <c r="B531" s="1">
        <v>45817</v>
      </c>
      <c r="C531" s="6" t="s">
        <v>84</v>
      </c>
      <c r="D531" s="6" t="s">
        <v>93</v>
      </c>
      <c r="E531" s="6" t="s">
        <v>68</v>
      </c>
      <c r="F531" s="6" t="s">
        <v>24</v>
      </c>
      <c r="G531" s="6" t="s">
        <v>46</v>
      </c>
      <c r="H531" s="6" t="s">
        <v>48</v>
      </c>
      <c r="I531" s="6" t="s">
        <v>52</v>
      </c>
      <c r="J531" s="6" t="s">
        <v>93</v>
      </c>
      <c r="K531" s="6" t="s">
        <v>48</v>
      </c>
      <c r="L531" s="6" t="s">
        <v>54</v>
      </c>
      <c r="M531" s="6" t="s">
        <v>48</v>
      </c>
      <c r="N531" s="6" t="s">
        <v>28</v>
      </c>
      <c r="O531" s="6" t="s">
        <v>48</v>
      </c>
      <c r="P531" s="6" t="s">
        <v>48</v>
      </c>
      <c r="Q531" s="6" t="s">
        <v>48</v>
      </c>
      <c r="R531" s="6" t="s">
        <v>93</v>
      </c>
      <c r="S531" s="6" t="s">
        <v>54</v>
      </c>
      <c r="T531" s="6" t="s">
        <v>48</v>
      </c>
      <c r="U531" s="6" t="s">
        <v>440</v>
      </c>
      <c r="V531" s="6" t="s">
        <v>146</v>
      </c>
      <c r="W531" t="s">
        <v>787</v>
      </c>
    </row>
    <row r="532" spans="1:23" x14ac:dyDescent="0.3">
      <c r="A532" s="6" t="s">
        <v>562</v>
      </c>
      <c r="B532" s="1">
        <v>45817</v>
      </c>
      <c r="C532" s="6" t="s">
        <v>84</v>
      </c>
      <c r="D532" s="6" t="s">
        <v>93</v>
      </c>
      <c r="E532" s="6" t="s">
        <v>68</v>
      </c>
      <c r="F532" s="6" t="s">
        <v>24</v>
      </c>
      <c r="G532" s="6" t="s">
        <v>46</v>
      </c>
      <c r="H532" s="6" t="s">
        <v>48</v>
      </c>
      <c r="I532" s="6" t="s">
        <v>52</v>
      </c>
      <c r="J532" s="6" t="s">
        <v>93</v>
      </c>
      <c r="K532" s="6" t="s">
        <v>48</v>
      </c>
      <c r="L532" s="6" t="s">
        <v>54</v>
      </c>
      <c r="M532" s="6" t="s">
        <v>48</v>
      </c>
      <c r="N532" s="6" t="s">
        <v>28</v>
      </c>
      <c r="O532" s="6" t="s">
        <v>48</v>
      </c>
      <c r="P532" s="6" t="s">
        <v>48</v>
      </c>
      <c r="Q532" s="6" t="s">
        <v>48</v>
      </c>
      <c r="R532" s="6" t="s">
        <v>93</v>
      </c>
      <c r="S532" s="6" t="s">
        <v>54</v>
      </c>
      <c r="T532" s="6" t="s">
        <v>48</v>
      </c>
      <c r="U532" s="6" t="s">
        <v>440</v>
      </c>
      <c r="V532" s="6" t="s">
        <v>137</v>
      </c>
      <c r="W532" t="s">
        <v>787</v>
      </c>
    </row>
    <row r="533" spans="1:23" x14ac:dyDescent="0.3">
      <c r="A533" s="6" t="s">
        <v>563</v>
      </c>
      <c r="B533" s="1">
        <v>45817</v>
      </c>
      <c r="C533" s="6" t="s">
        <v>343</v>
      </c>
      <c r="D533" s="6" t="s">
        <v>22</v>
      </c>
      <c r="E533" s="6" t="s">
        <v>35</v>
      </c>
      <c r="F533" s="6" t="s">
        <v>24</v>
      </c>
      <c r="G533" s="6" t="s">
        <v>71</v>
      </c>
      <c r="H533" s="6" t="s">
        <v>48</v>
      </c>
      <c r="I533" s="6" t="s">
        <v>27</v>
      </c>
      <c r="J533" s="6" t="s">
        <v>22</v>
      </c>
      <c r="K533" s="6" t="s">
        <v>48</v>
      </c>
      <c r="L533" s="6" t="s">
        <v>152</v>
      </c>
      <c r="M533" s="6" t="s">
        <v>48</v>
      </c>
      <c r="N533" s="6" t="s">
        <v>28</v>
      </c>
      <c r="O533" s="6" t="s">
        <v>26</v>
      </c>
      <c r="P533" s="6" t="s">
        <v>66</v>
      </c>
      <c r="Q533" s="6" t="s">
        <v>31</v>
      </c>
      <c r="R533" s="6" t="s">
        <v>22</v>
      </c>
      <c r="S533" s="6" t="s">
        <v>152</v>
      </c>
      <c r="T533" s="6" t="s">
        <v>32</v>
      </c>
      <c r="U533" s="6" t="s">
        <v>28</v>
      </c>
      <c r="V533" s="6" t="s">
        <v>146</v>
      </c>
      <c r="W533" t="s">
        <v>787</v>
      </c>
    </row>
    <row r="534" spans="1:23" x14ac:dyDescent="0.3">
      <c r="A534" s="6" t="s">
        <v>564</v>
      </c>
      <c r="B534" s="1">
        <v>45817</v>
      </c>
      <c r="C534" s="6" t="s">
        <v>343</v>
      </c>
      <c r="D534" s="6" t="s">
        <v>22</v>
      </c>
      <c r="E534" s="6" t="s">
        <v>35</v>
      </c>
      <c r="F534" s="6" t="s">
        <v>24</v>
      </c>
      <c r="G534" s="6" t="s">
        <v>71</v>
      </c>
      <c r="H534" s="6" t="s">
        <v>48</v>
      </c>
      <c r="I534" s="6" t="s">
        <v>27</v>
      </c>
      <c r="J534" s="6" t="s">
        <v>22</v>
      </c>
      <c r="K534" s="6" t="s">
        <v>48</v>
      </c>
      <c r="L534" s="6" t="s">
        <v>152</v>
      </c>
      <c r="M534" s="6" t="s">
        <v>48</v>
      </c>
      <c r="N534" s="6" t="s">
        <v>28</v>
      </c>
      <c r="O534" s="6" t="s">
        <v>30</v>
      </c>
      <c r="P534" s="6" t="s">
        <v>788</v>
      </c>
      <c r="Q534" s="6" t="s">
        <v>31</v>
      </c>
      <c r="R534" s="6" t="s">
        <v>22</v>
      </c>
      <c r="S534" s="6" t="s">
        <v>152</v>
      </c>
      <c r="T534" s="6" t="s">
        <v>32</v>
      </c>
      <c r="U534" s="6" t="s">
        <v>28</v>
      </c>
      <c r="V534" s="6" t="s">
        <v>146</v>
      </c>
      <c r="W534" t="s">
        <v>787</v>
      </c>
    </row>
    <row r="535" spans="1:23" x14ac:dyDescent="0.3">
      <c r="A535" s="6" t="s">
        <v>565</v>
      </c>
      <c r="B535" s="1">
        <v>45817</v>
      </c>
      <c r="C535" s="6" t="s">
        <v>39</v>
      </c>
      <c r="D535" s="6" t="s">
        <v>22</v>
      </c>
      <c r="E535" s="6" t="s">
        <v>68</v>
      </c>
      <c r="F535" s="6" t="s">
        <v>24</v>
      </c>
      <c r="G535" s="6" t="s">
        <v>101</v>
      </c>
      <c r="H535" s="6" t="s">
        <v>26</v>
      </c>
      <c r="I535" s="6" t="s">
        <v>42</v>
      </c>
      <c r="J535" s="6" t="s">
        <v>22</v>
      </c>
      <c r="K535" s="6" t="s">
        <v>48</v>
      </c>
      <c r="L535" s="6" t="s">
        <v>704</v>
      </c>
      <c r="M535" s="6" t="s">
        <v>48</v>
      </c>
      <c r="N535" s="6" t="s">
        <v>28</v>
      </c>
      <c r="O535" s="6" t="s">
        <v>30</v>
      </c>
      <c r="P535" s="6" t="s">
        <v>48</v>
      </c>
      <c r="Q535" s="6" t="s">
        <v>31</v>
      </c>
      <c r="R535" s="6" t="s">
        <v>22</v>
      </c>
      <c r="S535" s="6" t="s">
        <v>54</v>
      </c>
      <c r="T535" s="6" t="s">
        <v>48</v>
      </c>
      <c r="U535" s="6" t="s">
        <v>28</v>
      </c>
      <c r="V535" s="6" t="s">
        <v>82</v>
      </c>
      <c r="W535" t="s">
        <v>787</v>
      </c>
    </row>
    <row r="536" spans="1:23" x14ac:dyDescent="0.3">
      <c r="A536" s="6" t="s">
        <v>566</v>
      </c>
      <c r="B536" s="1">
        <v>45817</v>
      </c>
      <c r="C536" s="6" t="s">
        <v>343</v>
      </c>
      <c r="D536" s="6" t="s">
        <v>22</v>
      </c>
      <c r="E536" s="6" t="s">
        <v>23</v>
      </c>
      <c r="F536" s="6" t="s">
        <v>24</v>
      </c>
      <c r="G536" s="6" t="s">
        <v>51</v>
      </c>
      <c r="H536" s="6" t="s">
        <v>26</v>
      </c>
      <c r="I536" s="6" t="s">
        <v>27</v>
      </c>
      <c r="J536" s="6" t="s">
        <v>22</v>
      </c>
      <c r="K536" s="6" t="s">
        <v>48</v>
      </c>
      <c r="L536" s="6" t="s">
        <v>54</v>
      </c>
      <c r="M536" s="6" t="s">
        <v>48</v>
      </c>
      <c r="N536" s="6" t="s">
        <v>28</v>
      </c>
      <c r="O536" s="6" t="s">
        <v>48</v>
      </c>
      <c r="P536" s="6" t="s">
        <v>48</v>
      </c>
      <c r="Q536" s="6" t="s">
        <v>48</v>
      </c>
      <c r="R536" s="6" t="s">
        <v>22</v>
      </c>
      <c r="S536" s="6" t="s">
        <v>54</v>
      </c>
      <c r="T536" s="6" t="s">
        <v>48</v>
      </c>
      <c r="U536" s="6" t="s">
        <v>77</v>
      </c>
      <c r="V536" s="6" t="s">
        <v>82</v>
      </c>
      <c r="W536" t="s">
        <v>787</v>
      </c>
    </row>
    <row r="537" spans="1:23" x14ac:dyDescent="0.3">
      <c r="A537" s="6" t="s">
        <v>567</v>
      </c>
      <c r="B537" s="1">
        <v>45818</v>
      </c>
      <c r="C537" s="6" t="s">
        <v>33</v>
      </c>
      <c r="D537" s="6" t="s">
        <v>22</v>
      </c>
      <c r="E537" s="6" t="s">
        <v>23</v>
      </c>
      <c r="F537" s="6" t="s">
        <v>24</v>
      </c>
      <c r="G537" s="6" t="s">
        <v>61</v>
      </c>
      <c r="H537" s="6" t="s">
        <v>26</v>
      </c>
      <c r="I537" s="6" t="s">
        <v>27</v>
      </c>
      <c r="J537" s="6" t="s">
        <v>22</v>
      </c>
      <c r="K537" s="6" t="s">
        <v>48</v>
      </c>
      <c r="L537" s="6" t="s">
        <v>54</v>
      </c>
      <c r="M537" s="6" t="s">
        <v>32</v>
      </c>
      <c r="N537" s="6" t="s">
        <v>28</v>
      </c>
      <c r="O537" s="6" t="s">
        <v>30</v>
      </c>
      <c r="P537" s="6" t="s">
        <v>788</v>
      </c>
      <c r="Q537" s="6" t="s">
        <v>31</v>
      </c>
      <c r="R537" s="6" t="s">
        <v>22</v>
      </c>
      <c r="S537" s="6" t="s">
        <v>54</v>
      </c>
      <c r="T537" s="6" t="s">
        <v>55</v>
      </c>
      <c r="U537" s="6" t="s">
        <v>28</v>
      </c>
      <c r="V537" s="6" t="s">
        <v>82</v>
      </c>
      <c r="W537" t="s">
        <v>787</v>
      </c>
    </row>
    <row r="538" spans="1:23" x14ac:dyDescent="0.3">
      <c r="A538" s="6" t="s">
        <v>568</v>
      </c>
      <c r="B538" s="1">
        <v>45819</v>
      </c>
      <c r="C538" s="6" t="s">
        <v>343</v>
      </c>
      <c r="D538" s="6" t="s">
        <v>40</v>
      </c>
      <c r="E538" s="6" t="s">
        <v>44</v>
      </c>
      <c r="F538" s="6" t="s">
        <v>24</v>
      </c>
      <c r="G538" s="6" t="s">
        <v>61</v>
      </c>
      <c r="H538" s="6" t="s">
        <v>26</v>
      </c>
      <c r="I538" s="6" t="s">
        <v>37</v>
      </c>
      <c r="J538" s="6" t="s">
        <v>40</v>
      </c>
      <c r="K538" s="6" t="s">
        <v>48</v>
      </c>
      <c r="L538" s="6" t="s">
        <v>54</v>
      </c>
      <c r="M538" s="6" t="s">
        <v>48</v>
      </c>
      <c r="N538" s="6" t="s">
        <v>159</v>
      </c>
      <c r="O538" s="6" t="s">
        <v>48</v>
      </c>
      <c r="P538" s="6" t="s">
        <v>48</v>
      </c>
      <c r="Q538" s="6" t="s">
        <v>48</v>
      </c>
      <c r="R538" s="6" t="s">
        <v>40</v>
      </c>
      <c r="S538" s="6" t="s">
        <v>54</v>
      </c>
      <c r="T538" s="6" t="s">
        <v>48</v>
      </c>
      <c r="U538" s="6" t="s">
        <v>28</v>
      </c>
      <c r="V538" s="6" t="s">
        <v>146</v>
      </c>
      <c r="W538" t="s">
        <v>787</v>
      </c>
    </row>
    <row r="539" spans="1:23" x14ac:dyDescent="0.3">
      <c r="A539" s="6" t="s">
        <v>569</v>
      </c>
      <c r="B539" s="1">
        <v>45819</v>
      </c>
      <c r="C539" s="6" t="s">
        <v>343</v>
      </c>
      <c r="D539" s="6" t="s">
        <v>40</v>
      </c>
      <c r="E539" s="6" t="s">
        <v>44</v>
      </c>
      <c r="F539" s="6" t="s">
        <v>24</v>
      </c>
      <c r="G539" s="6" t="s">
        <v>61</v>
      </c>
      <c r="H539" s="6" t="s">
        <v>26</v>
      </c>
      <c r="I539" s="6" t="s">
        <v>52</v>
      </c>
      <c r="J539" s="6" t="s">
        <v>40</v>
      </c>
      <c r="K539" s="6" t="s">
        <v>48</v>
      </c>
      <c r="L539" s="6" t="s">
        <v>54</v>
      </c>
      <c r="M539" s="6" t="s">
        <v>48</v>
      </c>
      <c r="N539" s="6" t="s">
        <v>159</v>
      </c>
      <c r="O539" s="6" t="s">
        <v>26</v>
      </c>
      <c r="P539" s="6" t="s">
        <v>48</v>
      </c>
      <c r="Q539" s="6" t="s">
        <v>48</v>
      </c>
      <c r="R539" s="6" t="s">
        <v>40</v>
      </c>
      <c r="S539" s="6" t="s">
        <v>54</v>
      </c>
      <c r="T539" s="6" t="s">
        <v>48</v>
      </c>
      <c r="U539" s="6" t="s">
        <v>28</v>
      </c>
      <c r="V539" s="6" t="s">
        <v>146</v>
      </c>
      <c r="W539" t="s">
        <v>787</v>
      </c>
    </row>
    <row r="540" spans="1:23" x14ac:dyDescent="0.3">
      <c r="A540" s="6" t="s">
        <v>568</v>
      </c>
      <c r="B540" s="1">
        <v>45819</v>
      </c>
      <c r="C540" s="6" t="s">
        <v>343</v>
      </c>
      <c r="D540" s="6" t="s">
        <v>40</v>
      </c>
      <c r="E540" s="6" t="s">
        <v>44</v>
      </c>
      <c r="F540" s="6" t="s">
        <v>24</v>
      </c>
      <c r="G540" s="6" t="s">
        <v>61</v>
      </c>
      <c r="H540" s="6" t="s">
        <v>26</v>
      </c>
      <c r="I540" s="6" t="s">
        <v>37</v>
      </c>
      <c r="J540" s="6" t="s">
        <v>40</v>
      </c>
      <c r="K540" s="6" t="s">
        <v>48</v>
      </c>
      <c r="L540" s="6" t="s">
        <v>54</v>
      </c>
      <c r="M540" s="6" t="s">
        <v>48</v>
      </c>
      <c r="N540" s="6" t="s">
        <v>159</v>
      </c>
      <c r="O540" s="6" t="s">
        <v>48</v>
      </c>
      <c r="P540" s="6" t="s">
        <v>48</v>
      </c>
      <c r="Q540" s="6" t="s">
        <v>48</v>
      </c>
      <c r="R540" s="6" t="s">
        <v>40</v>
      </c>
      <c r="S540" s="6" t="s">
        <v>54</v>
      </c>
      <c r="T540" s="6" t="s">
        <v>48</v>
      </c>
      <c r="U540" s="6" t="s">
        <v>28</v>
      </c>
      <c r="V540" s="6" t="s">
        <v>82</v>
      </c>
      <c r="W540" t="s">
        <v>787</v>
      </c>
    </row>
    <row r="541" spans="1:23" x14ac:dyDescent="0.3">
      <c r="A541" s="6" t="s">
        <v>569</v>
      </c>
      <c r="B541" s="1">
        <v>45819</v>
      </c>
      <c r="C541" s="6" t="s">
        <v>343</v>
      </c>
      <c r="D541" s="6" t="s">
        <v>40</v>
      </c>
      <c r="E541" s="6" t="s">
        <v>44</v>
      </c>
      <c r="F541" s="6" t="s">
        <v>24</v>
      </c>
      <c r="G541" s="6" t="s">
        <v>61</v>
      </c>
      <c r="H541" s="6" t="s">
        <v>26</v>
      </c>
      <c r="I541" s="6" t="s">
        <v>52</v>
      </c>
      <c r="J541" s="6" t="s">
        <v>40</v>
      </c>
      <c r="K541" s="6" t="s">
        <v>48</v>
      </c>
      <c r="L541" s="6" t="s">
        <v>54</v>
      </c>
      <c r="M541" s="6" t="s">
        <v>48</v>
      </c>
      <c r="N541" s="6" t="s">
        <v>159</v>
      </c>
      <c r="O541" s="6" t="s">
        <v>26</v>
      </c>
      <c r="P541" s="6" t="s">
        <v>48</v>
      </c>
      <c r="Q541" s="6" t="s">
        <v>48</v>
      </c>
      <c r="R541" s="6" t="s">
        <v>40</v>
      </c>
      <c r="S541" s="6" t="s">
        <v>54</v>
      </c>
      <c r="T541" s="6" t="s">
        <v>48</v>
      </c>
      <c r="U541" s="6" t="s">
        <v>28</v>
      </c>
      <c r="V541" s="6" t="s">
        <v>137</v>
      </c>
      <c r="W541" t="s">
        <v>787</v>
      </c>
    </row>
    <row r="542" spans="1:23" x14ac:dyDescent="0.3">
      <c r="A542" s="6" t="s">
        <v>571</v>
      </c>
      <c r="B542" s="1">
        <v>45819</v>
      </c>
      <c r="C542" s="6" t="s">
        <v>343</v>
      </c>
      <c r="D542" s="6" t="s">
        <v>40</v>
      </c>
      <c r="E542" s="6" t="s">
        <v>44</v>
      </c>
      <c r="F542" s="6" t="s">
        <v>24</v>
      </c>
      <c r="G542" s="6" t="s">
        <v>61</v>
      </c>
      <c r="H542" s="6" t="s">
        <v>26</v>
      </c>
      <c r="I542" s="6" t="s">
        <v>52</v>
      </c>
      <c r="J542" s="6" t="s">
        <v>40</v>
      </c>
      <c r="K542" s="6" t="s">
        <v>48</v>
      </c>
      <c r="L542" s="6" t="s">
        <v>54</v>
      </c>
      <c r="M542" s="6" t="s">
        <v>48</v>
      </c>
      <c r="N542" s="6" t="s">
        <v>159</v>
      </c>
      <c r="O542" s="6" t="s">
        <v>48</v>
      </c>
      <c r="P542" s="6" t="s">
        <v>48</v>
      </c>
      <c r="Q542" s="6" t="s">
        <v>48</v>
      </c>
      <c r="R542" s="6" t="s">
        <v>40</v>
      </c>
      <c r="S542" s="6" t="s">
        <v>54</v>
      </c>
      <c r="T542" s="6" t="s">
        <v>48</v>
      </c>
      <c r="U542" s="6" t="s">
        <v>121</v>
      </c>
      <c r="V542" s="6" t="s">
        <v>146</v>
      </c>
      <c r="W542" t="s">
        <v>787</v>
      </c>
    </row>
    <row r="543" spans="1:23" x14ac:dyDescent="0.3">
      <c r="A543" s="6" t="s">
        <v>570</v>
      </c>
      <c r="B543" s="1">
        <v>45819</v>
      </c>
      <c r="C543" s="6" t="s">
        <v>343</v>
      </c>
      <c r="D543" s="6" t="s">
        <v>40</v>
      </c>
      <c r="E543" s="6" t="s">
        <v>44</v>
      </c>
      <c r="F543" s="6" t="s">
        <v>24</v>
      </c>
      <c r="G543" s="6" t="s">
        <v>61</v>
      </c>
      <c r="H543" s="6" t="s">
        <v>26</v>
      </c>
      <c r="I543" s="6" t="s">
        <v>37</v>
      </c>
      <c r="J543" s="6" t="s">
        <v>40</v>
      </c>
      <c r="K543" s="6" t="s">
        <v>48</v>
      </c>
      <c r="L543" s="6" t="s">
        <v>54</v>
      </c>
      <c r="M543" s="6" t="s">
        <v>48</v>
      </c>
      <c r="N543" s="6" t="s">
        <v>159</v>
      </c>
      <c r="O543" s="6" t="s">
        <v>26</v>
      </c>
      <c r="P543" s="6" t="s">
        <v>48</v>
      </c>
      <c r="Q543" s="6" t="s">
        <v>48</v>
      </c>
      <c r="R543" s="6" t="s">
        <v>40</v>
      </c>
      <c r="S543" s="6" t="s">
        <v>54</v>
      </c>
      <c r="T543" s="6" t="s">
        <v>48</v>
      </c>
      <c r="U543" s="6" t="s">
        <v>28</v>
      </c>
      <c r="V543" s="6" t="s">
        <v>146</v>
      </c>
      <c r="W543" t="s">
        <v>787</v>
      </c>
    </row>
    <row r="544" spans="1:23" x14ac:dyDescent="0.3">
      <c r="A544" s="6" t="s">
        <v>570</v>
      </c>
      <c r="B544" s="1">
        <v>45819</v>
      </c>
      <c r="C544" s="6" t="s">
        <v>343</v>
      </c>
      <c r="D544" s="6" t="s">
        <v>40</v>
      </c>
      <c r="E544" s="6" t="s">
        <v>44</v>
      </c>
      <c r="F544" s="6" t="s">
        <v>24</v>
      </c>
      <c r="G544" s="6" t="s">
        <v>61</v>
      </c>
      <c r="H544" s="6" t="s">
        <v>26</v>
      </c>
      <c r="I544" s="6" t="s">
        <v>37</v>
      </c>
      <c r="J544" s="6" t="s">
        <v>40</v>
      </c>
      <c r="K544" s="6" t="s">
        <v>48</v>
      </c>
      <c r="L544" s="6" t="s">
        <v>54</v>
      </c>
      <c r="M544" s="6" t="s">
        <v>48</v>
      </c>
      <c r="N544" s="6" t="s">
        <v>159</v>
      </c>
      <c r="O544" s="6" t="s">
        <v>26</v>
      </c>
      <c r="P544" s="6" t="s">
        <v>48</v>
      </c>
      <c r="Q544" s="6" t="s">
        <v>48</v>
      </c>
      <c r="R544" s="6" t="s">
        <v>40</v>
      </c>
      <c r="S544" s="6" t="s">
        <v>54</v>
      </c>
      <c r="T544" s="6" t="s">
        <v>48</v>
      </c>
      <c r="U544" s="6" t="s">
        <v>28</v>
      </c>
      <c r="V544" s="6" t="s">
        <v>82</v>
      </c>
      <c r="W544" t="s">
        <v>787</v>
      </c>
    </row>
    <row r="545" spans="1:23" x14ac:dyDescent="0.3">
      <c r="A545" s="6" t="s">
        <v>573</v>
      </c>
      <c r="B545" s="1">
        <v>45819</v>
      </c>
      <c r="C545" s="6" t="s">
        <v>343</v>
      </c>
      <c r="D545" s="6" t="s">
        <v>40</v>
      </c>
      <c r="E545" s="6" t="s">
        <v>44</v>
      </c>
      <c r="F545" s="6" t="s">
        <v>24</v>
      </c>
      <c r="G545" s="6" t="s">
        <v>61</v>
      </c>
      <c r="H545" s="6" t="s">
        <v>26</v>
      </c>
      <c r="I545" s="6" t="s">
        <v>37</v>
      </c>
      <c r="J545" s="6" t="s">
        <v>40</v>
      </c>
      <c r="K545" s="6" t="s">
        <v>48</v>
      </c>
      <c r="L545" s="6" t="s">
        <v>54</v>
      </c>
      <c r="M545" s="6" t="s">
        <v>48</v>
      </c>
      <c r="N545" s="6" t="s">
        <v>159</v>
      </c>
      <c r="O545" s="6" t="s">
        <v>48</v>
      </c>
      <c r="P545" s="6" t="s">
        <v>48</v>
      </c>
      <c r="Q545" s="6" t="s">
        <v>48</v>
      </c>
      <c r="R545" s="6" t="s">
        <v>40</v>
      </c>
      <c r="S545" s="6" t="s">
        <v>54</v>
      </c>
      <c r="T545" s="6" t="s">
        <v>48</v>
      </c>
      <c r="U545" s="6" t="s">
        <v>121</v>
      </c>
      <c r="V545" s="6" t="s">
        <v>146</v>
      </c>
      <c r="W545" t="s">
        <v>787</v>
      </c>
    </row>
    <row r="546" spans="1:23" x14ac:dyDescent="0.3">
      <c r="A546" s="6" t="s">
        <v>574</v>
      </c>
      <c r="B546" s="1">
        <v>45819</v>
      </c>
      <c r="C546" s="6" t="s">
        <v>343</v>
      </c>
      <c r="D546" s="6" t="s">
        <v>40</v>
      </c>
      <c r="E546" s="6" t="s">
        <v>44</v>
      </c>
      <c r="F546" s="6" t="s">
        <v>24</v>
      </c>
      <c r="G546" s="6" t="s">
        <v>61</v>
      </c>
      <c r="H546" s="6" t="s">
        <v>26</v>
      </c>
      <c r="I546" s="6" t="s">
        <v>52</v>
      </c>
      <c r="J546" s="6" t="s">
        <v>40</v>
      </c>
      <c r="K546" s="6" t="s">
        <v>48</v>
      </c>
      <c r="L546" s="6" t="s">
        <v>54</v>
      </c>
      <c r="M546" s="6" t="s">
        <v>48</v>
      </c>
      <c r="N546" s="6" t="s">
        <v>159</v>
      </c>
      <c r="O546" s="6" t="s">
        <v>26</v>
      </c>
      <c r="P546" s="6" t="s">
        <v>48</v>
      </c>
      <c r="Q546" s="6" t="s">
        <v>48</v>
      </c>
      <c r="R546" s="6" t="s">
        <v>40</v>
      </c>
      <c r="S546" s="6" t="s">
        <v>54</v>
      </c>
      <c r="T546" s="6" t="s">
        <v>48</v>
      </c>
      <c r="U546" s="6" t="s">
        <v>28</v>
      </c>
      <c r="V546" s="6" t="s">
        <v>146</v>
      </c>
      <c r="W546" t="s">
        <v>787</v>
      </c>
    </row>
    <row r="547" spans="1:23" x14ac:dyDescent="0.3">
      <c r="A547" s="6" t="s">
        <v>575</v>
      </c>
      <c r="B547" s="1">
        <v>45819</v>
      </c>
      <c r="C547" s="6" t="s">
        <v>343</v>
      </c>
      <c r="D547" s="6" t="s">
        <v>40</v>
      </c>
      <c r="E547" s="6" t="s">
        <v>44</v>
      </c>
      <c r="F547" s="6" t="s">
        <v>24</v>
      </c>
      <c r="G547" s="6" t="s">
        <v>61</v>
      </c>
      <c r="H547" s="6" t="s">
        <v>26</v>
      </c>
      <c r="I547" s="6" t="s">
        <v>37</v>
      </c>
      <c r="J547" s="6" t="s">
        <v>40</v>
      </c>
      <c r="K547" s="6" t="s">
        <v>48</v>
      </c>
      <c r="L547" s="6" t="s">
        <v>54</v>
      </c>
      <c r="M547" s="6" t="s">
        <v>48</v>
      </c>
      <c r="N547" s="6" t="s">
        <v>159</v>
      </c>
      <c r="O547" s="6" t="s">
        <v>26</v>
      </c>
      <c r="P547" s="6" t="s">
        <v>48</v>
      </c>
      <c r="Q547" s="6" t="s">
        <v>48</v>
      </c>
      <c r="R547" s="6" t="s">
        <v>40</v>
      </c>
      <c r="S547" s="6" t="s">
        <v>54</v>
      </c>
      <c r="T547" s="6" t="s">
        <v>48</v>
      </c>
      <c r="U547" s="6" t="s">
        <v>28</v>
      </c>
      <c r="V547" s="6" t="s">
        <v>82</v>
      </c>
      <c r="W547" t="s">
        <v>787</v>
      </c>
    </row>
    <row r="548" spans="1:23" x14ac:dyDescent="0.3">
      <c r="A548" s="6" t="s">
        <v>572</v>
      </c>
      <c r="B548" s="1">
        <v>45819</v>
      </c>
      <c r="C548" s="6" t="s">
        <v>343</v>
      </c>
      <c r="D548" s="6" t="s">
        <v>40</v>
      </c>
      <c r="E548" s="6" t="s">
        <v>44</v>
      </c>
      <c r="F548" s="6" t="s">
        <v>24</v>
      </c>
      <c r="G548" s="6" t="s">
        <v>61</v>
      </c>
      <c r="H548" s="6" t="s">
        <v>26</v>
      </c>
      <c r="I548" s="6" t="s">
        <v>52</v>
      </c>
      <c r="J548" s="6" t="s">
        <v>40</v>
      </c>
      <c r="K548" s="6" t="s">
        <v>48</v>
      </c>
      <c r="L548" s="6" t="s">
        <v>54</v>
      </c>
      <c r="M548" s="6" t="s">
        <v>48</v>
      </c>
      <c r="N548" s="6" t="s">
        <v>159</v>
      </c>
      <c r="O548" s="6" t="s">
        <v>48</v>
      </c>
      <c r="P548" s="6" t="s">
        <v>48</v>
      </c>
      <c r="Q548" s="6" t="s">
        <v>48</v>
      </c>
      <c r="R548" s="6" t="s">
        <v>40</v>
      </c>
      <c r="S548" s="6" t="s">
        <v>54</v>
      </c>
      <c r="T548" s="6" t="s">
        <v>48</v>
      </c>
      <c r="U548" s="6" t="s">
        <v>28</v>
      </c>
      <c r="V548" s="6" t="s">
        <v>146</v>
      </c>
      <c r="W548" t="s">
        <v>787</v>
      </c>
    </row>
    <row r="549" spans="1:23" x14ac:dyDescent="0.3">
      <c r="A549" s="6" t="s">
        <v>576</v>
      </c>
      <c r="B549" s="1">
        <v>45819</v>
      </c>
      <c r="C549" s="6" t="s">
        <v>343</v>
      </c>
      <c r="D549" s="6" t="s">
        <v>40</v>
      </c>
      <c r="E549" s="6" t="s">
        <v>44</v>
      </c>
      <c r="F549" s="6" t="s">
        <v>24</v>
      </c>
      <c r="G549" s="6" t="s">
        <v>61</v>
      </c>
      <c r="H549" s="6" t="s">
        <v>26</v>
      </c>
      <c r="I549" s="6" t="s">
        <v>52</v>
      </c>
      <c r="J549" s="6" t="s">
        <v>40</v>
      </c>
      <c r="K549" s="6" t="s">
        <v>48</v>
      </c>
      <c r="L549" s="6" t="s">
        <v>54</v>
      </c>
      <c r="M549" s="6" t="s">
        <v>48</v>
      </c>
      <c r="N549" s="6" t="s">
        <v>159</v>
      </c>
      <c r="O549" s="6" t="s">
        <v>26</v>
      </c>
      <c r="P549" s="6" t="s">
        <v>48</v>
      </c>
      <c r="Q549" s="6" t="s">
        <v>48</v>
      </c>
      <c r="R549" s="6" t="s">
        <v>40</v>
      </c>
      <c r="S549" s="6" t="s">
        <v>54</v>
      </c>
      <c r="T549" s="6" t="s">
        <v>48</v>
      </c>
      <c r="U549" s="6" t="s">
        <v>28</v>
      </c>
      <c r="V549" s="6" t="s">
        <v>137</v>
      </c>
      <c r="W549" t="s">
        <v>787</v>
      </c>
    </row>
    <row r="550" spans="1:23" x14ac:dyDescent="0.3">
      <c r="A550" s="6" t="s">
        <v>574</v>
      </c>
      <c r="B550" s="1">
        <v>45819</v>
      </c>
      <c r="C550" s="6" t="s">
        <v>343</v>
      </c>
      <c r="D550" s="6" t="s">
        <v>40</v>
      </c>
      <c r="E550" s="6" t="s">
        <v>44</v>
      </c>
      <c r="F550" s="6" t="s">
        <v>24</v>
      </c>
      <c r="G550" s="6" t="s">
        <v>61</v>
      </c>
      <c r="H550" s="6" t="s">
        <v>26</v>
      </c>
      <c r="I550" s="6" t="s">
        <v>52</v>
      </c>
      <c r="J550" s="6" t="s">
        <v>40</v>
      </c>
      <c r="K550" s="6" t="s">
        <v>48</v>
      </c>
      <c r="L550" s="6" t="s">
        <v>54</v>
      </c>
      <c r="M550" s="6" t="s">
        <v>48</v>
      </c>
      <c r="N550" s="6" t="s">
        <v>159</v>
      </c>
      <c r="O550" s="6" t="s">
        <v>26</v>
      </c>
      <c r="P550" s="6" t="s">
        <v>48</v>
      </c>
      <c r="Q550" s="6" t="s">
        <v>48</v>
      </c>
      <c r="R550" s="6" t="s">
        <v>40</v>
      </c>
      <c r="S550" s="6" t="s">
        <v>54</v>
      </c>
      <c r="T550" s="6" t="s">
        <v>48</v>
      </c>
      <c r="U550" s="6" t="s">
        <v>28</v>
      </c>
      <c r="V550" s="6" t="s">
        <v>137</v>
      </c>
      <c r="W550" t="s">
        <v>787</v>
      </c>
    </row>
    <row r="551" spans="1:23" x14ac:dyDescent="0.3">
      <c r="A551" s="6" t="s">
        <v>575</v>
      </c>
      <c r="B551" s="1">
        <v>45819</v>
      </c>
      <c r="C551" s="6" t="s">
        <v>343</v>
      </c>
      <c r="D551" s="6" t="s">
        <v>40</v>
      </c>
      <c r="E551" s="6" t="s">
        <v>44</v>
      </c>
      <c r="F551" s="6" t="s">
        <v>24</v>
      </c>
      <c r="G551" s="6" t="s">
        <v>61</v>
      </c>
      <c r="H551" s="6" t="s">
        <v>26</v>
      </c>
      <c r="I551" s="6" t="s">
        <v>37</v>
      </c>
      <c r="J551" s="6" t="s">
        <v>40</v>
      </c>
      <c r="K551" s="6" t="s">
        <v>48</v>
      </c>
      <c r="L551" s="6" t="s">
        <v>54</v>
      </c>
      <c r="M551" s="6" t="s">
        <v>48</v>
      </c>
      <c r="N551" s="6" t="s">
        <v>159</v>
      </c>
      <c r="O551" s="6" t="s">
        <v>26</v>
      </c>
      <c r="P551" s="6" t="s">
        <v>48</v>
      </c>
      <c r="Q551" s="6" t="s">
        <v>48</v>
      </c>
      <c r="R551" s="6" t="s">
        <v>40</v>
      </c>
      <c r="S551" s="6" t="s">
        <v>54</v>
      </c>
      <c r="T551" s="6" t="s">
        <v>48</v>
      </c>
      <c r="U551" s="6" t="s">
        <v>28</v>
      </c>
      <c r="V551" s="6" t="s">
        <v>146</v>
      </c>
      <c r="W551" t="s">
        <v>787</v>
      </c>
    </row>
    <row r="552" spans="1:23" x14ac:dyDescent="0.3">
      <c r="A552" s="6" t="s">
        <v>577</v>
      </c>
      <c r="B552" s="1">
        <v>45819</v>
      </c>
      <c r="C552" s="6" t="s">
        <v>343</v>
      </c>
      <c r="D552" s="6" t="s">
        <v>40</v>
      </c>
      <c r="E552" s="6" t="s">
        <v>44</v>
      </c>
      <c r="F552" s="6" t="s">
        <v>24</v>
      </c>
      <c r="G552" s="6" t="s">
        <v>61</v>
      </c>
      <c r="H552" s="6" t="s">
        <v>26</v>
      </c>
      <c r="I552" s="6" t="s">
        <v>37</v>
      </c>
      <c r="J552" s="6" t="s">
        <v>40</v>
      </c>
      <c r="K552" s="6" t="s">
        <v>48</v>
      </c>
      <c r="L552" s="6" t="s">
        <v>54</v>
      </c>
      <c r="M552" s="6" t="s">
        <v>48</v>
      </c>
      <c r="N552" s="6" t="s">
        <v>159</v>
      </c>
      <c r="O552" s="6" t="s">
        <v>30</v>
      </c>
      <c r="P552" s="6" t="s">
        <v>48</v>
      </c>
      <c r="Q552" s="6" t="s">
        <v>48</v>
      </c>
      <c r="R552" s="6" t="s">
        <v>40</v>
      </c>
      <c r="S552" s="6" t="s">
        <v>54</v>
      </c>
      <c r="T552" s="6" t="s">
        <v>48</v>
      </c>
      <c r="U552" s="6" t="s">
        <v>28</v>
      </c>
      <c r="V552" s="6" t="s">
        <v>82</v>
      </c>
      <c r="W552" t="s">
        <v>787</v>
      </c>
    </row>
    <row r="553" spans="1:23" x14ac:dyDescent="0.3">
      <c r="A553" s="6" t="s">
        <v>571</v>
      </c>
      <c r="B553" s="1">
        <v>45819</v>
      </c>
      <c r="C553" s="6" t="s">
        <v>343</v>
      </c>
      <c r="D553" s="6" t="s">
        <v>40</v>
      </c>
      <c r="E553" s="6" t="s">
        <v>44</v>
      </c>
      <c r="F553" s="6" t="s">
        <v>24</v>
      </c>
      <c r="G553" s="6" t="s">
        <v>61</v>
      </c>
      <c r="H553" s="6" t="s">
        <v>26</v>
      </c>
      <c r="I553" s="6" t="s">
        <v>52</v>
      </c>
      <c r="J553" s="6" t="s">
        <v>40</v>
      </c>
      <c r="K553" s="6" t="s">
        <v>48</v>
      </c>
      <c r="L553" s="6" t="s">
        <v>54</v>
      </c>
      <c r="M553" s="6" t="s">
        <v>48</v>
      </c>
      <c r="N553" s="6" t="s">
        <v>159</v>
      </c>
      <c r="O553" s="6" t="s">
        <v>48</v>
      </c>
      <c r="P553" s="6" t="s">
        <v>48</v>
      </c>
      <c r="Q553" s="6" t="s">
        <v>48</v>
      </c>
      <c r="R553" s="6" t="s">
        <v>40</v>
      </c>
      <c r="S553" s="6" t="s">
        <v>54</v>
      </c>
      <c r="T553" s="6" t="s">
        <v>48</v>
      </c>
      <c r="U553" s="6" t="s">
        <v>121</v>
      </c>
      <c r="V553" s="6" t="s">
        <v>137</v>
      </c>
      <c r="W553" t="s">
        <v>787</v>
      </c>
    </row>
    <row r="554" spans="1:23" x14ac:dyDescent="0.3">
      <c r="A554" s="6" t="s">
        <v>572</v>
      </c>
      <c r="B554" s="1">
        <v>45819</v>
      </c>
      <c r="C554" s="6" t="s">
        <v>343</v>
      </c>
      <c r="D554" s="6" t="s">
        <v>40</v>
      </c>
      <c r="E554" s="6" t="s">
        <v>44</v>
      </c>
      <c r="F554" s="6" t="s">
        <v>24</v>
      </c>
      <c r="G554" s="6" t="s">
        <v>61</v>
      </c>
      <c r="H554" s="6" t="s">
        <v>26</v>
      </c>
      <c r="I554" s="6" t="s">
        <v>52</v>
      </c>
      <c r="J554" s="6" t="s">
        <v>40</v>
      </c>
      <c r="K554" s="6" t="s">
        <v>48</v>
      </c>
      <c r="L554" s="6" t="s">
        <v>54</v>
      </c>
      <c r="M554" s="6" t="s">
        <v>48</v>
      </c>
      <c r="N554" s="6" t="s">
        <v>159</v>
      </c>
      <c r="O554" s="6" t="s">
        <v>48</v>
      </c>
      <c r="P554" s="6" t="s">
        <v>48</v>
      </c>
      <c r="Q554" s="6" t="s">
        <v>48</v>
      </c>
      <c r="R554" s="6" t="s">
        <v>40</v>
      </c>
      <c r="S554" s="6" t="s">
        <v>54</v>
      </c>
      <c r="T554" s="6" t="s">
        <v>48</v>
      </c>
      <c r="U554" s="6" t="s">
        <v>28</v>
      </c>
      <c r="V554" s="6" t="s">
        <v>137</v>
      </c>
      <c r="W554" t="s">
        <v>787</v>
      </c>
    </row>
    <row r="555" spans="1:23" x14ac:dyDescent="0.3">
      <c r="A555" s="6" t="s">
        <v>573</v>
      </c>
      <c r="B555" s="1">
        <v>45819</v>
      </c>
      <c r="C555" s="6" t="s">
        <v>343</v>
      </c>
      <c r="D555" s="6" t="s">
        <v>40</v>
      </c>
      <c r="E555" s="6" t="s">
        <v>44</v>
      </c>
      <c r="F555" s="6" t="s">
        <v>24</v>
      </c>
      <c r="G555" s="6" t="s">
        <v>61</v>
      </c>
      <c r="H555" s="6" t="s">
        <v>26</v>
      </c>
      <c r="I555" s="6" t="s">
        <v>37</v>
      </c>
      <c r="J555" s="6" t="s">
        <v>40</v>
      </c>
      <c r="K555" s="6" t="s">
        <v>48</v>
      </c>
      <c r="L555" s="6" t="s">
        <v>54</v>
      </c>
      <c r="M555" s="6" t="s">
        <v>48</v>
      </c>
      <c r="N555" s="6" t="s">
        <v>159</v>
      </c>
      <c r="O555" s="6" t="s">
        <v>48</v>
      </c>
      <c r="P555" s="6" t="s">
        <v>48</v>
      </c>
      <c r="Q555" s="6" t="s">
        <v>48</v>
      </c>
      <c r="R555" s="6" t="s">
        <v>40</v>
      </c>
      <c r="S555" s="6" t="s">
        <v>54</v>
      </c>
      <c r="T555" s="6" t="s">
        <v>48</v>
      </c>
      <c r="U555" s="6" t="s">
        <v>121</v>
      </c>
      <c r="V555" s="6" t="s">
        <v>82</v>
      </c>
      <c r="W555" t="s">
        <v>787</v>
      </c>
    </row>
    <row r="556" spans="1:23" x14ac:dyDescent="0.3">
      <c r="A556" s="6" t="s">
        <v>578</v>
      </c>
      <c r="B556" s="1">
        <v>45819</v>
      </c>
      <c r="C556" s="6" t="s">
        <v>343</v>
      </c>
      <c r="D556" s="6" t="s">
        <v>40</v>
      </c>
      <c r="E556" s="6" t="s">
        <v>44</v>
      </c>
      <c r="F556" s="6" t="s">
        <v>24</v>
      </c>
      <c r="G556" s="6" t="s">
        <v>61</v>
      </c>
      <c r="H556" s="6" t="s">
        <v>26</v>
      </c>
      <c r="I556" s="6" t="s">
        <v>52</v>
      </c>
      <c r="J556" s="6" t="s">
        <v>40</v>
      </c>
      <c r="K556" s="6" t="s">
        <v>48</v>
      </c>
      <c r="L556" s="6" t="s">
        <v>54</v>
      </c>
      <c r="M556" s="6" t="s">
        <v>48</v>
      </c>
      <c r="N556" s="6" t="s">
        <v>159</v>
      </c>
      <c r="O556" s="6" t="s">
        <v>30</v>
      </c>
      <c r="P556" s="6" t="s">
        <v>48</v>
      </c>
      <c r="Q556" s="6" t="s">
        <v>48</v>
      </c>
      <c r="R556" s="6" t="s">
        <v>40</v>
      </c>
      <c r="S556" s="6" t="s">
        <v>54</v>
      </c>
      <c r="T556" s="6" t="s">
        <v>48</v>
      </c>
      <c r="U556" s="6" t="s">
        <v>28</v>
      </c>
      <c r="V556" s="6" t="s">
        <v>137</v>
      </c>
      <c r="W556" t="s">
        <v>787</v>
      </c>
    </row>
    <row r="557" spans="1:23" x14ac:dyDescent="0.3">
      <c r="A557" s="6" t="s">
        <v>579</v>
      </c>
      <c r="B557" s="1">
        <v>45819</v>
      </c>
      <c r="C557" s="6" t="s">
        <v>343</v>
      </c>
      <c r="D557" s="6" t="s">
        <v>40</v>
      </c>
      <c r="E557" s="6" t="s">
        <v>44</v>
      </c>
      <c r="F557" s="6" t="s">
        <v>24</v>
      </c>
      <c r="G557" s="6" t="s">
        <v>61</v>
      </c>
      <c r="H557" s="6" t="s">
        <v>26</v>
      </c>
      <c r="I557" s="6" t="s">
        <v>37</v>
      </c>
      <c r="J557" s="6" t="s">
        <v>40</v>
      </c>
      <c r="K557" s="6" t="s">
        <v>48</v>
      </c>
      <c r="L557" s="6" t="s">
        <v>54</v>
      </c>
      <c r="M557" s="6" t="s">
        <v>48</v>
      </c>
      <c r="N557" s="6" t="s">
        <v>159</v>
      </c>
      <c r="O557" s="6" t="s">
        <v>26</v>
      </c>
      <c r="P557" s="6" t="s">
        <v>48</v>
      </c>
      <c r="Q557" s="6" t="s">
        <v>48</v>
      </c>
      <c r="R557" s="6" t="s">
        <v>40</v>
      </c>
      <c r="S557" s="6" t="s">
        <v>54</v>
      </c>
      <c r="T557" s="6" t="s">
        <v>48</v>
      </c>
      <c r="U557" s="6" t="s">
        <v>28</v>
      </c>
      <c r="V557" s="6" t="s">
        <v>82</v>
      </c>
      <c r="W557" t="s">
        <v>787</v>
      </c>
    </row>
    <row r="558" spans="1:23" x14ac:dyDescent="0.3">
      <c r="A558" s="6" t="s">
        <v>578</v>
      </c>
      <c r="B558" s="1">
        <v>45819</v>
      </c>
      <c r="C558" s="6" t="s">
        <v>343</v>
      </c>
      <c r="D558" s="6" t="s">
        <v>40</v>
      </c>
      <c r="E558" s="6" t="s">
        <v>44</v>
      </c>
      <c r="F558" s="6" t="s">
        <v>24</v>
      </c>
      <c r="G558" s="6" t="s">
        <v>61</v>
      </c>
      <c r="H558" s="6" t="s">
        <v>26</v>
      </c>
      <c r="I558" s="6" t="s">
        <v>52</v>
      </c>
      <c r="J558" s="6" t="s">
        <v>40</v>
      </c>
      <c r="K558" s="6" t="s">
        <v>48</v>
      </c>
      <c r="L558" s="6" t="s">
        <v>54</v>
      </c>
      <c r="M558" s="6" t="s">
        <v>48</v>
      </c>
      <c r="N558" s="6" t="s">
        <v>159</v>
      </c>
      <c r="O558" s="6" t="s">
        <v>30</v>
      </c>
      <c r="P558" s="6" t="s">
        <v>48</v>
      </c>
      <c r="Q558" s="6" t="s">
        <v>48</v>
      </c>
      <c r="R558" s="6" t="s">
        <v>40</v>
      </c>
      <c r="S558" s="6" t="s">
        <v>54</v>
      </c>
      <c r="T558" s="6" t="s">
        <v>48</v>
      </c>
      <c r="U558" s="6" t="s">
        <v>28</v>
      </c>
      <c r="V558" s="6" t="s">
        <v>146</v>
      </c>
      <c r="W558" t="s">
        <v>787</v>
      </c>
    </row>
    <row r="559" spans="1:23" x14ac:dyDescent="0.3">
      <c r="A559" s="6" t="s">
        <v>577</v>
      </c>
      <c r="B559" s="1">
        <v>45819</v>
      </c>
      <c r="C559" s="6" t="s">
        <v>343</v>
      </c>
      <c r="D559" s="6" t="s">
        <v>40</v>
      </c>
      <c r="E559" s="6" t="s">
        <v>44</v>
      </c>
      <c r="F559" s="6" t="s">
        <v>24</v>
      </c>
      <c r="G559" s="6" t="s">
        <v>61</v>
      </c>
      <c r="H559" s="6" t="s">
        <v>26</v>
      </c>
      <c r="I559" s="6" t="s">
        <v>37</v>
      </c>
      <c r="J559" s="6" t="s">
        <v>40</v>
      </c>
      <c r="K559" s="6" t="s">
        <v>48</v>
      </c>
      <c r="L559" s="6" t="s">
        <v>54</v>
      </c>
      <c r="M559" s="6" t="s">
        <v>48</v>
      </c>
      <c r="N559" s="6" t="s">
        <v>159</v>
      </c>
      <c r="O559" s="6" t="s">
        <v>30</v>
      </c>
      <c r="P559" s="6" t="s">
        <v>48</v>
      </c>
      <c r="Q559" s="6" t="s">
        <v>48</v>
      </c>
      <c r="R559" s="6" t="s">
        <v>40</v>
      </c>
      <c r="S559" s="6" t="s">
        <v>54</v>
      </c>
      <c r="T559" s="6" t="s">
        <v>48</v>
      </c>
      <c r="U559" s="6" t="s">
        <v>28</v>
      </c>
      <c r="V559" s="6" t="s">
        <v>146</v>
      </c>
      <c r="W559" t="s">
        <v>787</v>
      </c>
    </row>
    <row r="560" spans="1:23" x14ac:dyDescent="0.3">
      <c r="A560" s="6" t="s">
        <v>576</v>
      </c>
      <c r="B560" s="1">
        <v>45819</v>
      </c>
      <c r="C560" s="6" t="s">
        <v>343</v>
      </c>
      <c r="D560" s="6" t="s">
        <v>40</v>
      </c>
      <c r="E560" s="6" t="s">
        <v>44</v>
      </c>
      <c r="F560" s="6" t="s">
        <v>24</v>
      </c>
      <c r="G560" s="6" t="s">
        <v>61</v>
      </c>
      <c r="H560" s="6" t="s">
        <v>26</v>
      </c>
      <c r="I560" s="6" t="s">
        <v>52</v>
      </c>
      <c r="J560" s="6" t="s">
        <v>40</v>
      </c>
      <c r="K560" s="6" t="s">
        <v>48</v>
      </c>
      <c r="L560" s="6" t="s">
        <v>54</v>
      </c>
      <c r="M560" s="6" t="s">
        <v>48</v>
      </c>
      <c r="N560" s="6" t="s">
        <v>159</v>
      </c>
      <c r="O560" s="6" t="s">
        <v>26</v>
      </c>
      <c r="P560" s="6" t="s">
        <v>48</v>
      </c>
      <c r="Q560" s="6" t="s">
        <v>48</v>
      </c>
      <c r="R560" s="6" t="s">
        <v>40</v>
      </c>
      <c r="S560" s="6" t="s">
        <v>54</v>
      </c>
      <c r="T560" s="6" t="s">
        <v>48</v>
      </c>
      <c r="U560" s="6" t="s">
        <v>28</v>
      </c>
      <c r="V560" s="6" t="s">
        <v>146</v>
      </c>
      <c r="W560" t="s">
        <v>787</v>
      </c>
    </row>
    <row r="561" spans="1:23" x14ac:dyDescent="0.3">
      <c r="A561" s="6" t="s">
        <v>579</v>
      </c>
      <c r="B561" s="1">
        <v>45819</v>
      </c>
      <c r="C561" s="6" t="s">
        <v>343</v>
      </c>
      <c r="D561" s="6" t="s">
        <v>40</v>
      </c>
      <c r="E561" s="6" t="s">
        <v>44</v>
      </c>
      <c r="F561" s="6" t="s">
        <v>24</v>
      </c>
      <c r="G561" s="6" t="s">
        <v>61</v>
      </c>
      <c r="H561" s="6" t="s">
        <v>26</v>
      </c>
      <c r="I561" s="6" t="s">
        <v>37</v>
      </c>
      <c r="J561" s="6" t="s">
        <v>40</v>
      </c>
      <c r="K561" s="6" t="s">
        <v>48</v>
      </c>
      <c r="L561" s="6" t="s">
        <v>54</v>
      </c>
      <c r="M561" s="6" t="s">
        <v>48</v>
      </c>
      <c r="N561" s="6" t="s">
        <v>159</v>
      </c>
      <c r="O561" s="6" t="s">
        <v>26</v>
      </c>
      <c r="P561" s="6" t="s">
        <v>48</v>
      </c>
      <c r="Q561" s="6" t="s">
        <v>48</v>
      </c>
      <c r="R561" s="6" t="s">
        <v>40</v>
      </c>
      <c r="S561" s="6" t="s">
        <v>54</v>
      </c>
      <c r="T561" s="6" t="s">
        <v>48</v>
      </c>
      <c r="U561" s="6" t="s">
        <v>28</v>
      </c>
      <c r="V561" s="6" t="s">
        <v>146</v>
      </c>
      <c r="W561" t="s">
        <v>787</v>
      </c>
    </row>
    <row r="562" spans="1:23" x14ac:dyDescent="0.3">
      <c r="A562" s="6" t="s">
        <v>580</v>
      </c>
      <c r="B562" s="1">
        <v>45819</v>
      </c>
      <c r="C562" s="6" t="s">
        <v>343</v>
      </c>
      <c r="D562" s="6" t="s">
        <v>22</v>
      </c>
      <c r="E562" s="6" t="s">
        <v>68</v>
      </c>
      <c r="F562" s="6" t="s">
        <v>24</v>
      </c>
      <c r="G562" s="6" t="s">
        <v>61</v>
      </c>
      <c r="H562" s="6" t="s">
        <v>26</v>
      </c>
      <c r="I562" s="6" t="s">
        <v>52</v>
      </c>
      <c r="J562" s="6" t="s">
        <v>22</v>
      </c>
      <c r="K562" s="6" t="s">
        <v>48</v>
      </c>
      <c r="L562" s="6" t="s">
        <v>54</v>
      </c>
      <c r="M562" s="6" t="s">
        <v>29</v>
      </c>
      <c r="N562" s="6" t="s">
        <v>28</v>
      </c>
      <c r="O562" s="6" t="s">
        <v>48</v>
      </c>
      <c r="P562" s="6" t="s">
        <v>48</v>
      </c>
      <c r="Q562" s="6" t="s">
        <v>48</v>
      </c>
      <c r="R562" s="6" t="s">
        <v>22</v>
      </c>
      <c r="S562" s="6" t="s">
        <v>54</v>
      </c>
      <c r="T562" s="6" t="s">
        <v>48</v>
      </c>
      <c r="U562" s="6" t="s">
        <v>94</v>
      </c>
      <c r="V562" s="6" t="s">
        <v>82</v>
      </c>
      <c r="W562" t="s">
        <v>787</v>
      </c>
    </row>
    <row r="563" spans="1:23" x14ac:dyDescent="0.3">
      <c r="A563" s="6" t="s">
        <v>580</v>
      </c>
      <c r="B563" s="1">
        <v>45819</v>
      </c>
      <c r="C563" s="6" t="s">
        <v>343</v>
      </c>
      <c r="D563" s="6" t="s">
        <v>22</v>
      </c>
      <c r="E563" s="6" t="s">
        <v>68</v>
      </c>
      <c r="F563" s="6" t="s">
        <v>24</v>
      </c>
      <c r="G563" s="6" t="s">
        <v>61</v>
      </c>
      <c r="H563" s="6" t="s">
        <v>26</v>
      </c>
      <c r="I563" s="6" t="s">
        <v>52</v>
      </c>
      <c r="J563" s="6" t="s">
        <v>22</v>
      </c>
      <c r="K563" s="6" t="s">
        <v>48</v>
      </c>
      <c r="L563" s="6" t="s">
        <v>54</v>
      </c>
      <c r="M563" s="6" t="s">
        <v>29</v>
      </c>
      <c r="N563" s="6" t="s">
        <v>28</v>
      </c>
      <c r="O563" s="6" t="s">
        <v>48</v>
      </c>
      <c r="P563" s="6" t="s">
        <v>48</v>
      </c>
      <c r="Q563" s="6" t="s">
        <v>48</v>
      </c>
      <c r="R563" s="6" t="s">
        <v>22</v>
      </c>
      <c r="S563" s="6" t="s">
        <v>54</v>
      </c>
      <c r="T563" s="6" t="s">
        <v>48</v>
      </c>
      <c r="U563" s="6" t="s">
        <v>94</v>
      </c>
      <c r="V563" s="6" t="s">
        <v>146</v>
      </c>
      <c r="W563" t="s">
        <v>787</v>
      </c>
    </row>
    <row r="564" spans="1:23" x14ac:dyDescent="0.3">
      <c r="A564" s="6" t="s">
        <v>581</v>
      </c>
      <c r="B564" s="1">
        <v>45819</v>
      </c>
      <c r="C564" s="6" t="s">
        <v>342</v>
      </c>
      <c r="D564" s="6" t="s">
        <v>48</v>
      </c>
      <c r="E564" s="6" t="s">
        <v>73</v>
      </c>
      <c r="F564" s="6" t="s">
        <v>24</v>
      </c>
      <c r="G564" s="6" t="s">
        <v>98</v>
      </c>
      <c r="H564" s="6" t="s">
        <v>26</v>
      </c>
      <c r="I564" s="6" t="s">
        <v>38</v>
      </c>
      <c r="J564" s="6" t="s">
        <v>40</v>
      </c>
      <c r="K564" s="6" t="s">
        <v>48</v>
      </c>
      <c r="L564" s="6" t="s">
        <v>54</v>
      </c>
      <c r="M564" s="6" t="s">
        <v>29</v>
      </c>
      <c r="N564" s="6" t="s">
        <v>28</v>
      </c>
      <c r="O564" s="6" t="s">
        <v>26</v>
      </c>
      <c r="P564" s="6" t="s">
        <v>48</v>
      </c>
      <c r="Q564" s="6" t="s">
        <v>48</v>
      </c>
      <c r="R564" s="6" t="s">
        <v>49</v>
      </c>
      <c r="S564" s="6" t="s">
        <v>54</v>
      </c>
      <c r="T564" s="6" t="s">
        <v>48</v>
      </c>
      <c r="U564" s="6" t="s">
        <v>28</v>
      </c>
      <c r="V564" s="6" t="s">
        <v>82</v>
      </c>
      <c r="W564" t="s">
        <v>787</v>
      </c>
    </row>
    <row r="565" spans="1:23" x14ac:dyDescent="0.3">
      <c r="A565" s="6" t="s">
        <v>582</v>
      </c>
      <c r="B565" s="1">
        <v>45820</v>
      </c>
      <c r="C565" s="6" t="s">
        <v>343</v>
      </c>
      <c r="D565" s="6" t="s">
        <v>75</v>
      </c>
      <c r="E565" s="6" t="s">
        <v>68</v>
      </c>
      <c r="F565" s="6" t="s">
        <v>24</v>
      </c>
      <c r="G565" s="6" t="s">
        <v>61</v>
      </c>
      <c r="H565" s="6" t="s">
        <v>26</v>
      </c>
      <c r="I565" s="6" t="s">
        <v>66</v>
      </c>
      <c r="J565" s="6" t="s">
        <v>75</v>
      </c>
      <c r="K565" s="6" t="s">
        <v>133</v>
      </c>
      <c r="L565" s="6" t="s">
        <v>704</v>
      </c>
      <c r="M565" s="6" t="s">
        <v>32</v>
      </c>
      <c r="N565" s="6" t="s">
        <v>28</v>
      </c>
      <c r="O565" s="6" t="s">
        <v>26</v>
      </c>
      <c r="P565" s="6" t="s">
        <v>788</v>
      </c>
      <c r="Q565" s="6" t="s">
        <v>31</v>
      </c>
      <c r="R565" s="6" t="s">
        <v>75</v>
      </c>
      <c r="S565" s="6" t="s">
        <v>704</v>
      </c>
      <c r="T565" s="6" t="s">
        <v>32</v>
      </c>
      <c r="U565" s="6" t="s">
        <v>28</v>
      </c>
      <c r="V565" s="6" t="s">
        <v>82</v>
      </c>
      <c r="W565" t="s">
        <v>787</v>
      </c>
    </row>
    <row r="566" spans="1:23" x14ac:dyDescent="0.3">
      <c r="A566" s="6" t="s">
        <v>583</v>
      </c>
      <c r="B566" s="1">
        <v>45821</v>
      </c>
      <c r="C566" s="6" t="s">
        <v>33</v>
      </c>
      <c r="D566" s="6" t="s">
        <v>43</v>
      </c>
      <c r="E566" s="6" t="s">
        <v>35</v>
      </c>
      <c r="F566" s="6" t="s">
        <v>24</v>
      </c>
      <c r="G566" s="6" t="s">
        <v>72</v>
      </c>
      <c r="H566" s="6" t="s">
        <v>26</v>
      </c>
      <c r="I566" s="6" t="s">
        <v>66</v>
      </c>
      <c r="J566" s="6" t="s">
        <v>43</v>
      </c>
      <c r="K566" s="6" t="s">
        <v>48</v>
      </c>
      <c r="L566" s="6" t="s">
        <v>54</v>
      </c>
      <c r="M566" s="6" t="s">
        <v>29</v>
      </c>
      <c r="N566" s="6" t="s">
        <v>28</v>
      </c>
      <c r="O566" s="6" t="s">
        <v>30</v>
      </c>
      <c r="P566" s="6" t="s">
        <v>788</v>
      </c>
      <c r="Q566" s="6" t="s">
        <v>31</v>
      </c>
      <c r="R566" s="6" t="s">
        <v>43</v>
      </c>
      <c r="S566" s="6" t="s">
        <v>54</v>
      </c>
      <c r="T566" s="6" t="s">
        <v>55</v>
      </c>
      <c r="U566" s="6" t="s">
        <v>28</v>
      </c>
      <c r="V566" s="6" t="s">
        <v>82</v>
      </c>
      <c r="W566" t="s">
        <v>787</v>
      </c>
    </row>
    <row r="567" spans="1:23" x14ac:dyDescent="0.3">
      <c r="A567" s="6" t="s">
        <v>584</v>
      </c>
      <c r="B567" s="1">
        <v>45821</v>
      </c>
      <c r="C567" s="6" t="s">
        <v>84</v>
      </c>
      <c r="D567" s="6" t="s">
        <v>83</v>
      </c>
      <c r="E567" s="6" t="s">
        <v>41</v>
      </c>
      <c r="F567" s="6" t="s">
        <v>24</v>
      </c>
      <c r="G567" s="6" t="s">
        <v>85</v>
      </c>
      <c r="H567" s="6" t="s">
        <v>26</v>
      </c>
      <c r="I567" s="6" t="s">
        <v>42</v>
      </c>
      <c r="J567" s="6" t="s">
        <v>83</v>
      </c>
      <c r="K567" s="6" t="s">
        <v>48</v>
      </c>
      <c r="L567" s="6" t="s">
        <v>152</v>
      </c>
      <c r="M567" s="6" t="s">
        <v>32</v>
      </c>
      <c r="N567" s="6" t="s">
        <v>28</v>
      </c>
      <c r="O567" s="6" t="s">
        <v>30</v>
      </c>
      <c r="P567" s="6" t="s">
        <v>27</v>
      </c>
      <c r="Q567" s="6" t="s">
        <v>48</v>
      </c>
      <c r="R567" s="6" t="s">
        <v>83</v>
      </c>
      <c r="S567" s="6" t="s">
        <v>128</v>
      </c>
      <c r="T567" s="6" t="s">
        <v>55</v>
      </c>
      <c r="U567" s="6" t="s">
        <v>28</v>
      </c>
      <c r="V567" s="6" t="s">
        <v>82</v>
      </c>
      <c r="W567" t="s">
        <v>787</v>
      </c>
    </row>
    <row r="568" spans="1:23" x14ac:dyDescent="0.3">
      <c r="A568" s="6" t="s">
        <v>585</v>
      </c>
      <c r="B568" s="1">
        <v>45822</v>
      </c>
      <c r="C568" s="6" t="s">
        <v>84</v>
      </c>
      <c r="D568" s="6" t="s">
        <v>22</v>
      </c>
      <c r="E568" s="6" t="s">
        <v>68</v>
      </c>
      <c r="F568" s="6" t="s">
        <v>24</v>
      </c>
      <c r="G568" s="6" t="s">
        <v>61</v>
      </c>
      <c r="H568" s="6" t="s">
        <v>26</v>
      </c>
      <c r="I568" s="6" t="s">
        <v>100</v>
      </c>
      <c r="J568" s="6" t="s">
        <v>22</v>
      </c>
      <c r="K568" s="6" t="s">
        <v>102</v>
      </c>
      <c r="L568" s="6" t="s">
        <v>54</v>
      </c>
      <c r="M568" s="6" t="s">
        <v>55</v>
      </c>
      <c r="N568" s="6" t="s">
        <v>28</v>
      </c>
      <c r="O568" s="6" t="s">
        <v>26</v>
      </c>
      <c r="P568" s="6" t="s">
        <v>58</v>
      </c>
      <c r="Q568" s="6" t="s">
        <v>48</v>
      </c>
      <c r="R568" s="6" t="s">
        <v>49</v>
      </c>
      <c r="S568" s="6" t="s">
        <v>54</v>
      </c>
      <c r="T568" s="6" t="s">
        <v>55</v>
      </c>
      <c r="U568" s="6" t="s">
        <v>28</v>
      </c>
      <c r="V568" s="6" t="s">
        <v>82</v>
      </c>
      <c r="W568" t="s">
        <v>787</v>
      </c>
    </row>
    <row r="569" spans="1:23" x14ac:dyDescent="0.3">
      <c r="A569" s="6" t="s">
        <v>586</v>
      </c>
      <c r="B569" s="1">
        <v>45822</v>
      </c>
      <c r="C569" s="6" t="s">
        <v>33</v>
      </c>
      <c r="D569" s="6" t="s">
        <v>43</v>
      </c>
      <c r="E569" s="6" t="s">
        <v>41</v>
      </c>
      <c r="F569" s="6" t="s">
        <v>24</v>
      </c>
      <c r="G569" s="6" t="s">
        <v>97</v>
      </c>
      <c r="H569" s="6" t="s">
        <v>26</v>
      </c>
      <c r="I569" s="6" t="s">
        <v>42</v>
      </c>
      <c r="J569" s="6" t="s">
        <v>43</v>
      </c>
      <c r="K569" s="6" t="s">
        <v>48</v>
      </c>
      <c r="L569" s="6" t="s">
        <v>54</v>
      </c>
      <c r="M569" s="6" t="s">
        <v>55</v>
      </c>
      <c r="N569" s="6" t="s">
        <v>28</v>
      </c>
      <c r="O569" s="6" t="s">
        <v>30</v>
      </c>
      <c r="P569" s="6" t="s">
        <v>48</v>
      </c>
      <c r="Q569" s="6" t="s">
        <v>48</v>
      </c>
      <c r="R569" s="6" t="s">
        <v>43</v>
      </c>
      <c r="S569" s="6" t="s">
        <v>54</v>
      </c>
      <c r="T569" s="6" t="s">
        <v>48</v>
      </c>
      <c r="U569" s="6" t="s">
        <v>28</v>
      </c>
      <c r="V569" s="6" t="s">
        <v>82</v>
      </c>
      <c r="W569" t="s">
        <v>787</v>
      </c>
    </row>
    <row r="570" spans="1:23" x14ac:dyDescent="0.3">
      <c r="A570" s="6" t="s">
        <v>587</v>
      </c>
      <c r="B570" s="1">
        <v>45823</v>
      </c>
      <c r="C570" s="6" t="s">
        <v>84</v>
      </c>
      <c r="D570" s="6" t="s">
        <v>22</v>
      </c>
      <c r="E570" s="6" t="s">
        <v>68</v>
      </c>
      <c r="F570" s="6" t="s">
        <v>24</v>
      </c>
      <c r="G570" s="6" t="s">
        <v>61</v>
      </c>
      <c r="H570" s="6" t="s">
        <v>48</v>
      </c>
      <c r="I570" s="6" t="s">
        <v>27</v>
      </c>
      <c r="J570" s="6" t="s">
        <v>49</v>
      </c>
      <c r="K570" s="6" t="s">
        <v>48</v>
      </c>
      <c r="L570" s="6" t="s">
        <v>153</v>
      </c>
      <c r="M570" s="6" t="s">
        <v>48</v>
      </c>
      <c r="N570" s="6" t="s">
        <v>28</v>
      </c>
      <c r="O570" s="6" t="s">
        <v>30</v>
      </c>
      <c r="P570" s="6" t="s">
        <v>37</v>
      </c>
      <c r="Q570" s="6" t="s">
        <v>31</v>
      </c>
      <c r="R570" s="6" t="s">
        <v>22</v>
      </c>
      <c r="S570" s="6" t="s">
        <v>54</v>
      </c>
      <c r="T570" s="6" t="s">
        <v>32</v>
      </c>
      <c r="U570" s="6" t="s">
        <v>28</v>
      </c>
      <c r="V570" s="6" t="s">
        <v>82</v>
      </c>
      <c r="W570" t="s">
        <v>787</v>
      </c>
    </row>
    <row r="571" spans="1:23" x14ac:dyDescent="0.3">
      <c r="A571" s="6" t="s">
        <v>588</v>
      </c>
      <c r="B571" s="1">
        <v>45824</v>
      </c>
      <c r="C571" s="6" t="s">
        <v>39</v>
      </c>
      <c r="D571" s="6" t="s">
        <v>40</v>
      </c>
      <c r="E571" s="6" t="s">
        <v>23</v>
      </c>
      <c r="F571" s="6" t="s">
        <v>24</v>
      </c>
      <c r="G571" s="6" t="s">
        <v>61</v>
      </c>
      <c r="H571" s="6" t="s">
        <v>26</v>
      </c>
      <c r="I571" s="6" t="s">
        <v>38</v>
      </c>
      <c r="J571" s="6" t="s">
        <v>40</v>
      </c>
      <c r="K571" s="6" t="s">
        <v>48</v>
      </c>
      <c r="L571" s="6" t="s">
        <v>54</v>
      </c>
      <c r="M571" s="6" t="s">
        <v>48</v>
      </c>
      <c r="N571" s="6" t="s">
        <v>28</v>
      </c>
      <c r="O571" s="6" t="s">
        <v>48</v>
      </c>
      <c r="P571" s="6" t="s">
        <v>48</v>
      </c>
      <c r="Q571" s="6" t="s">
        <v>48</v>
      </c>
      <c r="R571" s="6" t="s">
        <v>40</v>
      </c>
      <c r="S571" s="6" t="s">
        <v>54</v>
      </c>
      <c r="T571" s="6" t="s">
        <v>48</v>
      </c>
      <c r="U571" s="6" t="s">
        <v>94</v>
      </c>
      <c r="V571" s="6" t="s">
        <v>146</v>
      </c>
      <c r="W571" t="s">
        <v>787</v>
      </c>
    </row>
    <row r="572" spans="1:23" x14ac:dyDescent="0.3">
      <c r="A572" s="6" t="s">
        <v>589</v>
      </c>
      <c r="B572" s="1">
        <v>45824</v>
      </c>
      <c r="C572" s="6" t="s">
        <v>39</v>
      </c>
      <c r="D572" s="6" t="s">
        <v>83</v>
      </c>
      <c r="E572" s="6" t="s">
        <v>35</v>
      </c>
      <c r="F572" s="6" t="s">
        <v>24</v>
      </c>
      <c r="G572" s="6" t="s">
        <v>114</v>
      </c>
      <c r="H572" s="6" t="s">
        <v>26</v>
      </c>
      <c r="I572" s="6" t="s">
        <v>38</v>
      </c>
      <c r="J572" s="6" t="s">
        <v>83</v>
      </c>
      <c r="K572" s="6" t="s">
        <v>48</v>
      </c>
      <c r="L572" s="6" t="s">
        <v>54</v>
      </c>
      <c r="M572" s="6" t="s">
        <v>55</v>
      </c>
      <c r="N572" s="6" t="s">
        <v>28</v>
      </c>
      <c r="O572" s="6" t="s">
        <v>30</v>
      </c>
      <c r="P572" s="6" t="s">
        <v>38</v>
      </c>
      <c r="Q572" s="6" t="s">
        <v>31</v>
      </c>
      <c r="R572" s="6" t="s">
        <v>83</v>
      </c>
      <c r="S572" s="6" t="s">
        <v>54</v>
      </c>
      <c r="T572" s="6" t="s">
        <v>32</v>
      </c>
      <c r="U572" s="6" t="s">
        <v>28</v>
      </c>
      <c r="V572" s="6" t="s">
        <v>82</v>
      </c>
      <c r="W572" t="s">
        <v>787</v>
      </c>
    </row>
    <row r="573" spans="1:23" x14ac:dyDescent="0.3">
      <c r="A573" s="6" t="s">
        <v>591</v>
      </c>
      <c r="B573" s="1">
        <v>45824</v>
      </c>
      <c r="C573" s="6" t="s">
        <v>33</v>
      </c>
      <c r="D573" s="6" t="s">
        <v>83</v>
      </c>
      <c r="E573" s="6" t="s">
        <v>68</v>
      </c>
      <c r="F573" s="6" t="s">
        <v>24</v>
      </c>
      <c r="G573" s="6" t="s">
        <v>61</v>
      </c>
      <c r="H573" s="6" t="s">
        <v>26</v>
      </c>
      <c r="I573" s="6" t="s">
        <v>27</v>
      </c>
      <c r="J573" s="6" t="s">
        <v>83</v>
      </c>
      <c r="K573" s="6" t="s">
        <v>48</v>
      </c>
      <c r="L573" s="6" t="s">
        <v>54</v>
      </c>
      <c r="M573" s="6" t="s">
        <v>29</v>
      </c>
      <c r="N573" s="6" t="s">
        <v>28</v>
      </c>
      <c r="O573" s="6" t="s">
        <v>26</v>
      </c>
      <c r="P573" s="6" t="s">
        <v>48</v>
      </c>
      <c r="Q573" s="6" t="s">
        <v>48</v>
      </c>
      <c r="R573" s="6" t="s">
        <v>49</v>
      </c>
      <c r="S573" s="6" t="s">
        <v>54</v>
      </c>
      <c r="T573" s="6" t="s">
        <v>48</v>
      </c>
      <c r="U573" s="6" t="s">
        <v>28</v>
      </c>
      <c r="V573" s="6" t="s">
        <v>82</v>
      </c>
      <c r="W573" t="s">
        <v>787</v>
      </c>
    </row>
    <row r="574" spans="1:23" x14ac:dyDescent="0.3">
      <c r="A574" s="6" t="s">
        <v>590</v>
      </c>
      <c r="B574" s="1">
        <v>45824</v>
      </c>
      <c r="C574" s="6" t="s">
        <v>33</v>
      </c>
      <c r="D574" s="6" t="s">
        <v>83</v>
      </c>
      <c r="E574" s="6" t="s">
        <v>68</v>
      </c>
      <c r="F574" s="6" t="s">
        <v>24</v>
      </c>
      <c r="G574" s="6" t="s">
        <v>61</v>
      </c>
      <c r="H574" s="6" t="s">
        <v>26</v>
      </c>
      <c r="I574" s="6" t="s">
        <v>27</v>
      </c>
      <c r="J574" s="6" t="s">
        <v>83</v>
      </c>
      <c r="K574" s="6" t="s">
        <v>48</v>
      </c>
      <c r="L574" s="6" t="s">
        <v>54</v>
      </c>
      <c r="M574" s="6" t="s">
        <v>29</v>
      </c>
      <c r="N574" s="6" t="s">
        <v>28</v>
      </c>
      <c r="O574" s="6" t="s">
        <v>26</v>
      </c>
      <c r="P574" s="6" t="s">
        <v>48</v>
      </c>
      <c r="Q574" s="6" t="s">
        <v>48</v>
      </c>
      <c r="R574" s="6" t="s">
        <v>49</v>
      </c>
      <c r="S574" s="6" t="s">
        <v>54</v>
      </c>
      <c r="T574" s="6" t="s">
        <v>48</v>
      </c>
      <c r="U574" s="6" t="s">
        <v>28</v>
      </c>
      <c r="V574" s="6" t="s">
        <v>82</v>
      </c>
      <c r="W574" t="s">
        <v>787</v>
      </c>
    </row>
    <row r="575" spans="1:23" x14ac:dyDescent="0.3">
      <c r="A575" s="6" t="s">
        <v>592</v>
      </c>
      <c r="B575" s="1">
        <v>45825</v>
      </c>
      <c r="C575" s="6" t="s">
        <v>343</v>
      </c>
      <c r="D575" s="6" t="s">
        <v>70</v>
      </c>
      <c r="E575" s="6" t="s">
        <v>23</v>
      </c>
      <c r="F575" s="6" t="s">
        <v>24</v>
      </c>
      <c r="G575" s="6" t="s">
        <v>104</v>
      </c>
      <c r="H575" s="6" t="s">
        <v>26</v>
      </c>
      <c r="I575" s="6" t="s">
        <v>52</v>
      </c>
      <c r="J575" s="6" t="s">
        <v>70</v>
      </c>
      <c r="K575" s="6" t="s">
        <v>48</v>
      </c>
      <c r="L575" s="6" t="s">
        <v>54</v>
      </c>
      <c r="M575" s="6" t="s">
        <v>55</v>
      </c>
      <c r="N575" s="6" t="s">
        <v>28</v>
      </c>
      <c r="O575" s="6" t="s">
        <v>26</v>
      </c>
      <c r="P575" s="6" t="s">
        <v>52</v>
      </c>
      <c r="Q575" s="6" t="s">
        <v>31</v>
      </c>
      <c r="R575" s="6" t="s">
        <v>70</v>
      </c>
      <c r="S575" s="6" t="s">
        <v>54</v>
      </c>
      <c r="T575" s="6" t="s">
        <v>32</v>
      </c>
      <c r="U575" s="6" t="s">
        <v>28</v>
      </c>
      <c r="V575" s="6" t="s">
        <v>146</v>
      </c>
      <c r="W575" t="s">
        <v>787</v>
      </c>
    </row>
    <row r="576" spans="1:23" x14ac:dyDescent="0.3">
      <c r="A576" s="6" t="s">
        <v>593</v>
      </c>
      <c r="B576" s="1">
        <v>45825</v>
      </c>
      <c r="C576" s="6" t="s">
        <v>33</v>
      </c>
      <c r="D576" s="6" t="s">
        <v>48</v>
      </c>
      <c r="E576" s="6" t="s">
        <v>46</v>
      </c>
      <c r="F576" s="6" t="s">
        <v>24</v>
      </c>
      <c r="G576" s="6" t="s">
        <v>61</v>
      </c>
      <c r="H576" s="6" t="s">
        <v>26</v>
      </c>
      <c r="I576" s="6" t="s">
        <v>45</v>
      </c>
      <c r="J576" s="6" t="s">
        <v>49</v>
      </c>
      <c r="K576" s="6" t="s">
        <v>48</v>
      </c>
      <c r="L576" s="6" t="s">
        <v>54</v>
      </c>
      <c r="M576" s="6" t="s">
        <v>48</v>
      </c>
      <c r="N576" s="6" t="s">
        <v>28</v>
      </c>
      <c r="O576" s="6" t="s">
        <v>48</v>
      </c>
      <c r="P576" s="6" t="s">
        <v>48</v>
      </c>
      <c r="Q576" s="6" t="s">
        <v>48</v>
      </c>
      <c r="R576" s="6" t="s">
        <v>49</v>
      </c>
      <c r="S576" s="6" t="s">
        <v>54</v>
      </c>
      <c r="T576" s="6" t="s">
        <v>48</v>
      </c>
      <c r="U576" s="6" t="s">
        <v>28</v>
      </c>
      <c r="V576" s="6" t="s">
        <v>82</v>
      </c>
      <c r="W576" t="s">
        <v>787</v>
      </c>
    </row>
    <row r="577" spans="1:23" x14ac:dyDescent="0.3">
      <c r="A577" s="6" t="s">
        <v>594</v>
      </c>
      <c r="B577" s="1">
        <v>45825</v>
      </c>
      <c r="C577" s="6" t="s">
        <v>21</v>
      </c>
      <c r="D577" s="6" t="s">
        <v>48</v>
      </c>
      <c r="E577" s="6" t="s">
        <v>46</v>
      </c>
      <c r="F577" s="6" t="s">
        <v>24</v>
      </c>
      <c r="G577" s="6" t="s">
        <v>61</v>
      </c>
      <c r="H577" s="6" t="s">
        <v>26</v>
      </c>
      <c r="I577" s="6" t="s">
        <v>42</v>
      </c>
      <c r="J577" s="6" t="s">
        <v>28</v>
      </c>
      <c r="K577" s="6" t="s">
        <v>48</v>
      </c>
      <c r="L577" s="6" t="s">
        <v>54</v>
      </c>
      <c r="M577" s="6" t="s">
        <v>48</v>
      </c>
      <c r="N577" s="6" t="s">
        <v>28</v>
      </c>
      <c r="O577" s="6" t="s">
        <v>48</v>
      </c>
      <c r="P577" s="6" t="s">
        <v>48</v>
      </c>
      <c r="Q577" s="6" t="s">
        <v>48</v>
      </c>
      <c r="R577" s="6" t="s">
        <v>49</v>
      </c>
      <c r="S577" s="6" t="s">
        <v>54</v>
      </c>
      <c r="T577" s="6" t="s">
        <v>48</v>
      </c>
      <c r="U577" s="6" t="s">
        <v>28</v>
      </c>
      <c r="V577" s="6" t="s">
        <v>137</v>
      </c>
      <c r="W577" t="s">
        <v>787</v>
      </c>
    </row>
    <row r="578" spans="1:23" x14ac:dyDescent="0.3">
      <c r="A578" s="6" t="s">
        <v>595</v>
      </c>
      <c r="B578" s="1">
        <v>45825</v>
      </c>
      <c r="C578" s="6" t="s">
        <v>33</v>
      </c>
      <c r="D578" s="6" t="s">
        <v>83</v>
      </c>
      <c r="E578" s="6" t="s">
        <v>35</v>
      </c>
      <c r="F578" s="6" t="s">
        <v>24</v>
      </c>
      <c r="G578" s="6" t="s">
        <v>69</v>
      </c>
      <c r="H578" s="6" t="s">
        <v>48</v>
      </c>
      <c r="I578" s="6" t="s">
        <v>38</v>
      </c>
      <c r="J578" s="6" t="s">
        <v>83</v>
      </c>
      <c r="K578" s="6" t="s">
        <v>48</v>
      </c>
      <c r="L578" s="6" t="s">
        <v>54</v>
      </c>
      <c r="M578" s="6" t="s">
        <v>48</v>
      </c>
      <c r="N578" s="6" t="s">
        <v>28</v>
      </c>
      <c r="O578" s="6" t="s">
        <v>30</v>
      </c>
      <c r="P578" s="6" t="s">
        <v>45</v>
      </c>
      <c r="Q578" s="6" t="s">
        <v>31</v>
      </c>
      <c r="R578" s="6" t="s">
        <v>83</v>
      </c>
      <c r="S578" s="6" t="s">
        <v>54</v>
      </c>
      <c r="T578" s="6" t="s">
        <v>32</v>
      </c>
      <c r="U578" s="6" t="s">
        <v>28</v>
      </c>
      <c r="V578" s="6" t="s">
        <v>82</v>
      </c>
      <c r="W578" t="s">
        <v>787</v>
      </c>
    </row>
    <row r="579" spans="1:23" x14ac:dyDescent="0.3">
      <c r="A579" s="6" t="s">
        <v>596</v>
      </c>
      <c r="B579" s="1">
        <v>45826</v>
      </c>
      <c r="C579" s="6" t="s">
        <v>21</v>
      </c>
      <c r="D579" s="6" t="s">
        <v>95</v>
      </c>
      <c r="E579" s="6" t="s">
        <v>46</v>
      </c>
      <c r="F579" s="6" t="s">
        <v>24</v>
      </c>
      <c r="G579" s="6" t="s">
        <v>107</v>
      </c>
      <c r="H579" s="6" t="s">
        <v>26</v>
      </c>
      <c r="I579" s="6" t="s">
        <v>37</v>
      </c>
      <c r="J579" s="6" t="s">
        <v>95</v>
      </c>
      <c r="K579" s="6" t="s">
        <v>48</v>
      </c>
      <c r="L579" s="6" t="s">
        <v>54</v>
      </c>
      <c r="M579" s="6" t="s">
        <v>48</v>
      </c>
      <c r="N579" s="6" t="s">
        <v>28</v>
      </c>
      <c r="O579" s="6" t="s">
        <v>48</v>
      </c>
      <c r="P579" s="6" t="s">
        <v>48</v>
      </c>
      <c r="Q579" s="6" t="s">
        <v>48</v>
      </c>
      <c r="R579" s="6" t="s">
        <v>95</v>
      </c>
      <c r="S579" s="6" t="s">
        <v>54</v>
      </c>
      <c r="T579" s="6" t="s">
        <v>48</v>
      </c>
      <c r="U579" s="6" t="s">
        <v>118</v>
      </c>
      <c r="V579" s="6" t="s">
        <v>137</v>
      </c>
      <c r="W579" t="s">
        <v>787</v>
      </c>
    </row>
    <row r="580" spans="1:23" x14ac:dyDescent="0.3">
      <c r="A580" s="6" t="s">
        <v>597</v>
      </c>
      <c r="B580" s="1">
        <v>45826</v>
      </c>
      <c r="C580" s="6" t="s">
        <v>90</v>
      </c>
      <c r="D580" s="6" t="s">
        <v>22</v>
      </c>
      <c r="E580" s="6" t="s">
        <v>46</v>
      </c>
      <c r="F580" s="6" t="s">
        <v>24</v>
      </c>
      <c r="G580" s="6" t="s">
        <v>98</v>
      </c>
      <c r="H580" s="6" t="s">
        <v>26</v>
      </c>
      <c r="I580" s="6" t="s">
        <v>27</v>
      </c>
      <c r="J580" s="6" t="s">
        <v>22</v>
      </c>
      <c r="K580" s="6" t="s">
        <v>48</v>
      </c>
      <c r="L580" s="6" t="s">
        <v>54</v>
      </c>
      <c r="M580" s="6" t="s">
        <v>32</v>
      </c>
      <c r="N580" s="6" t="s">
        <v>28</v>
      </c>
      <c r="O580" s="6" t="s">
        <v>48</v>
      </c>
      <c r="P580" s="6" t="s">
        <v>48</v>
      </c>
      <c r="Q580" s="6" t="s">
        <v>48</v>
      </c>
      <c r="R580" s="6" t="s">
        <v>22</v>
      </c>
      <c r="S580" s="6" t="s">
        <v>54</v>
      </c>
      <c r="T580" s="6" t="s">
        <v>48</v>
      </c>
      <c r="U580" s="6" t="s">
        <v>118</v>
      </c>
      <c r="V580" s="6" t="s">
        <v>82</v>
      </c>
      <c r="W580" t="s">
        <v>787</v>
      </c>
    </row>
    <row r="581" spans="1:23" x14ac:dyDescent="0.3">
      <c r="A581" s="6" t="s">
        <v>597</v>
      </c>
      <c r="B581" s="1">
        <v>45826</v>
      </c>
      <c r="C581" s="6" t="s">
        <v>90</v>
      </c>
      <c r="D581" s="6" t="s">
        <v>22</v>
      </c>
      <c r="E581" s="6" t="s">
        <v>46</v>
      </c>
      <c r="F581" s="6" t="s">
        <v>24</v>
      </c>
      <c r="G581" s="6" t="s">
        <v>98</v>
      </c>
      <c r="H581" s="6" t="s">
        <v>26</v>
      </c>
      <c r="I581" s="6" t="s">
        <v>27</v>
      </c>
      <c r="J581" s="6" t="s">
        <v>22</v>
      </c>
      <c r="K581" s="6" t="s">
        <v>48</v>
      </c>
      <c r="L581" s="6" t="s">
        <v>54</v>
      </c>
      <c r="M581" s="6" t="s">
        <v>32</v>
      </c>
      <c r="N581" s="6" t="s">
        <v>28</v>
      </c>
      <c r="O581" s="6" t="s">
        <v>48</v>
      </c>
      <c r="P581" s="6" t="s">
        <v>48</v>
      </c>
      <c r="Q581" s="6" t="s">
        <v>48</v>
      </c>
      <c r="R581" s="6" t="s">
        <v>22</v>
      </c>
      <c r="S581" s="6" t="s">
        <v>54</v>
      </c>
      <c r="T581" s="6" t="s">
        <v>48</v>
      </c>
      <c r="U581" s="6" t="s">
        <v>118</v>
      </c>
      <c r="V581" s="6" t="s">
        <v>146</v>
      </c>
      <c r="W581" t="s">
        <v>787</v>
      </c>
    </row>
    <row r="582" spans="1:23" x14ac:dyDescent="0.3">
      <c r="A582" s="6" t="s">
        <v>598</v>
      </c>
      <c r="B582" s="1">
        <v>45826</v>
      </c>
      <c r="C582" s="6" t="s">
        <v>39</v>
      </c>
      <c r="D582" s="6" t="s">
        <v>70</v>
      </c>
      <c r="E582" s="6" t="s">
        <v>35</v>
      </c>
      <c r="F582" s="6" t="s">
        <v>24</v>
      </c>
      <c r="G582" s="6" t="s">
        <v>69</v>
      </c>
      <c r="H582" s="6" t="s">
        <v>48</v>
      </c>
      <c r="I582" s="6" t="s">
        <v>58</v>
      </c>
      <c r="J582" s="6" t="s">
        <v>70</v>
      </c>
      <c r="K582" s="6" t="s">
        <v>48</v>
      </c>
      <c r="L582" s="6" t="s">
        <v>54</v>
      </c>
      <c r="M582" s="6" t="s">
        <v>48</v>
      </c>
      <c r="N582" s="6" t="s">
        <v>28</v>
      </c>
      <c r="O582" s="6" t="s">
        <v>30</v>
      </c>
      <c r="P582" s="6" t="s">
        <v>52</v>
      </c>
      <c r="Q582" s="6" t="s">
        <v>31</v>
      </c>
      <c r="R582" s="6" t="s">
        <v>70</v>
      </c>
      <c r="S582" s="6" t="s">
        <v>54</v>
      </c>
      <c r="T582" s="6" t="s">
        <v>32</v>
      </c>
      <c r="U582" s="6" t="s">
        <v>28</v>
      </c>
      <c r="V582" s="6" t="s">
        <v>146</v>
      </c>
      <c r="W582" t="s">
        <v>787</v>
      </c>
    </row>
    <row r="583" spans="1:23" x14ac:dyDescent="0.3">
      <c r="A583" s="6" t="s">
        <v>599</v>
      </c>
      <c r="B583" s="1">
        <v>45826</v>
      </c>
      <c r="C583" s="6" t="s">
        <v>343</v>
      </c>
      <c r="D583" s="6" t="s">
        <v>95</v>
      </c>
      <c r="E583" s="6" t="s">
        <v>23</v>
      </c>
      <c r="F583" s="6" t="s">
        <v>24</v>
      </c>
      <c r="G583" s="6" t="s">
        <v>69</v>
      </c>
      <c r="H583" s="6" t="s">
        <v>48</v>
      </c>
      <c r="I583" s="6" t="s">
        <v>27</v>
      </c>
      <c r="J583" s="6" t="s">
        <v>95</v>
      </c>
      <c r="K583" s="6" t="s">
        <v>48</v>
      </c>
      <c r="L583" s="6" t="s">
        <v>152</v>
      </c>
      <c r="M583" s="6" t="s">
        <v>48</v>
      </c>
      <c r="N583" s="6" t="s">
        <v>28</v>
      </c>
      <c r="O583" s="6" t="s">
        <v>26</v>
      </c>
      <c r="P583" s="6" t="s">
        <v>38</v>
      </c>
      <c r="Q583" s="6" t="s">
        <v>31</v>
      </c>
      <c r="R583" s="6" t="s">
        <v>95</v>
      </c>
      <c r="S583" s="6" t="s">
        <v>54</v>
      </c>
      <c r="T583" s="6" t="s">
        <v>29</v>
      </c>
      <c r="U583" s="6" t="s">
        <v>28</v>
      </c>
      <c r="V583" s="6" t="s">
        <v>146</v>
      </c>
      <c r="W583" t="s">
        <v>787</v>
      </c>
    </row>
    <row r="584" spans="1:23" x14ac:dyDescent="0.3">
      <c r="A584" s="6" t="s">
        <v>600</v>
      </c>
      <c r="B584" s="1">
        <v>45826</v>
      </c>
      <c r="C584" s="6" t="s">
        <v>343</v>
      </c>
      <c r="D584" s="6" t="s">
        <v>95</v>
      </c>
      <c r="E584" s="6" t="s">
        <v>23</v>
      </c>
      <c r="F584" s="6" t="s">
        <v>24</v>
      </c>
      <c r="G584" s="6" t="s">
        <v>69</v>
      </c>
      <c r="H584" s="6" t="s">
        <v>48</v>
      </c>
      <c r="I584" s="6" t="s">
        <v>27</v>
      </c>
      <c r="J584" s="6" t="s">
        <v>95</v>
      </c>
      <c r="K584" s="6" t="s">
        <v>48</v>
      </c>
      <c r="L584" s="6" t="s">
        <v>152</v>
      </c>
      <c r="M584" s="6" t="s">
        <v>48</v>
      </c>
      <c r="N584" s="6" t="s">
        <v>28</v>
      </c>
      <c r="O584" s="6" t="s">
        <v>30</v>
      </c>
      <c r="P584" s="6" t="s">
        <v>45</v>
      </c>
      <c r="Q584" s="6" t="s">
        <v>31</v>
      </c>
      <c r="R584" s="6" t="s">
        <v>95</v>
      </c>
      <c r="S584" s="6" t="s">
        <v>54</v>
      </c>
      <c r="T584" s="6" t="s">
        <v>32</v>
      </c>
      <c r="U584" s="6" t="s">
        <v>28</v>
      </c>
      <c r="V584" s="6" t="s">
        <v>146</v>
      </c>
      <c r="W584" t="s">
        <v>787</v>
      </c>
    </row>
    <row r="585" spans="1:23" x14ac:dyDescent="0.3">
      <c r="A585" s="6" t="s">
        <v>601</v>
      </c>
      <c r="B585" s="1">
        <v>45826</v>
      </c>
      <c r="C585" s="6" t="s">
        <v>343</v>
      </c>
      <c r="D585" s="6" t="s">
        <v>95</v>
      </c>
      <c r="E585" s="6" t="s">
        <v>23</v>
      </c>
      <c r="F585" s="6" t="s">
        <v>24</v>
      </c>
      <c r="G585" s="6" t="s">
        <v>69</v>
      </c>
      <c r="H585" s="6" t="s">
        <v>48</v>
      </c>
      <c r="I585" s="6" t="s">
        <v>27</v>
      </c>
      <c r="J585" s="6" t="s">
        <v>95</v>
      </c>
      <c r="K585" s="6" t="s">
        <v>48</v>
      </c>
      <c r="L585" s="6" t="s">
        <v>152</v>
      </c>
      <c r="M585" s="6" t="s">
        <v>48</v>
      </c>
      <c r="N585" s="6" t="s">
        <v>28</v>
      </c>
      <c r="O585" s="6" t="s">
        <v>26</v>
      </c>
      <c r="P585" s="6" t="s">
        <v>48</v>
      </c>
      <c r="Q585" s="6" t="s">
        <v>31</v>
      </c>
      <c r="R585" s="6" t="s">
        <v>95</v>
      </c>
      <c r="S585" s="6" t="s">
        <v>54</v>
      </c>
      <c r="T585" s="6" t="s">
        <v>48</v>
      </c>
      <c r="U585" s="6" t="s">
        <v>28</v>
      </c>
      <c r="V585" s="6" t="s">
        <v>146</v>
      </c>
      <c r="W585" t="s">
        <v>787</v>
      </c>
    </row>
    <row r="586" spans="1:23" x14ac:dyDescent="0.3">
      <c r="A586" s="6" t="s">
        <v>602</v>
      </c>
      <c r="B586" s="1">
        <v>45826</v>
      </c>
      <c r="C586" s="6" t="s">
        <v>343</v>
      </c>
      <c r="D586" s="6" t="s">
        <v>22</v>
      </c>
      <c r="E586" s="6" t="s">
        <v>46</v>
      </c>
      <c r="F586" s="6" t="s">
        <v>24</v>
      </c>
      <c r="G586" s="6" t="s">
        <v>61</v>
      </c>
      <c r="H586" s="6" t="s">
        <v>48</v>
      </c>
      <c r="I586" s="6" t="s">
        <v>27</v>
      </c>
      <c r="J586" s="6" t="s">
        <v>22</v>
      </c>
      <c r="K586" s="6" t="s">
        <v>48</v>
      </c>
      <c r="L586" s="6" t="s">
        <v>54</v>
      </c>
      <c r="M586" s="6" t="s">
        <v>48</v>
      </c>
      <c r="N586" s="6" t="s">
        <v>28</v>
      </c>
      <c r="O586" s="6" t="s">
        <v>48</v>
      </c>
      <c r="P586" s="6" t="s">
        <v>48</v>
      </c>
      <c r="Q586" s="6" t="s">
        <v>48</v>
      </c>
      <c r="R586" s="6" t="s">
        <v>22</v>
      </c>
      <c r="S586" s="6" t="s">
        <v>54</v>
      </c>
      <c r="T586" s="6" t="s">
        <v>48</v>
      </c>
      <c r="U586" s="6" t="s">
        <v>89</v>
      </c>
      <c r="V586" s="6" t="s">
        <v>146</v>
      </c>
      <c r="W586" t="s">
        <v>787</v>
      </c>
    </row>
    <row r="587" spans="1:23" x14ac:dyDescent="0.3">
      <c r="A587" s="6" t="s">
        <v>602</v>
      </c>
      <c r="B587" s="1">
        <v>45826</v>
      </c>
      <c r="C587" s="6" t="s">
        <v>343</v>
      </c>
      <c r="D587" s="6" t="s">
        <v>22</v>
      </c>
      <c r="E587" s="6" t="s">
        <v>46</v>
      </c>
      <c r="F587" s="6" t="s">
        <v>24</v>
      </c>
      <c r="G587" s="6" t="s">
        <v>61</v>
      </c>
      <c r="H587" s="6" t="s">
        <v>48</v>
      </c>
      <c r="I587" s="6" t="s">
        <v>27</v>
      </c>
      <c r="J587" s="6" t="s">
        <v>22</v>
      </c>
      <c r="K587" s="6" t="s">
        <v>48</v>
      </c>
      <c r="L587" s="6" t="s">
        <v>54</v>
      </c>
      <c r="M587" s="6" t="s">
        <v>48</v>
      </c>
      <c r="N587" s="6" t="s">
        <v>28</v>
      </c>
      <c r="O587" s="6" t="s">
        <v>48</v>
      </c>
      <c r="P587" s="6" t="s">
        <v>48</v>
      </c>
      <c r="Q587" s="6" t="s">
        <v>48</v>
      </c>
      <c r="R587" s="6" t="s">
        <v>22</v>
      </c>
      <c r="S587" s="6" t="s">
        <v>54</v>
      </c>
      <c r="T587" s="6" t="s">
        <v>48</v>
      </c>
      <c r="U587" s="6" t="s">
        <v>89</v>
      </c>
      <c r="V587" s="6" t="s">
        <v>82</v>
      </c>
      <c r="W587" t="s">
        <v>787</v>
      </c>
    </row>
    <row r="588" spans="1:23" x14ac:dyDescent="0.3">
      <c r="A588" s="6" t="s">
        <v>602</v>
      </c>
      <c r="B588" s="1">
        <v>45826</v>
      </c>
      <c r="C588" s="6" t="s">
        <v>343</v>
      </c>
      <c r="D588" s="6" t="s">
        <v>22</v>
      </c>
      <c r="E588" s="6" t="s">
        <v>46</v>
      </c>
      <c r="F588" s="6" t="s">
        <v>24</v>
      </c>
      <c r="G588" s="6" t="s">
        <v>61</v>
      </c>
      <c r="H588" s="6" t="s">
        <v>48</v>
      </c>
      <c r="I588" s="6" t="s">
        <v>27</v>
      </c>
      <c r="J588" s="6" t="s">
        <v>22</v>
      </c>
      <c r="K588" s="6" t="s">
        <v>48</v>
      </c>
      <c r="L588" s="6" t="s">
        <v>54</v>
      </c>
      <c r="M588" s="6" t="s">
        <v>48</v>
      </c>
      <c r="N588" s="6" t="s">
        <v>28</v>
      </c>
      <c r="O588" s="6" t="s">
        <v>48</v>
      </c>
      <c r="P588" s="6" t="s">
        <v>48</v>
      </c>
      <c r="Q588" s="6" t="s">
        <v>48</v>
      </c>
      <c r="R588" s="6" t="s">
        <v>22</v>
      </c>
      <c r="S588" s="6" t="s">
        <v>54</v>
      </c>
      <c r="T588" s="6" t="s">
        <v>48</v>
      </c>
      <c r="U588" s="6" t="s">
        <v>89</v>
      </c>
      <c r="V588" s="6" t="s">
        <v>137</v>
      </c>
      <c r="W588" t="s">
        <v>787</v>
      </c>
    </row>
    <row r="589" spans="1:23" x14ac:dyDescent="0.3">
      <c r="A589" s="6" t="s">
        <v>603</v>
      </c>
      <c r="B589" s="1">
        <v>45827</v>
      </c>
      <c r="C589" s="6" t="s">
        <v>33</v>
      </c>
      <c r="D589" s="6" t="s">
        <v>34</v>
      </c>
      <c r="E589" s="6" t="s">
        <v>68</v>
      </c>
      <c r="F589" s="6" t="s">
        <v>24</v>
      </c>
      <c r="G589" s="6" t="s">
        <v>61</v>
      </c>
      <c r="H589" s="6" t="s">
        <v>26</v>
      </c>
      <c r="I589" s="6" t="s">
        <v>42</v>
      </c>
      <c r="J589" s="6" t="s">
        <v>34</v>
      </c>
      <c r="K589" s="6" t="s">
        <v>48</v>
      </c>
      <c r="L589" s="6" t="s">
        <v>54</v>
      </c>
      <c r="M589" s="6" t="s">
        <v>29</v>
      </c>
      <c r="N589" s="6" t="s">
        <v>28</v>
      </c>
      <c r="O589" s="6" t="s">
        <v>30</v>
      </c>
      <c r="P589" s="6" t="s">
        <v>38</v>
      </c>
      <c r="Q589" s="6" t="s">
        <v>31</v>
      </c>
      <c r="R589" s="6" t="s">
        <v>34</v>
      </c>
      <c r="S589" s="6" t="s">
        <v>54</v>
      </c>
      <c r="T589" s="6" t="s">
        <v>29</v>
      </c>
      <c r="U589" s="6" t="s">
        <v>28</v>
      </c>
      <c r="V589" s="6" t="s">
        <v>82</v>
      </c>
      <c r="W589" t="s">
        <v>787</v>
      </c>
    </row>
    <row r="590" spans="1:23" x14ac:dyDescent="0.3">
      <c r="A590" s="6" t="s">
        <v>604</v>
      </c>
      <c r="B590" s="1">
        <v>45827</v>
      </c>
      <c r="C590" s="6" t="s">
        <v>343</v>
      </c>
      <c r="D590" s="6" t="s">
        <v>125</v>
      </c>
      <c r="E590" s="6" t="s">
        <v>68</v>
      </c>
      <c r="F590" s="6" t="s">
        <v>24</v>
      </c>
      <c r="G590" s="6" t="s">
        <v>61</v>
      </c>
      <c r="H590" s="6" t="s">
        <v>48</v>
      </c>
      <c r="I590" s="6" t="s">
        <v>58</v>
      </c>
      <c r="J590" s="6" t="s">
        <v>125</v>
      </c>
      <c r="K590" s="6" t="s">
        <v>48</v>
      </c>
      <c r="L590" s="6" t="s">
        <v>54</v>
      </c>
      <c r="M590" s="6" t="s">
        <v>48</v>
      </c>
      <c r="N590" s="6" t="s">
        <v>28</v>
      </c>
      <c r="O590" s="6" t="s">
        <v>48</v>
      </c>
      <c r="P590" s="6" t="s">
        <v>48</v>
      </c>
      <c r="Q590" s="6" t="s">
        <v>48</v>
      </c>
      <c r="R590" s="6" t="s">
        <v>125</v>
      </c>
      <c r="S590" s="6" t="s">
        <v>54</v>
      </c>
      <c r="T590" s="6" t="s">
        <v>48</v>
      </c>
      <c r="U590" s="6" t="s">
        <v>94</v>
      </c>
      <c r="V590" s="6" t="s">
        <v>82</v>
      </c>
      <c r="W590" t="s">
        <v>787</v>
      </c>
    </row>
    <row r="591" spans="1:23" x14ac:dyDescent="0.3">
      <c r="A591" s="6" t="s">
        <v>605</v>
      </c>
      <c r="B591" s="1">
        <v>45829</v>
      </c>
      <c r="C591" s="6" t="s">
        <v>57</v>
      </c>
      <c r="D591" s="6" t="s">
        <v>40</v>
      </c>
      <c r="E591" s="6" t="s">
        <v>46</v>
      </c>
      <c r="F591" s="6" t="s">
        <v>24</v>
      </c>
      <c r="G591" s="6" t="s">
        <v>47</v>
      </c>
      <c r="H591" s="6" t="s">
        <v>26</v>
      </c>
      <c r="I591" s="6" t="s">
        <v>37</v>
      </c>
      <c r="J591" s="6" t="s">
        <v>40</v>
      </c>
      <c r="K591" s="6" t="s">
        <v>48</v>
      </c>
      <c r="L591" s="6" t="s">
        <v>54</v>
      </c>
      <c r="M591" s="6" t="s">
        <v>29</v>
      </c>
      <c r="N591" s="6" t="s">
        <v>28</v>
      </c>
      <c r="O591" s="6" t="s">
        <v>26</v>
      </c>
      <c r="P591" s="6" t="s">
        <v>48</v>
      </c>
      <c r="Q591" s="6" t="s">
        <v>48</v>
      </c>
      <c r="R591" s="6" t="s">
        <v>40</v>
      </c>
      <c r="S591" s="6" t="s">
        <v>54</v>
      </c>
      <c r="T591" s="6" t="s">
        <v>48</v>
      </c>
      <c r="U591" s="6" t="s">
        <v>28</v>
      </c>
      <c r="V591" s="6" t="s">
        <v>82</v>
      </c>
      <c r="W591" t="s">
        <v>787</v>
      </c>
    </row>
    <row r="592" spans="1:23" x14ac:dyDescent="0.3">
      <c r="A592" s="6" t="s">
        <v>607</v>
      </c>
      <c r="B592" s="1">
        <v>45829</v>
      </c>
      <c r="C592" s="6" t="s">
        <v>57</v>
      </c>
      <c r="D592" s="6" t="s">
        <v>40</v>
      </c>
      <c r="E592" s="6" t="s">
        <v>46</v>
      </c>
      <c r="F592" s="6" t="s">
        <v>24</v>
      </c>
      <c r="G592" s="6" t="s">
        <v>47</v>
      </c>
      <c r="H592" s="6" t="s">
        <v>26</v>
      </c>
      <c r="I592" s="6" t="s">
        <v>37</v>
      </c>
      <c r="J592" s="6" t="s">
        <v>40</v>
      </c>
      <c r="K592" s="6" t="s">
        <v>48</v>
      </c>
      <c r="L592" s="6" t="s">
        <v>54</v>
      </c>
      <c r="M592" s="6" t="s">
        <v>29</v>
      </c>
      <c r="N592" s="6" t="s">
        <v>28</v>
      </c>
      <c r="O592" s="6" t="s">
        <v>26</v>
      </c>
      <c r="P592" s="6" t="s">
        <v>48</v>
      </c>
      <c r="Q592" s="6" t="s">
        <v>48</v>
      </c>
      <c r="R592" s="6" t="s">
        <v>40</v>
      </c>
      <c r="S592" s="6" t="s">
        <v>54</v>
      </c>
      <c r="T592" s="6" t="s">
        <v>48</v>
      </c>
      <c r="U592" s="6" t="s">
        <v>28</v>
      </c>
      <c r="V592" s="6" t="s">
        <v>82</v>
      </c>
      <c r="W592" t="s">
        <v>787</v>
      </c>
    </row>
    <row r="593" spans="1:23" x14ac:dyDescent="0.3">
      <c r="A593" s="6" t="s">
        <v>610</v>
      </c>
      <c r="B593" s="1">
        <v>45829</v>
      </c>
      <c r="C593" s="6" t="s">
        <v>57</v>
      </c>
      <c r="D593" s="6" t="s">
        <v>40</v>
      </c>
      <c r="E593" s="6" t="s">
        <v>46</v>
      </c>
      <c r="F593" s="6" t="s">
        <v>24</v>
      </c>
      <c r="G593" s="6" t="s">
        <v>47</v>
      </c>
      <c r="H593" s="6" t="s">
        <v>26</v>
      </c>
      <c r="I593" s="6" t="s">
        <v>37</v>
      </c>
      <c r="J593" s="6" t="s">
        <v>40</v>
      </c>
      <c r="K593" s="6" t="s">
        <v>48</v>
      </c>
      <c r="L593" s="6" t="s">
        <v>54</v>
      </c>
      <c r="M593" s="6" t="s">
        <v>29</v>
      </c>
      <c r="N593" s="6" t="s">
        <v>28</v>
      </c>
      <c r="O593" s="6" t="s">
        <v>26</v>
      </c>
      <c r="P593" s="6" t="s">
        <v>48</v>
      </c>
      <c r="Q593" s="6" t="s">
        <v>48</v>
      </c>
      <c r="R593" s="6" t="s">
        <v>40</v>
      </c>
      <c r="S593" s="6" t="s">
        <v>54</v>
      </c>
      <c r="T593" s="6" t="s">
        <v>48</v>
      </c>
      <c r="U593" s="6" t="s">
        <v>28</v>
      </c>
      <c r="V593" s="6" t="s">
        <v>82</v>
      </c>
      <c r="W593" t="s">
        <v>787</v>
      </c>
    </row>
    <row r="594" spans="1:23" x14ac:dyDescent="0.3">
      <c r="A594" s="6" t="s">
        <v>609</v>
      </c>
      <c r="B594" s="1">
        <v>45829</v>
      </c>
      <c r="C594" s="6" t="s">
        <v>57</v>
      </c>
      <c r="D594" s="6" t="s">
        <v>40</v>
      </c>
      <c r="E594" s="6" t="s">
        <v>46</v>
      </c>
      <c r="F594" s="6" t="s">
        <v>24</v>
      </c>
      <c r="G594" s="6" t="s">
        <v>47</v>
      </c>
      <c r="H594" s="6" t="s">
        <v>26</v>
      </c>
      <c r="I594" s="6" t="s">
        <v>37</v>
      </c>
      <c r="J594" s="6" t="s">
        <v>40</v>
      </c>
      <c r="K594" s="6" t="s">
        <v>48</v>
      </c>
      <c r="L594" s="6" t="s">
        <v>54</v>
      </c>
      <c r="M594" s="6" t="s">
        <v>29</v>
      </c>
      <c r="N594" s="6" t="s">
        <v>28</v>
      </c>
      <c r="O594" s="6" t="s">
        <v>26</v>
      </c>
      <c r="P594" s="6" t="s">
        <v>48</v>
      </c>
      <c r="Q594" s="6" t="s">
        <v>48</v>
      </c>
      <c r="R594" s="6" t="s">
        <v>40</v>
      </c>
      <c r="S594" s="6" t="s">
        <v>54</v>
      </c>
      <c r="T594" s="6" t="s">
        <v>48</v>
      </c>
      <c r="U594" s="6" t="s">
        <v>28</v>
      </c>
      <c r="V594" s="6" t="s">
        <v>82</v>
      </c>
      <c r="W594" t="s">
        <v>787</v>
      </c>
    </row>
    <row r="595" spans="1:23" x14ac:dyDescent="0.3">
      <c r="A595" s="6" t="s">
        <v>606</v>
      </c>
      <c r="B595" s="1">
        <v>45829</v>
      </c>
      <c r="C595" s="6" t="s">
        <v>57</v>
      </c>
      <c r="D595" s="6" t="s">
        <v>40</v>
      </c>
      <c r="E595" s="6" t="s">
        <v>46</v>
      </c>
      <c r="F595" s="6" t="s">
        <v>24</v>
      </c>
      <c r="G595" s="6" t="s">
        <v>47</v>
      </c>
      <c r="H595" s="6" t="s">
        <v>26</v>
      </c>
      <c r="I595" s="6" t="s">
        <v>37</v>
      </c>
      <c r="J595" s="6" t="s">
        <v>40</v>
      </c>
      <c r="K595" s="6" t="s">
        <v>48</v>
      </c>
      <c r="L595" s="6" t="s">
        <v>54</v>
      </c>
      <c r="M595" s="6" t="s">
        <v>29</v>
      </c>
      <c r="N595" s="6" t="s">
        <v>28</v>
      </c>
      <c r="O595" s="6" t="s">
        <v>26</v>
      </c>
      <c r="P595" s="6" t="s">
        <v>48</v>
      </c>
      <c r="Q595" s="6" t="s">
        <v>48</v>
      </c>
      <c r="R595" s="6" t="s">
        <v>40</v>
      </c>
      <c r="S595" s="6" t="s">
        <v>54</v>
      </c>
      <c r="T595" s="6" t="s">
        <v>48</v>
      </c>
      <c r="U595" s="6" t="s">
        <v>28</v>
      </c>
      <c r="V595" s="6" t="s">
        <v>82</v>
      </c>
      <c r="W595" t="s">
        <v>787</v>
      </c>
    </row>
    <row r="596" spans="1:23" x14ac:dyDescent="0.3">
      <c r="A596" s="6" t="s">
        <v>612</v>
      </c>
      <c r="B596" s="1">
        <v>45829</v>
      </c>
      <c r="C596" s="6" t="s">
        <v>57</v>
      </c>
      <c r="D596" s="6" t="s">
        <v>40</v>
      </c>
      <c r="E596" s="6" t="s">
        <v>46</v>
      </c>
      <c r="F596" s="6" t="s">
        <v>24</v>
      </c>
      <c r="G596" s="6" t="s">
        <v>47</v>
      </c>
      <c r="H596" s="6" t="s">
        <v>26</v>
      </c>
      <c r="I596" s="6" t="s">
        <v>37</v>
      </c>
      <c r="J596" s="6" t="s">
        <v>40</v>
      </c>
      <c r="K596" s="6" t="s">
        <v>48</v>
      </c>
      <c r="L596" s="6" t="s">
        <v>54</v>
      </c>
      <c r="M596" s="6" t="s">
        <v>29</v>
      </c>
      <c r="N596" s="6" t="s">
        <v>28</v>
      </c>
      <c r="O596" s="6" t="s">
        <v>26</v>
      </c>
      <c r="P596" s="6" t="s">
        <v>48</v>
      </c>
      <c r="Q596" s="6" t="s">
        <v>48</v>
      </c>
      <c r="R596" s="6" t="s">
        <v>40</v>
      </c>
      <c r="S596" s="6" t="s">
        <v>54</v>
      </c>
      <c r="T596" s="6" t="s">
        <v>48</v>
      </c>
      <c r="U596" s="6" t="s">
        <v>28</v>
      </c>
      <c r="V596" s="6" t="s">
        <v>82</v>
      </c>
      <c r="W596" t="s">
        <v>787</v>
      </c>
    </row>
    <row r="597" spans="1:23" x14ac:dyDescent="0.3">
      <c r="A597" s="6" t="s">
        <v>608</v>
      </c>
      <c r="B597" s="1">
        <v>45829</v>
      </c>
      <c r="C597" s="6" t="s">
        <v>57</v>
      </c>
      <c r="D597" s="6" t="s">
        <v>40</v>
      </c>
      <c r="E597" s="6" t="s">
        <v>46</v>
      </c>
      <c r="F597" s="6" t="s">
        <v>24</v>
      </c>
      <c r="G597" s="6" t="s">
        <v>47</v>
      </c>
      <c r="H597" s="6" t="s">
        <v>26</v>
      </c>
      <c r="I597" s="6" t="s">
        <v>37</v>
      </c>
      <c r="J597" s="6" t="s">
        <v>40</v>
      </c>
      <c r="K597" s="6" t="s">
        <v>48</v>
      </c>
      <c r="L597" s="6" t="s">
        <v>54</v>
      </c>
      <c r="M597" s="6" t="s">
        <v>29</v>
      </c>
      <c r="N597" s="6" t="s">
        <v>28</v>
      </c>
      <c r="O597" s="6" t="s">
        <v>30</v>
      </c>
      <c r="P597" s="6" t="s">
        <v>48</v>
      </c>
      <c r="Q597" s="6" t="s">
        <v>48</v>
      </c>
      <c r="R597" s="6" t="s">
        <v>40</v>
      </c>
      <c r="S597" s="6" t="s">
        <v>54</v>
      </c>
      <c r="T597" s="6" t="s">
        <v>48</v>
      </c>
      <c r="U597" s="6" t="s">
        <v>28</v>
      </c>
      <c r="V597" s="6" t="s">
        <v>82</v>
      </c>
      <c r="W597" t="s">
        <v>787</v>
      </c>
    </row>
    <row r="598" spans="1:23" x14ac:dyDescent="0.3">
      <c r="A598" s="6" t="s">
        <v>611</v>
      </c>
      <c r="B598" s="1">
        <v>45829</v>
      </c>
      <c r="C598" s="6" t="s">
        <v>57</v>
      </c>
      <c r="D598" s="6" t="s">
        <v>40</v>
      </c>
      <c r="E598" s="6" t="s">
        <v>46</v>
      </c>
      <c r="F598" s="6" t="s">
        <v>24</v>
      </c>
      <c r="G598" s="6" t="s">
        <v>47</v>
      </c>
      <c r="H598" s="6" t="s">
        <v>26</v>
      </c>
      <c r="I598" s="6" t="s">
        <v>37</v>
      </c>
      <c r="J598" s="6" t="s">
        <v>40</v>
      </c>
      <c r="K598" s="6" t="s">
        <v>48</v>
      </c>
      <c r="L598" s="6" t="s">
        <v>54</v>
      </c>
      <c r="M598" s="6" t="s">
        <v>29</v>
      </c>
      <c r="N598" s="6" t="s">
        <v>28</v>
      </c>
      <c r="O598" s="6" t="s">
        <v>26</v>
      </c>
      <c r="P598" s="6" t="s">
        <v>48</v>
      </c>
      <c r="Q598" s="6" t="s">
        <v>48</v>
      </c>
      <c r="R598" s="6" t="s">
        <v>40</v>
      </c>
      <c r="S598" s="6" t="s">
        <v>54</v>
      </c>
      <c r="T598" s="6" t="s">
        <v>48</v>
      </c>
      <c r="U598" s="6" t="s">
        <v>28</v>
      </c>
      <c r="V598" s="6" t="s">
        <v>82</v>
      </c>
      <c r="W598" t="s">
        <v>787</v>
      </c>
    </row>
    <row r="599" spans="1:23" x14ac:dyDescent="0.3">
      <c r="A599" s="6" t="s">
        <v>613</v>
      </c>
      <c r="B599" s="1">
        <v>45829</v>
      </c>
      <c r="C599" s="6" t="s">
        <v>33</v>
      </c>
      <c r="D599" s="6" t="s">
        <v>67</v>
      </c>
      <c r="E599" s="6" t="s">
        <v>46</v>
      </c>
      <c r="F599" s="6" t="s">
        <v>24</v>
      </c>
      <c r="G599" s="6" t="s">
        <v>69</v>
      </c>
      <c r="H599" s="6" t="s">
        <v>26</v>
      </c>
      <c r="I599" s="6" t="s">
        <v>58</v>
      </c>
      <c r="J599" s="6" t="s">
        <v>67</v>
      </c>
      <c r="K599" s="6" t="s">
        <v>48</v>
      </c>
      <c r="L599" s="6" t="s">
        <v>54</v>
      </c>
      <c r="M599" s="6" t="s">
        <v>29</v>
      </c>
      <c r="N599" s="6" t="s">
        <v>28</v>
      </c>
      <c r="O599" s="6" t="s">
        <v>30</v>
      </c>
      <c r="P599" s="6" t="s">
        <v>48</v>
      </c>
      <c r="Q599" s="6" t="s">
        <v>48</v>
      </c>
      <c r="R599" s="6" t="s">
        <v>67</v>
      </c>
      <c r="S599" s="6" t="s">
        <v>54</v>
      </c>
      <c r="T599" s="6" t="s">
        <v>48</v>
      </c>
      <c r="U599" s="6" t="s">
        <v>28</v>
      </c>
      <c r="V599" s="6" t="s">
        <v>137</v>
      </c>
      <c r="W599" t="s">
        <v>787</v>
      </c>
    </row>
    <row r="600" spans="1:23" x14ac:dyDescent="0.3">
      <c r="A600" s="6" t="s">
        <v>614</v>
      </c>
      <c r="B600" s="1">
        <v>45829</v>
      </c>
      <c r="C600" s="6" t="s">
        <v>33</v>
      </c>
      <c r="D600" s="6" t="s">
        <v>67</v>
      </c>
      <c r="E600" s="6" t="s">
        <v>46</v>
      </c>
      <c r="F600" s="6" t="s">
        <v>24</v>
      </c>
      <c r="G600" s="6" t="s">
        <v>69</v>
      </c>
      <c r="H600" s="6" t="s">
        <v>26</v>
      </c>
      <c r="I600" s="6" t="s">
        <v>58</v>
      </c>
      <c r="J600" s="6" t="s">
        <v>67</v>
      </c>
      <c r="K600" s="6" t="s">
        <v>48</v>
      </c>
      <c r="L600" s="6" t="s">
        <v>54</v>
      </c>
      <c r="M600" s="6" t="s">
        <v>29</v>
      </c>
      <c r="N600" s="6" t="s">
        <v>28</v>
      </c>
      <c r="O600" s="6" t="s">
        <v>26</v>
      </c>
      <c r="P600" s="6" t="s">
        <v>48</v>
      </c>
      <c r="Q600" s="6" t="s">
        <v>48</v>
      </c>
      <c r="R600" s="6" t="s">
        <v>67</v>
      </c>
      <c r="S600" s="6" t="s">
        <v>54</v>
      </c>
      <c r="T600" s="6" t="s">
        <v>48</v>
      </c>
      <c r="U600" s="6" t="s">
        <v>28</v>
      </c>
      <c r="V600" s="6" t="s">
        <v>137</v>
      </c>
      <c r="W600" t="s">
        <v>787</v>
      </c>
    </row>
    <row r="601" spans="1:23" x14ac:dyDescent="0.3">
      <c r="A601" s="6" t="s">
        <v>615</v>
      </c>
      <c r="B601" s="1">
        <v>45829</v>
      </c>
      <c r="C601" s="6" t="s">
        <v>33</v>
      </c>
      <c r="D601" s="6" t="s">
        <v>67</v>
      </c>
      <c r="E601" s="6" t="s">
        <v>46</v>
      </c>
      <c r="F601" s="6" t="s">
        <v>24</v>
      </c>
      <c r="G601" s="6" t="s">
        <v>69</v>
      </c>
      <c r="H601" s="6" t="s">
        <v>26</v>
      </c>
      <c r="I601" s="6" t="s">
        <v>58</v>
      </c>
      <c r="J601" s="6" t="s">
        <v>67</v>
      </c>
      <c r="K601" s="6" t="s">
        <v>48</v>
      </c>
      <c r="L601" s="6" t="s">
        <v>54</v>
      </c>
      <c r="M601" s="6" t="s">
        <v>29</v>
      </c>
      <c r="N601" s="6" t="s">
        <v>28</v>
      </c>
      <c r="O601" s="6" t="s">
        <v>26</v>
      </c>
      <c r="P601" s="6" t="s">
        <v>48</v>
      </c>
      <c r="Q601" s="6" t="s">
        <v>48</v>
      </c>
      <c r="R601" s="6" t="s">
        <v>67</v>
      </c>
      <c r="S601" s="6" t="s">
        <v>54</v>
      </c>
      <c r="T601" s="6" t="s">
        <v>48</v>
      </c>
      <c r="U601" s="6" t="s">
        <v>28</v>
      </c>
      <c r="V601" s="6" t="s">
        <v>137</v>
      </c>
      <c r="W601" t="s">
        <v>787</v>
      </c>
    </row>
    <row r="602" spans="1:23" x14ac:dyDescent="0.3">
      <c r="A602" s="6" t="s">
        <v>614</v>
      </c>
      <c r="B602" s="1">
        <v>45829</v>
      </c>
      <c r="C602" s="6" t="s">
        <v>33</v>
      </c>
      <c r="D602" s="6" t="s">
        <v>67</v>
      </c>
      <c r="E602" s="6" t="s">
        <v>46</v>
      </c>
      <c r="F602" s="6" t="s">
        <v>24</v>
      </c>
      <c r="G602" s="6" t="s">
        <v>69</v>
      </c>
      <c r="H602" s="6" t="s">
        <v>26</v>
      </c>
      <c r="I602" s="6" t="s">
        <v>58</v>
      </c>
      <c r="J602" s="6" t="s">
        <v>67</v>
      </c>
      <c r="K602" s="6" t="s">
        <v>48</v>
      </c>
      <c r="L602" s="6" t="s">
        <v>54</v>
      </c>
      <c r="M602" s="6" t="s">
        <v>29</v>
      </c>
      <c r="N602" s="6" t="s">
        <v>28</v>
      </c>
      <c r="O602" s="6" t="s">
        <v>30</v>
      </c>
      <c r="P602" s="6" t="s">
        <v>48</v>
      </c>
      <c r="Q602" s="6" t="s">
        <v>48</v>
      </c>
      <c r="R602" s="6" t="s">
        <v>67</v>
      </c>
      <c r="S602" s="6" t="s">
        <v>54</v>
      </c>
      <c r="T602" s="6" t="s">
        <v>48</v>
      </c>
      <c r="U602" s="6" t="s">
        <v>28</v>
      </c>
      <c r="V602" s="6" t="s">
        <v>137</v>
      </c>
      <c r="W602" t="s">
        <v>787</v>
      </c>
    </row>
    <row r="603" spans="1:23" x14ac:dyDescent="0.3">
      <c r="A603" s="6" t="s">
        <v>616</v>
      </c>
      <c r="B603" s="1">
        <v>45829</v>
      </c>
      <c r="C603" s="6" t="s">
        <v>33</v>
      </c>
      <c r="D603" s="6" t="s">
        <v>67</v>
      </c>
      <c r="E603" s="6" t="s">
        <v>46</v>
      </c>
      <c r="F603" s="6" t="s">
        <v>24</v>
      </c>
      <c r="G603" s="6" t="s">
        <v>69</v>
      </c>
      <c r="H603" s="6" t="s">
        <v>26</v>
      </c>
      <c r="I603" s="6" t="s">
        <v>58</v>
      </c>
      <c r="J603" s="6" t="s">
        <v>67</v>
      </c>
      <c r="K603" s="6" t="s">
        <v>48</v>
      </c>
      <c r="L603" s="6" t="s">
        <v>54</v>
      </c>
      <c r="M603" s="6" t="s">
        <v>29</v>
      </c>
      <c r="N603" s="6" t="s">
        <v>28</v>
      </c>
      <c r="O603" s="6" t="s">
        <v>26</v>
      </c>
      <c r="P603" s="6" t="s">
        <v>48</v>
      </c>
      <c r="Q603" s="6" t="s">
        <v>48</v>
      </c>
      <c r="R603" s="6" t="s">
        <v>67</v>
      </c>
      <c r="S603" s="6" t="s">
        <v>54</v>
      </c>
      <c r="T603" s="6" t="s">
        <v>48</v>
      </c>
      <c r="U603" s="6" t="s">
        <v>28</v>
      </c>
      <c r="V603" s="6" t="s">
        <v>137</v>
      </c>
      <c r="W603" t="s">
        <v>787</v>
      </c>
    </row>
    <row r="604" spans="1:23" x14ac:dyDescent="0.3">
      <c r="A604" s="6" t="s">
        <v>617</v>
      </c>
      <c r="B604" s="1">
        <v>45829</v>
      </c>
      <c r="C604" s="6" t="s">
        <v>33</v>
      </c>
      <c r="D604" s="6" t="s">
        <v>22</v>
      </c>
      <c r="E604" s="6" t="s">
        <v>35</v>
      </c>
      <c r="F604" s="6" t="s">
        <v>24</v>
      </c>
      <c r="G604" s="6" t="s">
        <v>72</v>
      </c>
      <c r="H604" s="6" t="s">
        <v>26</v>
      </c>
      <c r="I604" s="6" t="s">
        <v>27</v>
      </c>
      <c r="J604" s="6" t="s">
        <v>22</v>
      </c>
      <c r="K604" s="6" t="s">
        <v>48</v>
      </c>
      <c r="L604" s="6" t="s">
        <v>54</v>
      </c>
      <c r="M604" s="6" t="s">
        <v>29</v>
      </c>
      <c r="N604" s="6" t="s">
        <v>28</v>
      </c>
      <c r="O604" s="6" t="s">
        <v>30</v>
      </c>
      <c r="P604" s="6" t="s">
        <v>48</v>
      </c>
      <c r="Q604" s="6" t="s">
        <v>31</v>
      </c>
      <c r="R604" s="6" t="s">
        <v>49</v>
      </c>
      <c r="S604" s="6" t="s">
        <v>54</v>
      </c>
      <c r="T604" s="6" t="s">
        <v>48</v>
      </c>
      <c r="U604" s="6" t="s">
        <v>28</v>
      </c>
      <c r="V604" s="6" t="s">
        <v>82</v>
      </c>
      <c r="W604" t="s">
        <v>787</v>
      </c>
    </row>
    <row r="605" spans="1:23" x14ac:dyDescent="0.3">
      <c r="A605" s="6" t="s">
        <v>617</v>
      </c>
      <c r="B605" s="1">
        <v>45829</v>
      </c>
      <c r="C605" s="6" t="s">
        <v>33</v>
      </c>
      <c r="D605" s="6" t="s">
        <v>22</v>
      </c>
      <c r="E605" s="6" t="s">
        <v>35</v>
      </c>
      <c r="F605" s="6" t="s">
        <v>24</v>
      </c>
      <c r="G605" s="6" t="s">
        <v>72</v>
      </c>
      <c r="H605" s="6" t="s">
        <v>26</v>
      </c>
      <c r="I605" s="6" t="s">
        <v>27</v>
      </c>
      <c r="J605" s="6" t="s">
        <v>22</v>
      </c>
      <c r="K605" s="6" t="s">
        <v>48</v>
      </c>
      <c r="L605" s="6" t="s">
        <v>54</v>
      </c>
      <c r="M605" s="6" t="s">
        <v>29</v>
      </c>
      <c r="N605" s="6" t="s">
        <v>28</v>
      </c>
      <c r="O605" s="6" t="s">
        <v>30</v>
      </c>
      <c r="P605" s="6" t="s">
        <v>48</v>
      </c>
      <c r="Q605" s="6" t="s">
        <v>31</v>
      </c>
      <c r="R605" s="6" t="s">
        <v>49</v>
      </c>
      <c r="S605" s="6" t="s">
        <v>54</v>
      </c>
      <c r="T605" s="6" t="s">
        <v>48</v>
      </c>
      <c r="U605" s="6" t="s">
        <v>28</v>
      </c>
      <c r="V605" s="6" t="s">
        <v>146</v>
      </c>
      <c r="W605" t="s">
        <v>787</v>
      </c>
    </row>
    <row r="606" spans="1:23" x14ac:dyDescent="0.3">
      <c r="A606" s="6" t="s">
        <v>618</v>
      </c>
      <c r="B606" s="1">
        <v>45829</v>
      </c>
      <c r="C606" s="6" t="s">
        <v>39</v>
      </c>
      <c r="D606" s="6" t="s">
        <v>125</v>
      </c>
      <c r="E606" s="6" t="s">
        <v>35</v>
      </c>
      <c r="F606" s="6" t="s">
        <v>24</v>
      </c>
      <c r="G606" s="6" t="s">
        <v>69</v>
      </c>
      <c r="H606" s="6" t="s">
        <v>26</v>
      </c>
      <c r="I606" s="6" t="s">
        <v>38</v>
      </c>
      <c r="J606" s="6" t="s">
        <v>125</v>
      </c>
      <c r="K606" s="6" t="s">
        <v>48</v>
      </c>
      <c r="L606" s="6" t="s">
        <v>54</v>
      </c>
      <c r="M606" s="6" t="s">
        <v>48</v>
      </c>
      <c r="N606" s="6" t="s">
        <v>28</v>
      </c>
      <c r="O606" s="6" t="s">
        <v>26</v>
      </c>
      <c r="P606" s="6" t="s">
        <v>45</v>
      </c>
      <c r="Q606" s="6" t="s">
        <v>31</v>
      </c>
      <c r="R606" s="6" t="s">
        <v>125</v>
      </c>
      <c r="S606" s="6" t="s">
        <v>54</v>
      </c>
      <c r="T606" s="6" t="s">
        <v>32</v>
      </c>
      <c r="U606" s="6" t="s">
        <v>28</v>
      </c>
      <c r="V606" s="6" t="s">
        <v>82</v>
      </c>
      <c r="W606" t="s">
        <v>787</v>
      </c>
    </row>
    <row r="607" spans="1:23" x14ac:dyDescent="0.3">
      <c r="A607" s="6" t="s">
        <v>619</v>
      </c>
      <c r="B607" s="1">
        <v>45831</v>
      </c>
      <c r="C607" s="6" t="s">
        <v>33</v>
      </c>
      <c r="D607" s="6" t="s">
        <v>67</v>
      </c>
      <c r="E607" s="6" t="s">
        <v>64</v>
      </c>
      <c r="F607" s="6" t="s">
        <v>24</v>
      </c>
      <c r="G607" s="6" t="s">
        <v>61</v>
      </c>
      <c r="H607" s="6" t="s">
        <v>26</v>
      </c>
      <c r="I607" s="6" t="s">
        <v>58</v>
      </c>
      <c r="J607" s="6" t="s">
        <v>67</v>
      </c>
      <c r="K607" s="6" t="s">
        <v>48</v>
      </c>
      <c r="L607" s="6" t="s">
        <v>54</v>
      </c>
      <c r="M607" s="6" t="s">
        <v>29</v>
      </c>
      <c r="N607" s="6" t="s">
        <v>28</v>
      </c>
      <c r="O607" s="6" t="s">
        <v>26</v>
      </c>
      <c r="P607" s="6" t="s">
        <v>52</v>
      </c>
      <c r="Q607" s="6" t="s">
        <v>48</v>
      </c>
      <c r="R607" s="6" t="s">
        <v>49</v>
      </c>
      <c r="S607" s="6" t="s">
        <v>54</v>
      </c>
      <c r="T607" s="6" t="s">
        <v>32</v>
      </c>
      <c r="U607" s="6" t="s">
        <v>28</v>
      </c>
      <c r="V607" s="6" t="s">
        <v>82</v>
      </c>
      <c r="W607" t="s">
        <v>787</v>
      </c>
    </row>
    <row r="608" spans="1:23" x14ac:dyDescent="0.3">
      <c r="A608" s="6" t="s">
        <v>621</v>
      </c>
      <c r="B608" s="1">
        <v>45831</v>
      </c>
      <c r="C608" s="6" t="s">
        <v>21</v>
      </c>
      <c r="D608" s="6" t="s">
        <v>122</v>
      </c>
      <c r="E608" s="6" t="s">
        <v>41</v>
      </c>
      <c r="F608" s="6" t="s">
        <v>24</v>
      </c>
      <c r="G608" s="6" t="s">
        <v>101</v>
      </c>
      <c r="H608" s="6" t="s">
        <v>26</v>
      </c>
      <c r="I608" s="6" t="s">
        <v>27</v>
      </c>
      <c r="J608" s="6" t="s">
        <v>122</v>
      </c>
      <c r="K608" s="6" t="s">
        <v>48</v>
      </c>
      <c r="L608" s="6" t="s">
        <v>152</v>
      </c>
      <c r="M608" s="6" t="s">
        <v>32</v>
      </c>
      <c r="N608" s="6" t="s">
        <v>28</v>
      </c>
      <c r="O608" s="6" t="s">
        <v>30</v>
      </c>
      <c r="P608" s="6" t="s">
        <v>66</v>
      </c>
      <c r="Q608" s="6" t="s">
        <v>31</v>
      </c>
      <c r="R608" s="6" t="s">
        <v>122</v>
      </c>
      <c r="S608" s="6" t="s">
        <v>128</v>
      </c>
      <c r="T608" s="6" t="s">
        <v>55</v>
      </c>
      <c r="U608" s="6" t="s">
        <v>28</v>
      </c>
      <c r="V608" s="6" t="s">
        <v>82</v>
      </c>
      <c r="W608" t="s">
        <v>787</v>
      </c>
    </row>
    <row r="609" spans="1:23" x14ac:dyDescent="0.3">
      <c r="A609" s="6" t="s">
        <v>620</v>
      </c>
      <c r="B609" s="1">
        <v>45831</v>
      </c>
      <c r="C609" s="6" t="s">
        <v>21</v>
      </c>
      <c r="D609" s="6" t="s">
        <v>122</v>
      </c>
      <c r="E609" s="6" t="s">
        <v>41</v>
      </c>
      <c r="F609" s="6" t="s">
        <v>24</v>
      </c>
      <c r="G609" s="6" t="s">
        <v>101</v>
      </c>
      <c r="H609" s="6" t="s">
        <v>26</v>
      </c>
      <c r="I609" s="6" t="s">
        <v>27</v>
      </c>
      <c r="J609" s="6" t="s">
        <v>122</v>
      </c>
      <c r="K609" s="6" t="s">
        <v>48</v>
      </c>
      <c r="L609" s="6" t="s">
        <v>152</v>
      </c>
      <c r="M609" s="6" t="s">
        <v>32</v>
      </c>
      <c r="N609" s="6" t="s">
        <v>28</v>
      </c>
      <c r="O609" s="6" t="s">
        <v>26</v>
      </c>
      <c r="P609" s="6" t="s">
        <v>66</v>
      </c>
      <c r="Q609" s="6" t="s">
        <v>31</v>
      </c>
      <c r="R609" s="6" t="s">
        <v>122</v>
      </c>
      <c r="S609" s="6" t="s">
        <v>128</v>
      </c>
      <c r="T609" s="6" t="s">
        <v>55</v>
      </c>
      <c r="U609" s="6" t="s">
        <v>28</v>
      </c>
      <c r="V609" s="6" t="s">
        <v>82</v>
      </c>
      <c r="W609" t="s">
        <v>787</v>
      </c>
    </row>
    <row r="610" spans="1:23" x14ac:dyDescent="0.3">
      <c r="A610" s="6" t="s">
        <v>622</v>
      </c>
      <c r="B610" s="1">
        <v>45833</v>
      </c>
      <c r="C610" s="6" t="s">
        <v>343</v>
      </c>
      <c r="D610" s="6" t="s">
        <v>125</v>
      </c>
      <c r="E610" s="6" t="s">
        <v>68</v>
      </c>
      <c r="F610" s="6" t="s">
        <v>24</v>
      </c>
      <c r="G610" s="6" t="s">
        <v>61</v>
      </c>
      <c r="H610" s="6" t="s">
        <v>48</v>
      </c>
      <c r="I610" s="6" t="s">
        <v>52</v>
      </c>
      <c r="J610" s="6" t="s">
        <v>125</v>
      </c>
      <c r="K610" s="6" t="s">
        <v>48</v>
      </c>
      <c r="L610" s="6" t="s">
        <v>54</v>
      </c>
      <c r="M610" s="6" t="s">
        <v>48</v>
      </c>
      <c r="N610" s="6" t="s">
        <v>159</v>
      </c>
      <c r="O610" s="6" t="s">
        <v>48</v>
      </c>
      <c r="P610" s="6" t="s">
        <v>48</v>
      </c>
      <c r="Q610" s="6" t="s">
        <v>48</v>
      </c>
      <c r="R610" s="6" t="s">
        <v>125</v>
      </c>
      <c r="S610" s="6" t="s">
        <v>54</v>
      </c>
      <c r="T610" s="6" t="s">
        <v>48</v>
      </c>
      <c r="U610" s="6" t="s">
        <v>94</v>
      </c>
      <c r="V610" s="6" t="s">
        <v>82</v>
      </c>
      <c r="W610" t="s">
        <v>787</v>
      </c>
    </row>
    <row r="611" spans="1:23" x14ac:dyDescent="0.3">
      <c r="A611" s="6" t="s">
        <v>622</v>
      </c>
      <c r="B611" s="1">
        <v>45833</v>
      </c>
      <c r="C611" s="6" t="s">
        <v>343</v>
      </c>
      <c r="D611" s="6" t="s">
        <v>125</v>
      </c>
      <c r="E611" s="6" t="s">
        <v>68</v>
      </c>
      <c r="F611" s="6" t="s">
        <v>24</v>
      </c>
      <c r="G611" s="6" t="s">
        <v>61</v>
      </c>
      <c r="H611" s="6" t="s">
        <v>48</v>
      </c>
      <c r="I611" s="6" t="s">
        <v>52</v>
      </c>
      <c r="J611" s="6" t="s">
        <v>125</v>
      </c>
      <c r="K611" s="6" t="s">
        <v>48</v>
      </c>
      <c r="L611" s="6" t="s">
        <v>54</v>
      </c>
      <c r="M611" s="6" t="s">
        <v>48</v>
      </c>
      <c r="N611" s="6" t="s">
        <v>159</v>
      </c>
      <c r="O611" s="6" t="s">
        <v>48</v>
      </c>
      <c r="P611" s="6" t="s">
        <v>48</v>
      </c>
      <c r="Q611" s="6" t="s">
        <v>48</v>
      </c>
      <c r="R611" s="6" t="s">
        <v>125</v>
      </c>
      <c r="S611" s="6" t="s">
        <v>54</v>
      </c>
      <c r="T611" s="6" t="s">
        <v>48</v>
      </c>
      <c r="U611" s="6" t="s">
        <v>94</v>
      </c>
      <c r="V611" s="6" t="s">
        <v>146</v>
      </c>
      <c r="W611" t="s">
        <v>787</v>
      </c>
    </row>
    <row r="612" spans="1:23" x14ac:dyDescent="0.3">
      <c r="A612" s="6" t="s">
        <v>623</v>
      </c>
      <c r="B612" s="1">
        <v>45833</v>
      </c>
      <c r="C612" s="6" t="s">
        <v>343</v>
      </c>
      <c r="D612" s="6" t="s">
        <v>125</v>
      </c>
      <c r="E612" s="6" t="s">
        <v>68</v>
      </c>
      <c r="F612" s="6" t="s">
        <v>24</v>
      </c>
      <c r="G612" s="6" t="s">
        <v>61</v>
      </c>
      <c r="H612" s="6" t="s">
        <v>48</v>
      </c>
      <c r="I612" s="6" t="s">
        <v>52</v>
      </c>
      <c r="J612" s="6" t="s">
        <v>125</v>
      </c>
      <c r="K612" s="6" t="s">
        <v>48</v>
      </c>
      <c r="L612" s="6" t="s">
        <v>54</v>
      </c>
      <c r="M612" s="6" t="s">
        <v>48</v>
      </c>
      <c r="N612" s="6" t="s">
        <v>159</v>
      </c>
      <c r="O612" s="6" t="s">
        <v>26</v>
      </c>
      <c r="P612" s="6" t="s">
        <v>48</v>
      </c>
      <c r="Q612" s="6" t="s">
        <v>48</v>
      </c>
      <c r="R612" s="6" t="s">
        <v>125</v>
      </c>
      <c r="S612" s="6" t="s">
        <v>54</v>
      </c>
      <c r="T612" s="6" t="s">
        <v>48</v>
      </c>
      <c r="U612" s="6" t="s">
        <v>28</v>
      </c>
      <c r="V612" s="6" t="s">
        <v>82</v>
      </c>
      <c r="W612" t="s">
        <v>787</v>
      </c>
    </row>
    <row r="613" spans="1:23" x14ac:dyDescent="0.3">
      <c r="A613" s="6" t="s">
        <v>623</v>
      </c>
      <c r="B613" s="1">
        <v>45833</v>
      </c>
      <c r="C613" s="6" t="s">
        <v>343</v>
      </c>
      <c r="D613" s="6" t="s">
        <v>125</v>
      </c>
      <c r="E613" s="6" t="s">
        <v>68</v>
      </c>
      <c r="F613" s="6" t="s">
        <v>24</v>
      </c>
      <c r="G613" s="6" t="s">
        <v>61</v>
      </c>
      <c r="H613" s="6" t="s">
        <v>48</v>
      </c>
      <c r="I613" s="6" t="s">
        <v>52</v>
      </c>
      <c r="J613" s="6" t="s">
        <v>125</v>
      </c>
      <c r="K613" s="6" t="s">
        <v>48</v>
      </c>
      <c r="L613" s="6" t="s">
        <v>54</v>
      </c>
      <c r="M613" s="6" t="s">
        <v>48</v>
      </c>
      <c r="N613" s="6" t="s">
        <v>159</v>
      </c>
      <c r="O613" s="6" t="s">
        <v>26</v>
      </c>
      <c r="P613" s="6" t="s">
        <v>48</v>
      </c>
      <c r="Q613" s="6" t="s">
        <v>48</v>
      </c>
      <c r="R613" s="6" t="s">
        <v>125</v>
      </c>
      <c r="S613" s="6" t="s">
        <v>54</v>
      </c>
      <c r="T613" s="6" t="s">
        <v>48</v>
      </c>
      <c r="U613" s="6" t="s">
        <v>28</v>
      </c>
      <c r="V613" s="6" t="s">
        <v>146</v>
      </c>
      <c r="W613" t="s">
        <v>787</v>
      </c>
    </row>
    <row r="614" spans="1:23" x14ac:dyDescent="0.3">
      <c r="A614" s="6" t="s">
        <v>624</v>
      </c>
      <c r="B614" s="1">
        <v>45833</v>
      </c>
      <c r="C614" s="6" t="s">
        <v>343</v>
      </c>
      <c r="D614" s="6" t="s">
        <v>125</v>
      </c>
      <c r="E614" s="6" t="s">
        <v>73</v>
      </c>
      <c r="F614" s="6" t="s">
        <v>24</v>
      </c>
      <c r="G614" s="6" t="s">
        <v>61</v>
      </c>
      <c r="H614" s="6" t="s">
        <v>48</v>
      </c>
      <c r="I614" s="6" t="s">
        <v>48</v>
      </c>
      <c r="J614" s="6" t="s">
        <v>125</v>
      </c>
      <c r="K614" s="6" t="s">
        <v>48</v>
      </c>
      <c r="L614" s="6" t="s">
        <v>151</v>
      </c>
      <c r="M614" s="6" t="s">
        <v>48</v>
      </c>
      <c r="N614" s="6" t="s">
        <v>159</v>
      </c>
      <c r="O614" s="6" t="s">
        <v>48</v>
      </c>
      <c r="P614" s="6" t="s">
        <v>48</v>
      </c>
      <c r="Q614" s="6" t="s">
        <v>48</v>
      </c>
      <c r="R614" s="6" t="s">
        <v>125</v>
      </c>
      <c r="S614" s="6" t="s">
        <v>54</v>
      </c>
      <c r="T614" s="6" t="s">
        <v>48</v>
      </c>
      <c r="U614" s="6" t="s">
        <v>94</v>
      </c>
      <c r="V614" s="6" t="s">
        <v>137</v>
      </c>
      <c r="W614" t="s">
        <v>787</v>
      </c>
    </row>
    <row r="615" spans="1:23" x14ac:dyDescent="0.3">
      <c r="A615" s="6" t="s">
        <v>625</v>
      </c>
      <c r="B615" s="1">
        <v>45833</v>
      </c>
      <c r="C615" s="6" t="s">
        <v>343</v>
      </c>
      <c r="D615" s="6" t="s">
        <v>125</v>
      </c>
      <c r="E615" s="6" t="s">
        <v>68</v>
      </c>
      <c r="F615" s="6" t="s">
        <v>24</v>
      </c>
      <c r="G615" s="6" t="s">
        <v>61</v>
      </c>
      <c r="H615" s="6" t="s">
        <v>48</v>
      </c>
      <c r="I615" s="6" t="s">
        <v>27</v>
      </c>
      <c r="J615" s="6" t="s">
        <v>125</v>
      </c>
      <c r="K615" s="6" t="s">
        <v>48</v>
      </c>
      <c r="L615" s="6" t="s">
        <v>705</v>
      </c>
      <c r="M615" s="6" t="s">
        <v>48</v>
      </c>
      <c r="N615" s="6" t="s">
        <v>28</v>
      </c>
      <c r="O615" s="6" t="s">
        <v>48</v>
      </c>
      <c r="P615" s="6" t="s">
        <v>48</v>
      </c>
      <c r="Q615" s="6" t="s">
        <v>48</v>
      </c>
      <c r="R615" s="6" t="s">
        <v>125</v>
      </c>
      <c r="S615" s="6" t="s">
        <v>54</v>
      </c>
      <c r="T615" s="6" t="s">
        <v>48</v>
      </c>
      <c r="U615" s="6" t="s">
        <v>123</v>
      </c>
      <c r="V615" s="6" t="s">
        <v>82</v>
      </c>
      <c r="W615" t="s">
        <v>787</v>
      </c>
    </row>
    <row r="616" spans="1:23" x14ac:dyDescent="0.3">
      <c r="A616" s="6" t="s">
        <v>625</v>
      </c>
      <c r="B616" s="1">
        <v>45833</v>
      </c>
      <c r="C616" s="6" t="s">
        <v>343</v>
      </c>
      <c r="D616" s="6" t="s">
        <v>125</v>
      </c>
      <c r="E616" s="6" t="s">
        <v>68</v>
      </c>
      <c r="F616" s="6" t="s">
        <v>24</v>
      </c>
      <c r="G616" s="6" t="s">
        <v>61</v>
      </c>
      <c r="H616" s="6" t="s">
        <v>48</v>
      </c>
      <c r="I616" s="6" t="s">
        <v>27</v>
      </c>
      <c r="J616" s="6" t="s">
        <v>125</v>
      </c>
      <c r="K616" s="6" t="s">
        <v>48</v>
      </c>
      <c r="L616" s="6" t="s">
        <v>705</v>
      </c>
      <c r="M616" s="6" t="s">
        <v>48</v>
      </c>
      <c r="N616" s="6" t="s">
        <v>28</v>
      </c>
      <c r="O616" s="6" t="s">
        <v>48</v>
      </c>
      <c r="P616" s="6" t="s">
        <v>48</v>
      </c>
      <c r="Q616" s="6" t="s">
        <v>48</v>
      </c>
      <c r="R616" s="6" t="s">
        <v>125</v>
      </c>
      <c r="S616" s="6" t="s">
        <v>54</v>
      </c>
      <c r="T616" s="6" t="s">
        <v>48</v>
      </c>
      <c r="U616" s="6" t="s">
        <v>123</v>
      </c>
      <c r="V616" s="6" t="s">
        <v>146</v>
      </c>
      <c r="W616" t="s">
        <v>787</v>
      </c>
    </row>
    <row r="617" spans="1:23" x14ac:dyDescent="0.3">
      <c r="A617" s="6" t="s">
        <v>626</v>
      </c>
      <c r="B617" s="1">
        <v>45834</v>
      </c>
      <c r="C617" s="6" t="s">
        <v>343</v>
      </c>
      <c r="D617" s="6" t="s">
        <v>125</v>
      </c>
      <c r="E617" s="6" t="s">
        <v>68</v>
      </c>
      <c r="F617" s="6" t="s">
        <v>24</v>
      </c>
      <c r="G617" s="6" t="s">
        <v>61</v>
      </c>
      <c r="H617" s="6" t="s">
        <v>48</v>
      </c>
      <c r="I617" s="6" t="s">
        <v>58</v>
      </c>
      <c r="J617" s="6" t="s">
        <v>49</v>
      </c>
      <c r="K617" s="6" t="s">
        <v>48</v>
      </c>
      <c r="L617" s="6" t="s">
        <v>152</v>
      </c>
      <c r="M617" s="6" t="s">
        <v>48</v>
      </c>
      <c r="N617" s="6" t="s">
        <v>28</v>
      </c>
      <c r="O617" s="6" t="s">
        <v>48</v>
      </c>
      <c r="P617" s="6" t="s">
        <v>48</v>
      </c>
      <c r="Q617" s="6" t="s">
        <v>48</v>
      </c>
      <c r="R617" s="6" t="s">
        <v>125</v>
      </c>
      <c r="S617" s="6" t="s">
        <v>54</v>
      </c>
      <c r="T617" s="6" t="s">
        <v>48</v>
      </c>
      <c r="U617" s="6" t="s">
        <v>94</v>
      </c>
      <c r="V617" s="6" t="s">
        <v>82</v>
      </c>
      <c r="W617" t="s">
        <v>787</v>
      </c>
    </row>
    <row r="618" spans="1:23" x14ac:dyDescent="0.3">
      <c r="A618" s="6" t="s">
        <v>627</v>
      </c>
      <c r="B618" s="1">
        <v>45834</v>
      </c>
      <c r="C618" s="6" t="s">
        <v>343</v>
      </c>
      <c r="D618" s="6" t="s">
        <v>43</v>
      </c>
      <c r="E618" s="6" t="s">
        <v>68</v>
      </c>
      <c r="F618" s="6" t="s">
        <v>24</v>
      </c>
      <c r="G618" s="6" t="s">
        <v>61</v>
      </c>
      <c r="H618" s="6" t="s">
        <v>48</v>
      </c>
      <c r="I618" s="6" t="s">
        <v>58</v>
      </c>
      <c r="J618" s="6" t="s">
        <v>43</v>
      </c>
      <c r="K618" s="6" t="s">
        <v>48</v>
      </c>
      <c r="L618" s="6" t="s">
        <v>54</v>
      </c>
      <c r="M618" s="6" t="s">
        <v>48</v>
      </c>
      <c r="N618" s="6" t="s">
        <v>28</v>
      </c>
      <c r="O618" s="6" t="s">
        <v>48</v>
      </c>
      <c r="P618" s="6" t="s">
        <v>27</v>
      </c>
      <c r="Q618" s="6" t="s">
        <v>48</v>
      </c>
      <c r="R618" s="6" t="s">
        <v>43</v>
      </c>
      <c r="S618" s="6" t="s">
        <v>54</v>
      </c>
      <c r="T618" s="6" t="s">
        <v>48</v>
      </c>
      <c r="U618" s="6" t="s">
        <v>28</v>
      </c>
      <c r="V618" s="6" t="s">
        <v>146</v>
      </c>
      <c r="W618" t="s">
        <v>787</v>
      </c>
    </row>
    <row r="619" spans="1:23" x14ac:dyDescent="0.3">
      <c r="A619" s="6" t="s">
        <v>628</v>
      </c>
      <c r="B619" s="1">
        <v>45834</v>
      </c>
      <c r="C619" s="6" t="s">
        <v>343</v>
      </c>
      <c r="D619" s="6" t="s">
        <v>43</v>
      </c>
      <c r="E619" s="6" t="s">
        <v>68</v>
      </c>
      <c r="F619" s="6" t="s">
        <v>24</v>
      </c>
      <c r="G619" s="6" t="s">
        <v>61</v>
      </c>
      <c r="H619" s="6" t="s">
        <v>48</v>
      </c>
      <c r="I619" s="6" t="s">
        <v>58</v>
      </c>
      <c r="J619" s="6" t="s">
        <v>43</v>
      </c>
      <c r="K619" s="6" t="s">
        <v>48</v>
      </c>
      <c r="L619" s="6" t="s">
        <v>54</v>
      </c>
      <c r="M619" s="6" t="s">
        <v>48</v>
      </c>
      <c r="N619" s="6" t="s">
        <v>28</v>
      </c>
      <c r="O619" s="6" t="s">
        <v>26</v>
      </c>
      <c r="P619" s="6" t="s">
        <v>48</v>
      </c>
      <c r="Q619" s="6" t="s">
        <v>48</v>
      </c>
      <c r="R619" s="6" t="s">
        <v>43</v>
      </c>
      <c r="S619" s="6" t="s">
        <v>54</v>
      </c>
      <c r="T619" s="6" t="s">
        <v>48</v>
      </c>
      <c r="U619" s="6" t="s">
        <v>28</v>
      </c>
      <c r="V619" s="6" t="s">
        <v>82</v>
      </c>
      <c r="W619" t="s">
        <v>787</v>
      </c>
    </row>
    <row r="620" spans="1:23" x14ac:dyDescent="0.3">
      <c r="A620" s="6" t="s">
        <v>628</v>
      </c>
      <c r="B620" s="1">
        <v>45834</v>
      </c>
      <c r="C620" s="6" t="s">
        <v>343</v>
      </c>
      <c r="D620" s="6" t="s">
        <v>43</v>
      </c>
      <c r="E620" s="6" t="s">
        <v>68</v>
      </c>
      <c r="F620" s="6" t="s">
        <v>24</v>
      </c>
      <c r="G620" s="6" t="s">
        <v>61</v>
      </c>
      <c r="H620" s="6" t="s">
        <v>48</v>
      </c>
      <c r="I620" s="6" t="s">
        <v>58</v>
      </c>
      <c r="J620" s="6" t="s">
        <v>43</v>
      </c>
      <c r="K620" s="6" t="s">
        <v>48</v>
      </c>
      <c r="L620" s="6" t="s">
        <v>54</v>
      </c>
      <c r="M620" s="6" t="s">
        <v>48</v>
      </c>
      <c r="N620" s="6" t="s">
        <v>28</v>
      </c>
      <c r="O620" s="6" t="s">
        <v>26</v>
      </c>
      <c r="P620" s="6" t="s">
        <v>48</v>
      </c>
      <c r="Q620" s="6" t="s">
        <v>48</v>
      </c>
      <c r="R620" s="6" t="s">
        <v>43</v>
      </c>
      <c r="S620" s="6" t="s">
        <v>54</v>
      </c>
      <c r="T620" s="6" t="s">
        <v>48</v>
      </c>
      <c r="U620" s="6" t="s">
        <v>28</v>
      </c>
      <c r="V620" s="6" t="s">
        <v>146</v>
      </c>
      <c r="W620" t="s">
        <v>787</v>
      </c>
    </row>
    <row r="621" spans="1:23" x14ac:dyDescent="0.3">
      <c r="A621" s="6" t="s">
        <v>627</v>
      </c>
      <c r="B621" s="1">
        <v>45834</v>
      </c>
      <c r="C621" s="6" t="s">
        <v>343</v>
      </c>
      <c r="D621" s="6" t="s">
        <v>43</v>
      </c>
      <c r="E621" s="6" t="s">
        <v>68</v>
      </c>
      <c r="F621" s="6" t="s">
        <v>24</v>
      </c>
      <c r="G621" s="6" t="s">
        <v>61</v>
      </c>
      <c r="H621" s="6" t="s">
        <v>48</v>
      </c>
      <c r="I621" s="6" t="s">
        <v>58</v>
      </c>
      <c r="J621" s="6" t="s">
        <v>43</v>
      </c>
      <c r="K621" s="6" t="s">
        <v>48</v>
      </c>
      <c r="L621" s="6" t="s">
        <v>54</v>
      </c>
      <c r="M621" s="6" t="s">
        <v>48</v>
      </c>
      <c r="N621" s="6" t="s">
        <v>28</v>
      </c>
      <c r="O621" s="6" t="s">
        <v>48</v>
      </c>
      <c r="P621" s="6" t="s">
        <v>27</v>
      </c>
      <c r="Q621" s="6" t="s">
        <v>48</v>
      </c>
      <c r="R621" s="6" t="s">
        <v>43</v>
      </c>
      <c r="S621" s="6" t="s">
        <v>54</v>
      </c>
      <c r="T621" s="6" t="s">
        <v>48</v>
      </c>
      <c r="U621" s="6" t="s">
        <v>28</v>
      </c>
      <c r="V621" s="6" t="s">
        <v>82</v>
      </c>
      <c r="W621" t="s">
        <v>787</v>
      </c>
    </row>
    <row r="622" spans="1:23" x14ac:dyDescent="0.3">
      <c r="A622" s="6" t="s">
        <v>627</v>
      </c>
      <c r="B622" s="1">
        <v>45834</v>
      </c>
      <c r="C622" s="6" t="s">
        <v>343</v>
      </c>
      <c r="D622" s="6" t="s">
        <v>43</v>
      </c>
      <c r="E622" s="6" t="s">
        <v>68</v>
      </c>
      <c r="F622" s="6" t="s">
        <v>24</v>
      </c>
      <c r="G622" s="6" t="s">
        <v>61</v>
      </c>
      <c r="H622" s="6" t="s">
        <v>48</v>
      </c>
      <c r="I622" s="6" t="s">
        <v>58</v>
      </c>
      <c r="J622" s="6" t="s">
        <v>43</v>
      </c>
      <c r="K622" s="6" t="s">
        <v>48</v>
      </c>
      <c r="L622" s="6" t="s">
        <v>54</v>
      </c>
      <c r="M622" s="6" t="s">
        <v>48</v>
      </c>
      <c r="N622" s="6" t="s">
        <v>28</v>
      </c>
      <c r="O622" s="6" t="s">
        <v>48</v>
      </c>
      <c r="P622" s="6" t="s">
        <v>27</v>
      </c>
      <c r="Q622" s="6" t="s">
        <v>48</v>
      </c>
      <c r="R622" s="6" t="s">
        <v>43</v>
      </c>
      <c r="S622" s="6" t="s">
        <v>54</v>
      </c>
      <c r="T622" s="6" t="s">
        <v>48</v>
      </c>
      <c r="U622" s="6" t="s">
        <v>28</v>
      </c>
      <c r="V622" s="6" t="s">
        <v>137</v>
      </c>
      <c r="W622" t="s">
        <v>787</v>
      </c>
    </row>
    <row r="623" spans="1:23" x14ac:dyDescent="0.3">
      <c r="A623" s="6" t="s">
        <v>628</v>
      </c>
      <c r="B623" s="1">
        <v>45834</v>
      </c>
      <c r="C623" s="6" t="s">
        <v>343</v>
      </c>
      <c r="D623" s="6" t="s">
        <v>43</v>
      </c>
      <c r="E623" s="6" t="s">
        <v>68</v>
      </c>
      <c r="F623" s="6" t="s">
        <v>24</v>
      </c>
      <c r="G623" s="6" t="s">
        <v>61</v>
      </c>
      <c r="H623" s="6" t="s">
        <v>48</v>
      </c>
      <c r="I623" s="6" t="s">
        <v>58</v>
      </c>
      <c r="J623" s="6" t="s">
        <v>43</v>
      </c>
      <c r="K623" s="6" t="s">
        <v>48</v>
      </c>
      <c r="L623" s="6" t="s">
        <v>54</v>
      </c>
      <c r="M623" s="6" t="s">
        <v>48</v>
      </c>
      <c r="N623" s="6" t="s">
        <v>28</v>
      </c>
      <c r="O623" s="6" t="s">
        <v>26</v>
      </c>
      <c r="P623" s="6" t="s">
        <v>48</v>
      </c>
      <c r="Q623" s="6" t="s">
        <v>48</v>
      </c>
      <c r="R623" s="6" t="s">
        <v>43</v>
      </c>
      <c r="S623" s="6" t="s">
        <v>54</v>
      </c>
      <c r="T623" s="6" t="s">
        <v>48</v>
      </c>
      <c r="U623" s="6" t="s">
        <v>28</v>
      </c>
      <c r="V623" s="6" t="s">
        <v>137</v>
      </c>
      <c r="W623" t="s">
        <v>787</v>
      </c>
    </row>
    <row r="624" spans="1:23" x14ac:dyDescent="0.3">
      <c r="A624" s="6" t="s">
        <v>629</v>
      </c>
      <c r="B624" s="1">
        <v>45834</v>
      </c>
      <c r="C624" s="6" t="s">
        <v>343</v>
      </c>
      <c r="D624" s="6" t="s">
        <v>50</v>
      </c>
      <c r="E624" s="6" t="s">
        <v>68</v>
      </c>
      <c r="F624" s="6" t="s">
        <v>24</v>
      </c>
      <c r="G624" s="6" t="s">
        <v>135</v>
      </c>
      <c r="H624" s="6" t="s">
        <v>26</v>
      </c>
      <c r="I624" s="6" t="s">
        <v>45</v>
      </c>
      <c r="J624" s="6" t="s">
        <v>50</v>
      </c>
      <c r="K624" s="6" t="s">
        <v>106</v>
      </c>
      <c r="L624" s="6" t="s">
        <v>152</v>
      </c>
      <c r="M624" s="6" t="s">
        <v>55</v>
      </c>
      <c r="N624" s="6" t="s">
        <v>28</v>
      </c>
      <c r="O624" s="6" t="s">
        <v>48</v>
      </c>
      <c r="P624" s="6" t="s">
        <v>48</v>
      </c>
      <c r="Q624" s="6" t="s">
        <v>48</v>
      </c>
      <c r="R624" s="6" t="s">
        <v>50</v>
      </c>
      <c r="S624" s="6" t="s">
        <v>54</v>
      </c>
      <c r="T624" s="6" t="s">
        <v>48</v>
      </c>
      <c r="U624" s="6" t="s">
        <v>121</v>
      </c>
      <c r="V624" s="6" t="s">
        <v>82</v>
      </c>
      <c r="W624" t="s">
        <v>787</v>
      </c>
    </row>
    <row r="625" spans="1:23" x14ac:dyDescent="0.3">
      <c r="A625" s="6" t="s">
        <v>630</v>
      </c>
      <c r="B625" s="1">
        <v>45834</v>
      </c>
      <c r="C625" s="6" t="s">
        <v>343</v>
      </c>
      <c r="D625" s="6" t="s">
        <v>43</v>
      </c>
      <c r="E625" s="6" t="s">
        <v>46</v>
      </c>
      <c r="F625" s="6" t="s">
        <v>24</v>
      </c>
      <c r="G625" s="6" t="s">
        <v>61</v>
      </c>
      <c r="H625" s="6" t="s">
        <v>48</v>
      </c>
      <c r="I625" s="6" t="s">
        <v>27</v>
      </c>
      <c r="J625" s="6" t="s">
        <v>43</v>
      </c>
      <c r="K625" s="6" t="s">
        <v>48</v>
      </c>
      <c r="L625" s="6" t="s">
        <v>54</v>
      </c>
      <c r="M625" s="6" t="s">
        <v>48</v>
      </c>
      <c r="N625" s="6" t="s">
        <v>28</v>
      </c>
      <c r="O625" s="6" t="s">
        <v>26</v>
      </c>
      <c r="P625" s="6" t="s">
        <v>48</v>
      </c>
      <c r="Q625" s="6" t="s">
        <v>48</v>
      </c>
      <c r="R625" s="6" t="s">
        <v>43</v>
      </c>
      <c r="S625" s="6" t="s">
        <v>54</v>
      </c>
      <c r="T625" s="6" t="s">
        <v>48</v>
      </c>
      <c r="U625" s="6" t="s">
        <v>28</v>
      </c>
      <c r="V625" s="6" t="s">
        <v>82</v>
      </c>
      <c r="W625" t="s">
        <v>787</v>
      </c>
    </row>
    <row r="626" spans="1:23" x14ac:dyDescent="0.3">
      <c r="A626" s="6" t="s">
        <v>630</v>
      </c>
      <c r="B626" s="1">
        <v>45834</v>
      </c>
      <c r="C626" s="6" t="s">
        <v>343</v>
      </c>
      <c r="D626" s="6" t="s">
        <v>43</v>
      </c>
      <c r="E626" s="6" t="s">
        <v>46</v>
      </c>
      <c r="F626" s="6" t="s">
        <v>24</v>
      </c>
      <c r="G626" s="6" t="s">
        <v>61</v>
      </c>
      <c r="H626" s="6" t="s">
        <v>48</v>
      </c>
      <c r="I626" s="6" t="s">
        <v>27</v>
      </c>
      <c r="J626" s="6" t="s">
        <v>43</v>
      </c>
      <c r="K626" s="6" t="s">
        <v>48</v>
      </c>
      <c r="L626" s="6" t="s">
        <v>54</v>
      </c>
      <c r="M626" s="6" t="s">
        <v>48</v>
      </c>
      <c r="N626" s="6" t="s">
        <v>28</v>
      </c>
      <c r="O626" s="6" t="s">
        <v>26</v>
      </c>
      <c r="P626" s="6" t="s">
        <v>48</v>
      </c>
      <c r="Q626" s="6" t="s">
        <v>48</v>
      </c>
      <c r="R626" s="6" t="s">
        <v>43</v>
      </c>
      <c r="S626" s="6" t="s">
        <v>54</v>
      </c>
      <c r="T626" s="6" t="s">
        <v>48</v>
      </c>
      <c r="U626" s="6" t="s">
        <v>28</v>
      </c>
      <c r="V626" s="6" t="s">
        <v>146</v>
      </c>
      <c r="W626" t="s">
        <v>787</v>
      </c>
    </row>
    <row r="627" spans="1:23" x14ac:dyDescent="0.3">
      <c r="A627" s="6" t="s">
        <v>631</v>
      </c>
      <c r="B627" s="1">
        <v>45834</v>
      </c>
      <c r="C627" s="6" t="s">
        <v>343</v>
      </c>
      <c r="D627" s="6" t="s">
        <v>125</v>
      </c>
      <c r="E627" s="6" t="s">
        <v>68</v>
      </c>
      <c r="F627" s="6" t="s">
        <v>24</v>
      </c>
      <c r="G627" s="6" t="s">
        <v>61</v>
      </c>
      <c r="H627" s="6" t="s">
        <v>26</v>
      </c>
      <c r="I627" s="6" t="s">
        <v>42</v>
      </c>
      <c r="J627" s="6" t="s">
        <v>125</v>
      </c>
      <c r="K627" s="6" t="s">
        <v>48</v>
      </c>
      <c r="L627" s="6" t="s">
        <v>54</v>
      </c>
      <c r="M627" s="6" t="s">
        <v>29</v>
      </c>
      <c r="N627" s="6" t="s">
        <v>28</v>
      </c>
      <c r="O627" s="6" t="s">
        <v>48</v>
      </c>
      <c r="P627" s="6" t="s">
        <v>48</v>
      </c>
      <c r="Q627" s="6" t="s">
        <v>48</v>
      </c>
      <c r="R627" s="6" t="s">
        <v>125</v>
      </c>
      <c r="S627" s="6" t="s">
        <v>54</v>
      </c>
      <c r="T627" s="6" t="s">
        <v>48</v>
      </c>
      <c r="U627" s="6" t="s">
        <v>94</v>
      </c>
      <c r="V627" s="6" t="s">
        <v>82</v>
      </c>
      <c r="W627" t="s">
        <v>787</v>
      </c>
    </row>
    <row r="628" spans="1:23" x14ac:dyDescent="0.3">
      <c r="A628" s="6" t="s">
        <v>631</v>
      </c>
      <c r="B628" s="1">
        <v>45834</v>
      </c>
      <c r="C628" s="6" t="s">
        <v>343</v>
      </c>
      <c r="D628" s="6" t="s">
        <v>125</v>
      </c>
      <c r="E628" s="6" t="s">
        <v>68</v>
      </c>
      <c r="F628" s="6" t="s">
        <v>24</v>
      </c>
      <c r="G628" s="6" t="s">
        <v>61</v>
      </c>
      <c r="H628" s="6" t="s">
        <v>26</v>
      </c>
      <c r="I628" s="6" t="s">
        <v>42</v>
      </c>
      <c r="J628" s="6" t="s">
        <v>125</v>
      </c>
      <c r="K628" s="6" t="s">
        <v>48</v>
      </c>
      <c r="L628" s="6" t="s">
        <v>54</v>
      </c>
      <c r="M628" s="6" t="s">
        <v>29</v>
      </c>
      <c r="N628" s="6" t="s">
        <v>28</v>
      </c>
      <c r="O628" s="6" t="s">
        <v>48</v>
      </c>
      <c r="P628" s="6" t="s">
        <v>48</v>
      </c>
      <c r="Q628" s="6" t="s">
        <v>48</v>
      </c>
      <c r="R628" s="6" t="s">
        <v>125</v>
      </c>
      <c r="S628" s="6" t="s">
        <v>54</v>
      </c>
      <c r="T628" s="6" t="s">
        <v>48</v>
      </c>
      <c r="U628" s="6" t="s">
        <v>94</v>
      </c>
      <c r="V628" s="6" t="s">
        <v>146</v>
      </c>
      <c r="W628" t="s">
        <v>787</v>
      </c>
    </row>
    <row r="629" spans="1:23" x14ac:dyDescent="0.3">
      <c r="A629" s="6" t="s">
        <v>632</v>
      </c>
      <c r="B629" s="1">
        <v>45835</v>
      </c>
      <c r="C629" s="6" t="s">
        <v>21</v>
      </c>
      <c r="D629" s="6" t="s">
        <v>60</v>
      </c>
      <c r="E629" s="6" t="s">
        <v>41</v>
      </c>
      <c r="F629" s="6" t="s">
        <v>24</v>
      </c>
      <c r="G629" s="6" t="s">
        <v>25</v>
      </c>
      <c r="H629" s="6" t="s">
        <v>26</v>
      </c>
      <c r="I629" s="6" t="s">
        <v>38</v>
      </c>
      <c r="J629" s="6" t="s">
        <v>60</v>
      </c>
      <c r="K629" s="6" t="s">
        <v>48</v>
      </c>
      <c r="L629" s="6" t="s">
        <v>54</v>
      </c>
      <c r="M629" s="6" t="s">
        <v>55</v>
      </c>
      <c r="N629" s="6" t="s">
        <v>28</v>
      </c>
      <c r="O629" s="6" t="s">
        <v>30</v>
      </c>
      <c r="P629" s="6" t="s">
        <v>788</v>
      </c>
      <c r="Q629" s="6" t="s">
        <v>48</v>
      </c>
      <c r="R629" s="6" t="s">
        <v>60</v>
      </c>
      <c r="S629" s="6" t="s">
        <v>54</v>
      </c>
      <c r="T629" s="6" t="s">
        <v>29</v>
      </c>
      <c r="U629" s="6" t="s">
        <v>28</v>
      </c>
      <c r="V629" s="6" t="s">
        <v>137</v>
      </c>
      <c r="W629" t="s">
        <v>787</v>
      </c>
    </row>
    <row r="630" spans="1:23" x14ac:dyDescent="0.3">
      <c r="A630" s="6" t="s">
        <v>633</v>
      </c>
      <c r="B630" s="1">
        <v>45835</v>
      </c>
      <c r="C630" s="6" t="s">
        <v>343</v>
      </c>
      <c r="D630" s="6" t="s">
        <v>95</v>
      </c>
      <c r="E630" s="6" t="s">
        <v>35</v>
      </c>
      <c r="F630" s="6" t="s">
        <v>24</v>
      </c>
      <c r="G630" s="6" t="s">
        <v>61</v>
      </c>
      <c r="H630" s="6" t="s">
        <v>48</v>
      </c>
      <c r="I630" s="6" t="s">
        <v>42</v>
      </c>
      <c r="J630" s="6" t="s">
        <v>95</v>
      </c>
      <c r="K630" s="6" t="s">
        <v>48</v>
      </c>
      <c r="L630" s="6" t="s">
        <v>54</v>
      </c>
      <c r="M630" s="6" t="s">
        <v>48</v>
      </c>
      <c r="N630" s="6" t="s">
        <v>28</v>
      </c>
      <c r="O630" s="6" t="s">
        <v>30</v>
      </c>
      <c r="P630" s="6" t="s">
        <v>48</v>
      </c>
      <c r="Q630" s="6" t="s">
        <v>48</v>
      </c>
      <c r="R630" s="6" t="s">
        <v>95</v>
      </c>
      <c r="S630" s="6" t="s">
        <v>54</v>
      </c>
      <c r="T630" s="6" t="s">
        <v>32</v>
      </c>
      <c r="U630" s="6" t="s">
        <v>28</v>
      </c>
      <c r="V630" s="6" t="s">
        <v>82</v>
      </c>
      <c r="W630" t="s">
        <v>787</v>
      </c>
    </row>
    <row r="631" spans="1:23" x14ac:dyDescent="0.3">
      <c r="A631" s="6" t="s">
        <v>633</v>
      </c>
      <c r="B631" s="1">
        <v>45835</v>
      </c>
      <c r="C631" s="6" t="s">
        <v>343</v>
      </c>
      <c r="D631" s="6" t="s">
        <v>95</v>
      </c>
      <c r="E631" s="6" t="s">
        <v>35</v>
      </c>
      <c r="F631" s="6" t="s">
        <v>24</v>
      </c>
      <c r="G631" s="6" t="s">
        <v>61</v>
      </c>
      <c r="H631" s="6" t="s">
        <v>48</v>
      </c>
      <c r="I631" s="6" t="s">
        <v>42</v>
      </c>
      <c r="J631" s="6" t="s">
        <v>95</v>
      </c>
      <c r="K631" s="6" t="s">
        <v>48</v>
      </c>
      <c r="L631" s="6" t="s">
        <v>54</v>
      </c>
      <c r="M631" s="6" t="s">
        <v>48</v>
      </c>
      <c r="N631" s="6" t="s">
        <v>28</v>
      </c>
      <c r="O631" s="6" t="s">
        <v>30</v>
      </c>
      <c r="P631" s="6" t="s">
        <v>48</v>
      </c>
      <c r="Q631" s="6" t="s">
        <v>48</v>
      </c>
      <c r="R631" s="6" t="s">
        <v>95</v>
      </c>
      <c r="S631" s="6" t="s">
        <v>54</v>
      </c>
      <c r="T631" s="6" t="s">
        <v>32</v>
      </c>
      <c r="U631" s="6" t="s">
        <v>28</v>
      </c>
      <c r="V631" s="6" t="s">
        <v>146</v>
      </c>
      <c r="W631" t="s">
        <v>787</v>
      </c>
    </row>
    <row r="632" spans="1:23" x14ac:dyDescent="0.3">
      <c r="A632" s="6" t="s">
        <v>633</v>
      </c>
      <c r="B632" s="1">
        <v>45835</v>
      </c>
      <c r="C632" s="6" t="s">
        <v>343</v>
      </c>
      <c r="D632" s="6" t="s">
        <v>95</v>
      </c>
      <c r="E632" s="6" t="s">
        <v>35</v>
      </c>
      <c r="F632" s="6" t="s">
        <v>24</v>
      </c>
      <c r="G632" s="6" t="s">
        <v>61</v>
      </c>
      <c r="H632" s="6" t="s">
        <v>48</v>
      </c>
      <c r="I632" s="6" t="s">
        <v>42</v>
      </c>
      <c r="J632" s="6" t="s">
        <v>95</v>
      </c>
      <c r="K632" s="6" t="s">
        <v>48</v>
      </c>
      <c r="L632" s="6" t="s">
        <v>54</v>
      </c>
      <c r="M632" s="6" t="s">
        <v>48</v>
      </c>
      <c r="N632" s="6" t="s">
        <v>28</v>
      </c>
      <c r="O632" s="6" t="s">
        <v>30</v>
      </c>
      <c r="P632" s="6" t="s">
        <v>48</v>
      </c>
      <c r="Q632" s="6" t="s">
        <v>48</v>
      </c>
      <c r="R632" s="6" t="s">
        <v>95</v>
      </c>
      <c r="S632" s="6" t="s">
        <v>54</v>
      </c>
      <c r="T632" s="6" t="s">
        <v>32</v>
      </c>
      <c r="U632" s="6" t="s">
        <v>28</v>
      </c>
      <c r="V632" s="6" t="s">
        <v>137</v>
      </c>
      <c r="W632" t="s">
        <v>787</v>
      </c>
    </row>
    <row r="633" spans="1:23" x14ac:dyDescent="0.3">
      <c r="A633" s="6" t="s">
        <v>634</v>
      </c>
      <c r="B633" s="1">
        <v>45836</v>
      </c>
      <c r="C633" s="6" t="s">
        <v>343</v>
      </c>
      <c r="D633" s="6" t="s">
        <v>40</v>
      </c>
      <c r="E633" s="6" t="s">
        <v>23</v>
      </c>
      <c r="F633" s="6" t="s">
        <v>24</v>
      </c>
      <c r="G633" s="6" t="s">
        <v>25</v>
      </c>
      <c r="H633" s="6" t="s">
        <v>26</v>
      </c>
      <c r="I633" s="6" t="s">
        <v>42</v>
      </c>
      <c r="J633" s="6" t="s">
        <v>40</v>
      </c>
      <c r="K633" s="6" t="s">
        <v>48</v>
      </c>
      <c r="L633" s="6" t="s">
        <v>54</v>
      </c>
      <c r="M633" s="6" t="s">
        <v>32</v>
      </c>
      <c r="N633" s="6" t="s">
        <v>28</v>
      </c>
      <c r="O633" s="6" t="s">
        <v>48</v>
      </c>
      <c r="P633" s="6" t="s">
        <v>48</v>
      </c>
      <c r="Q633" s="6" t="s">
        <v>48</v>
      </c>
      <c r="R633" s="6" t="s">
        <v>40</v>
      </c>
      <c r="S633" s="6" t="s">
        <v>54</v>
      </c>
      <c r="T633" s="6" t="s">
        <v>48</v>
      </c>
      <c r="U633" s="6" t="s">
        <v>118</v>
      </c>
      <c r="V633" s="6" t="s">
        <v>137</v>
      </c>
      <c r="W633" t="s">
        <v>787</v>
      </c>
    </row>
    <row r="634" spans="1:23" x14ac:dyDescent="0.3">
      <c r="A634" s="6" t="s">
        <v>635</v>
      </c>
      <c r="B634" s="1">
        <v>45837</v>
      </c>
      <c r="C634" s="6" t="s">
        <v>343</v>
      </c>
      <c r="D634" s="6" t="s">
        <v>96</v>
      </c>
      <c r="E634" s="6" t="s">
        <v>68</v>
      </c>
      <c r="F634" s="6" t="s">
        <v>24</v>
      </c>
      <c r="G634" s="6" t="s">
        <v>51</v>
      </c>
      <c r="H634" s="6" t="s">
        <v>26</v>
      </c>
      <c r="I634" s="6" t="s">
        <v>45</v>
      </c>
      <c r="J634" s="6" t="s">
        <v>96</v>
      </c>
      <c r="K634" s="6" t="s">
        <v>48</v>
      </c>
      <c r="L634" s="6" t="s">
        <v>54</v>
      </c>
      <c r="M634" s="6" t="s">
        <v>55</v>
      </c>
      <c r="N634" s="6" t="s">
        <v>28</v>
      </c>
      <c r="O634" s="6" t="s">
        <v>48</v>
      </c>
      <c r="P634" s="6" t="s">
        <v>48</v>
      </c>
      <c r="Q634" s="6" t="s">
        <v>48</v>
      </c>
      <c r="R634" s="6" t="s">
        <v>96</v>
      </c>
      <c r="S634" s="6" t="s">
        <v>54</v>
      </c>
      <c r="T634" s="6" t="s">
        <v>48</v>
      </c>
      <c r="U634" s="6" t="s">
        <v>56</v>
      </c>
      <c r="V634" s="6" t="s">
        <v>82</v>
      </c>
      <c r="W634" t="s">
        <v>787</v>
      </c>
    </row>
    <row r="635" spans="1:23" x14ac:dyDescent="0.3">
      <c r="A635" s="6" t="s">
        <v>636</v>
      </c>
      <c r="B635" s="1">
        <v>45838</v>
      </c>
      <c r="C635" s="6" t="s">
        <v>39</v>
      </c>
      <c r="D635" s="6" t="s">
        <v>22</v>
      </c>
      <c r="E635" s="6" t="s">
        <v>35</v>
      </c>
      <c r="F635" s="6" t="s">
        <v>24</v>
      </c>
      <c r="G635" s="6" t="s">
        <v>69</v>
      </c>
      <c r="H635" s="6" t="s">
        <v>26</v>
      </c>
      <c r="I635" s="6" t="s">
        <v>58</v>
      </c>
      <c r="J635" s="6" t="s">
        <v>22</v>
      </c>
      <c r="K635" s="6" t="s">
        <v>48</v>
      </c>
      <c r="L635" s="6" t="s">
        <v>152</v>
      </c>
      <c r="M635" s="6" t="s">
        <v>142</v>
      </c>
      <c r="N635" s="6" t="s">
        <v>28</v>
      </c>
      <c r="O635" s="6" t="s">
        <v>30</v>
      </c>
      <c r="P635" s="6" t="s">
        <v>45</v>
      </c>
      <c r="Q635" s="6" t="s">
        <v>31</v>
      </c>
      <c r="R635" s="6" t="s">
        <v>22</v>
      </c>
      <c r="S635" s="6" t="s">
        <v>128</v>
      </c>
      <c r="T635" s="6" t="s">
        <v>29</v>
      </c>
      <c r="U635" s="6" t="s">
        <v>28</v>
      </c>
      <c r="V635" s="6" t="s">
        <v>82</v>
      </c>
      <c r="W635" t="s">
        <v>787</v>
      </c>
    </row>
    <row r="636" spans="1:23" x14ac:dyDescent="0.3">
      <c r="A636" s="6" t="s">
        <v>636</v>
      </c>
      <c r="B636" s="1">
        <v>45838</v>
      </c>
      <c r="C636" s="6" t="s">
        <v>39</v>
      </c>
      <c r="D636" s="6" t="s">
        <v>22</v>
      </c>
      <c r="E636" s="6" t="s">
        <v>35</v>
      </c>
      <c r="F636" s="6" t="s">
        <v>24</v>
      </c>
      <c r="G636" s="6" t="s">
        <v>69</v>
      </c>
      <c r="H636" s="6" t="s">
        <v>26</v>
      </c>
      <c r="I636" s="6" t="s">
        <v>58</v>
      </c>
      <c r="J636" s="6" t="s">
        <v>22</v>
      </c>
      <c r="K636" s="6" t="s">
        <v>48</v>
      </c>
      <c r="L636" s="6" t="s">
        <v>152</v>
      </c>
      <c r="M636" s="6" t="s">
        <v>142</v>
      </c>
      <c r="N636" s="6" t="s">
        <v>28</v>
      </c>
      <c r="O636" s="6" t="s">
        <v>30</v>
      </c>
      <c r="P636" s="6" t="s">
        <v>45</v>
      </c>
      <c r="Q636" s="6" t="s">
        <v>31</v>
      </c>
      <c r="R636" s="6" t="s">
        <v>22</v>
      </c>
      <c r="S636" s="6" t="s">
        <v>128</v>
      </c>
      <c r="T636" s="6" t="s">
        <v>29</v>
      </c>
      <c r="U636" s="6" t="s">
        <v>28</v>
      </c>
      <c r="V636" s="6" t="s">
        <v>146</v>
      </c>
      <c r="W636" t="s">
        <v>787</v>
      </c>
    </row>
    <row r="637" spans="1:23" x14ac:dyDescent="0.3">
      <c r="A637" s="6" t="s">
        <v>637</v>
      </c>
      <c r="B637" s="1">
        <v>45838</v>
      </c>
      <c r="C637" s="6" t="s">
        <v>39</v>
      </c>
      <c r="D637" s="6" t="s">
        <v>22</v>
      </c>
      <c r="E637" s="6" t="s">
        <v>35</v>
      </c>
      <c r="F637" s="6" t="s">
        <v>24</v>
      </c>
      <c r="G637" s="6" t="s">
        <v>69</v>
      </c>
      <c r="H637" s="6" t="s">
        <v>26</v>
      </c>
      <c r="I637" s="6" t="s">
        <v>58</v>
      </c>
      <c r="J637" s="6" t="s">
        <v>22</v>
      </c>
      <c r="K637" s="6" t="s">
        <v>48</v>
      </c>
      <c r="L637" s="6" t="s">
        <v>152</v>
      </c>
      <c r="M637" s="6" t="s">
        <v>142</v>
      </c>
      <c r="N637" s="6" t="s">
        <v>28</v>
      </c>
      <c r="O637" s="6" t="s">
        <v>26</v>
      </c>
      <c r="P637" s="6" t="s">
        <v>38</v>
      </c>
      <c r="Q637" s="6" t="s">
        <v>31</v>
      </c>
      <c r="R637" s="6" t="s">
        <v>22</v>
      </c>
      <c r="S637" s="6" t="s">
        <v>128</v>
      </c>
      <c r="T637" s="6" t="s">
        <v>29</v>
      </c>
      <c r="U637" s="6" t="s">
        <v>28</v>
      </c>
      <c r="V637" s="6" t="s">
        <v>82</v>
      </c>
      <c r="W637" t="s">
        <v>787</v>
      </c>
    </row>
    <row r="638" spans="1:23" x14ac:dyDescent="0.3">
      <c r="A638" s="6" t="s">
        <v>637</v>
      </c>
      <c r="B638" s="1">
        <v>45838</v>
      </c>
      <c r="C638" s="6" t="s">
        <v>39</v>
      </c>
      <c r="D638" s="6" t="s">
        <v>22</v>
      </c>
      <c r="E638" s="6" t="s">
        <v>35</v>
      </c>
      <c r="F638" s="6" t="s">
        <v>24</v>
      </c>
      <c r="G638" s="6" t="s">
        <v>69</v>
      </c>
      <c r="H638" s="6" t="s">
        <v>26</v>
      </c>
      <c r="I638" s="6" t="s">
        <v>58</v>
      </c>
      <c r="J638" s="6" t="s">
        <v>22</v>
      </c>
      <c r="K638" s="6" t="s">
        <v>48</v>
      </c>
      <c r="L638" s="6" t="s">
        <v>152</v>
      </c>
      <c r="M638" s="6" t="s">
        <v>142</v>
      </c>
      <c r="N638" s="6" t="s">
        <v>28</v>
      </c>
      <c r="O638" s="6" t="s">
        <v>26</v>
      </c>
      <c r="P638" s="6" t="s">
        <v>38</v>
      </c>
      <c r="Q638" s="6" t="s">
        <v>31</v>
      </c>
      <c r="R638" s="6" t="s">
        <v>22</v>
      </c>
      <c r="S638" s="6" t="s">
        <v>128</v>
      </c>
      <c r="T638" s="6" t="s">
        <v>29</v>
      </c>
      <c r="U638" s="6" t="s">
        <v>28</v>
      </c>
      <c r="V638" s="6" t="s">
        <v>146</v>
      </c>
      <c r="W638" t="s">
        <v>787</v>
      </c>
    </row>
    <row r="639" spans="1:23" x14ac:dyDescent="0.3">
      <c r="A639" s="6" t="s">
        <v>638</v>
      </c>
      <c r="B639" s="1">
        <v>45838</v>
      </c>
      <c r="C639" s="6" t="s">
        <v>33</v>
      </c>
      <c r="D639" s="6" t="s">
        <v>60</v>
      </c>
      <c r="E639" s="6" t="s">
        <v>46</v>
      </c>
      <c r="F639" s="6" t="s">
        <v>24</v>
      </c>
      <c r="G639" s="6" t="s">
        <v>61</v>
      </c>
      <c r="H639" s="6" t="s">
        <v>48</v>
      </c>
      <c r="I639" s="6" t="s">
        <v>48</v>
      </c>
      <c r="J639" s="6" t="s">
        <v>60</v>
      </c>
      <c r="K639" s="6" t="s">
        <v>48</v>
      </c>
      <c r="L639" s="6" t="s">
        <v>152</v>
      </c>
      <c r="M639" s="6" t="s">
        <v>48</v>
      </c>
      <c r="N639" s="6" t="s">
        <v>28</v>
      </c>
      <c r="O639" s="6" t="s">
        <v>48</v>
      </c>
      <c r="P639" s="6" t="s">
        <v>48</v>
      </c>
      <c r="Q639" s="6" t="s">
        <v>48</v>
      </c>
      <c r="R639" s="6" t="s">
        <v>60</v>
      </c>
      <c r="S639" s="6" t="s">
        <v>54</v>
      </c>
      <c r="T639" s="6" t="s">
        <v>48</v>
      </c>
      <c r="U639" s="6" t="s">
        <v>74</v>
      </c>
      <c r="V639" s="6" t="s">
        <v>82</v>
      </c>
      <c r="W639" t="s">
        <v>787</v>
      </c>
    </row>
    <row r="640" spans="1:23" x14ac:dyDescent="0.3">
      <c r="A640" s="6" t="s">
        <v>638</v>
      </c>
      <c r="B640" s="1">
        <v>45838</v>
      </c>
      <c r="C640" s="6" t="s">
        <v>33</v>
      </c>
      <c r="D640" s="6" t="s">
        <v>60</v>
      </c>
      <c r="E640" s="6" t="s">
        <v>46</v>
      </c>
      <c r="F640" s="6" t="s">
        <v>24</v>
      </c>
      <c r="G640" s="6" t="s">
        <v>61</v>
      </c>
      <c r="H640" s="6" t="s">
        <v>48</v>
      </c>
      <c r="I640" s="6" t="s">
        <v>48</v>
      </c>
      <c r="J640" s="6" t="s">
        <v>60</v>
      </c>
      <c r="K640" s="6" t="s">
        <v>48</v>
      </c>
      <c r="L640" s="6" t="s">
        <v>152</v>
      </c>
      <c r="M640" s="6" t="s">
        <v>48</v>
      </c>
      <c r="N640" s="6" t="s">
        <v>28</v>
      </c>
      <c r="O640" s="6" t="s">
        <v>48</v>
      </c>
      <c r="P640" s="6" t="s">
        <v>48</v>
      </c>
      <c r="Q640" s="6" t="s">
        <v>48</v>
      </c>
      <c r="R640" s="6" t="s">
        <v>60</v>
      </c>
      <c r="S640" s="6" t="s">
        <v>54</v>
      </c>
      <c r="T640" s="6" t="s">
        <v>48</v>
      </c>
      <c r="U640" s="6" t="s">
        <v>74</v>
      </c>
      <c r="V640" s="6" t="s">
        <v>146</v>
      </c>
      <c r="W640" t="s">
        <v>787</v>
      </c>
    </row>
    <row r="641" spans="1:23" x14ac:dyDescent="0.3">
      <c r="A641" s="6" t="s">
        <v>161</v>
      </c>
      <c r="B641" s="1">
        <v>45658</v>
      </c>
      <c r="C641" s="6" t="s">
        <v>33</v>
      </c>
      <c r="D641" s="6" t="s">
        <v>81</v>
      </c>
      <c r="E641" s="6" t="s">
        <v>68</v>
      </c>
      <c r="F641" s="6" t="s">
        <v>24</v>
      </c>
      <c r="G641" s="6" t="s">
        <v>61</v>
      </c>
      <c r="H641" s="6" t="s">
        <v>26</v>
      </c>
      <c r="I641" s="6" t="s">
        <v>52</v>
      </c>
      <c r="J641" s="6" t="s">
        <v>81</v>
      </c>
      <c r="K641" s="6" t="s">
        <v>48</v>
      </c>
      <c r="L641" s="6" t="s">
        <v>54</v>
      </c>
      <c r="M641" s="6" t="s">
        <v>29</v>
      </c>
      <c r="N641" s="6" t="s">
        <v>28</v>
      </c>
      <c r="O641" s="6" t="s">
        <v>26</v>
      </c>
      <c r="P641" s="6" t="s">
        <v>48</v>
      </c>
      <c r="Q641" s="6" t="s">
        <v>48</v>
      </c>
      <c r="R641" s="6" t="s">
        <v>40</v>
      </c>
      <c r="S641" s="6" t="s">
        <v>54</v>
      </c>
      <c r="T641" s="6" t="s">
        <v>32</v>
      </c>
      <c r="U641" s="6" t="s">
        <v>28</v>
      </c>
      <c r="V641" s="6" t="s">
        <v>82</v>
      </c>
      <c r="W641" t="s">
        <v>352</v>
      </c>
    </row>
    <row r="642" spans="1:23" x14ac:dyDescent="0.3">
      <c r="A642" s="6" t="s">
        <v>162</v>
      </c>
      <c r="B642" s="1">
        <v>45660</v>
      </c>
      <c r="C642" s="6" t="s">
        <v>343</v>
      </c>
      <c r="D642" s="6" t="s">
        <v>22</v>
      </c>
      <c r="E642" s="6" t="s">
        <v>35</v>
      </c>
      <c r="F642" s="6" t="s">
        <v>24</v>
      </c>
      <c r="G642" s="6" t="s">
        <v>68</v>
      </c>
      <c r="H642" s="6" t="s">
        <v>48</v>
      </c>
      <c r="I642" s="6" t="s">
        <v>100</v>
      </c>
      <c r="J642" s="6" t="s">
        <v>22</v>
      </c>
      <c r="K642" s="6" t="s">
        <v>48</v>
      </c>
      <c r="L642" s="6" t="s">
        <v>54</v>
      </c>
      <c r="M642" s="6" t="s">
        <v>48</v>
      </c>
      <c r="N642" s="6" t="s">
        <v>28</v>
      </c>
      <c r="O642" s="6" t="s">
        <v>48</v>
      </c>
      <c r="P642" s="6" t="s">
        <v>48</v>
      </c>
      <c r="Q642" s="6" t="s">
        <v>48</v>
      </c>
      <c r="R642" s="6" t="s">
        <v>22</v>
      </c>
      <c r="S642" s="6" t="s">
        <v>54</v>
      </c>
      <c r="T642" s="6" t="s">
        <v>48</v>
      </c>
      <c r="U642" s="6" t="s">
        <v>121</v>
      </c>
      <c r="V642" s="6" t="s">
        <v>82</v>
      </c>
      <c r="W642" t="s">
        <v>352</v>
      </c>
    </row>
    <row r="643" spans="1:23" x14ac:dyDescent="0.3">
      <c r="A643" s="6" t="s">
        <v>163</v>
      </c>
      <c r="B643" s="1">
        <v>45660</v>
      </c>
      <c r="C643" s="6" t="s">
        <v>343</v>
      </c>
      <c r="D643" s="6" t="s">
        <v>43</v>
      </c>
      <c r="E643" s="6" t="s">
        <v>23</v>
      </c>
      <c r="F643" s="6" t="s">
        <v>24</v>
      </c>
      <c r="G643" s="6" t="s">
        <v>61</v>
      </c>
      <c r="H643" s="6" t="s">
        <v>48</v>
      </c>
      <c r="I643" s="6" t="s">
        <v>42</v>
      </c>
      <c r="J643" s="6" t="s">
        <v>43</v>
      </c>
      <c r="K643" s="6" t="s">
        <v>48</v>
      </c>
      <c r="L643" s="6" t="s">
        <v>705</v>
      </c>
      <c r="M643" s="6" t="s">
        <v>48</v>
      </c>
      <c r="N643" s="6" t="s">
        <v>28</v>
      </c>
      <c r="O643" s="6" t="s">
        <v>30</v>
      </c>
      <c r="P643" s="6" t="s">
        <v>48</v>
      </c>
      <c r="Q643" s="6" t="s">
        <v>48</v>
      </c>
      <c r="R643" s="6" t="s">
        <v>43</v>
      </c>
      <c r="S643" s="6" t="s">
        <v>54</v>
      </c>
      <c r="T643" s="6" t="s">
        <v>48</v>
      </c>
      <c r="U643" s="6" t="s">
        <v>28</v>
      </c>
      <c r="V643" s="6" t="s">
        <v>137</v>
      </c>
      <c r="W643" t="s">
        <v>352</v>
      </c>
    </row>
    <row r="644" spans="1:23" x14ac:dyDescent="0.3">
      <c r="A644" s="6" t="s">
        <v>163</v>
      </c>
      <c r="B644" s="1">
        <v>45660</v>
      </c>
      <c r="C644" s="6" t="s">
        <v>343</v>
      </c>
      <c r="D644" s="6" t="s">
        <v>43</v>
      </c>
      <c r="E644" s="6" t="s">
        <v>23</v>
      </c>
      <c r="F644" s="6" t="s">
        <v>24</v>
      </c>
      <c r="G644" s="6" t="s">
        <v>61</v>
      </c>
      <c r="H644" s="6" t="s">
        <v>48</v>
      </c>
      <c r="I644" s="6" t="s">
        <v>42</v>
      </c>
      <c r="J644" s="6" t="s">
        <v>43</v>
      </c>
      <c r="K644" s="6" t="s">
        <v>48</v>
      </c>
      <c r="L644" s="6" t="s">
        <v>705</v>
      </c>
      <c r="M644" s="6" t="s">
        <v>48</v>
      </c>
      <c r="N644" s="6" t="s">
        <v>28</v>
      </c>
      <c r="O644" s="6" t="s">
        <v>30</v>
      </c>
      <c r="P644" s="6" t="s">
        <v>48</v>
      </c>
      <c r="Q644" s="6" t="s">
        <v>48</v>
      </c>
      <c r="R644" s="6" t="s">
        <v>43</v>
      </c>
      <c r="S644" s="6" t="s">
        <v>54</v>
      </c>
      <c r="T644" s="6" t="s">
        <v>48</v>
      </c>
      <c r="U644" s="6" t="s">
        <v>28</v>
      </c>
      <c r="V644" s="6" t="s">
        <v>82</v>
      </c>
      <c r="W644" t="s">
        <v>352</v>
      </c>
    </row>
    <row r="645" spans="1:23" x14ac:dyDescent="0.3">
      <c r="A645" s="6" t="s">
        <v>164</v>
      </c>
      <c r="B645" s="1">
        <v>45662</v>
      </c>
      <c r="C645" s="6" t="s">
        <v>343</v>
      </c>
      <c r="D645" s="6" t="s">
        <v>60</v>
      </c>
      <c r="E645" s="6" t="s">
        <v>41</v>
      </c>
      <c r="F645" s="6" t="s">
        <v>24</v>
      </c>
      <c r="G645" s="6" t="s">
        <v>71</v>
      </c>
      <c r="H645" s="6" t="s">
        <v>26</v>
      </c>
      <c r="I645" s="6" t="s">
        <v>38</v>
      </c>
      <c r="J645" s="6" t="s">
        <v>60</v>
      </c>
      <c r="K645" s="6" t="s">
        <v>53</v>
      </c>
      <c r="L645" s="6" t="s">
        <v>54</v>
      </c>
      <c r="M645" s="6" t="s">
        <v>32</v>
      </c>
      <c r="N645" s="6" t="s">
        <v>28</v>
      </c>
      <c r="O645" s="6" t="s">
        <v>26</v>
      </c>
      <c r="P645" s="6" t="s">
        <v>788</v>
      </c>
      <c r="Q645" s="6" t="s">
        <v>31</v>
      </c>
      <c r="R645" s="6" t="s">
        <v>60</v>
      </c>
      <c r="S645" s="6" t="s">
        <v>54</v>
      </c>
      <c r="T645" s="6" t="s">
        <v>32</v>
      </c>
      <c r="U645" s="6" t="s">
        <v>28</v>
      </c>
      <c r="V645" s="6" t="s">
        <v>146</v>
      </c>
      <c r="W645" t="s">
        <v>352</v>
      </c>
    </row>
    <row r="646" spans="1:23" x14ac:dyDescent="0.3">
      <c r="A646" s="6" t="s">
        <v>165</v>
      </c>
      <c r="B646" s="1">
        <v>45663</v>
      </c>
      <c r="C646" s="6" t="s">
        <v>33</v>
      </c>
      <c r="D646" s="6" t="s">
        <v>40</v>
      </c>
      <c r="E646" s="6" t="s">
        <v>46</v>
      </c>
      <c r="F646" s="6" t="s">
        <v>24</v>
      </c>
      <c r="G646" s="6" t="s">
        <v>86</v>
      </c>
      <c r="H646" s="6" t="s">
        <v>48</v>
      </c>
      <c r="I646" s="6" t="s">
        <v>58</v>
      </c>
      <c r="J646" s="6" t="s">
        <v>40</v>
      </c>
      <c r="K646" s="6" t="s">
        <v>48</v>
      </c>
      <c r="L646" s="6" t="s">
        <v>54</v>
      </c>
      <c r="M646" s="6" t="s">
        <v>48</v>
      </c>
      <c r="N646" s="6" t="s">
        <v>28</v>
      </c>
      <c r="O646" s="6" t="s">
        <v>48</v>
      </c>
      <c r="P646" s="6" t="s">
        <v>48</v>
      </c>
      <c r="Q646" s="6" t="s">
        <v>48</v>
      </c>
      <c r="R646" s="6" t="s">
        <v>40</v>
      </c>
      <c r="S646" s="6" t="s">
        <v>54</v>
      </c>
      <c r="T646" s="6" t="s">
        <v>48</v>
      </c>
      <c r="U646" s="6" t="s">
        <v>116</v>
      </c>
      <c r="V646" s="6" t="s">
        <v>82</v>
      </c>
      <c r="W646" t="s">
        <v>352</v>
      </c>
    </row>
    <row r="647" spans="1:23" x14ac:dyDescent="0.3">
      <c r="A647" s="6" t="s">
        <v>166</v>
      </c>
      <c r="B647" s="1">
        <v>45663</v>
      </c>
      <c r="C647" s="6" t="s">
        <v>33</v>
      </c>
      <c r="D647" s="6" t="s">
        <v>91</v>
      </c>
      <c r="E647" s="6" t="s">
        <v>41</v>
      </c>
      <c r="F647" s="6" t="s">
        <v>24</v>
      </c>
      <c r="G647" s="6" t="s">
        <v>36</v>
      </c>
      <c r="H647" s="6" t="s">
        <v>26</v>
      </c>
      <c r="I647" s="6" t="s">
        <v>37</v>
      </c>
      <c r="J647" s="6" t="s">
        <v>91</v>
      </c>
      <c r="K647" s="6" t="s">
        <v>48</v>
      </c>
      <c r="L647" s="6" t="s">
        <v>704</v>
      </c>
      <c r="M647" s="6" t="s">
        <v>29</v>
      </c>
      <c r="N647" s="6" t="s">
        <v>28</v>
      </c>
      <c r="O647" s="6" t="s">
        <v>30</v>
      </c>
      <c r="P647" s="6" t="s">
        <v>45</v>
      </c>
      <c r="Q647" s="6" t="s">
        <v>31</v>
      </c>
      <c r="R647" s="6" t="s">
        <v>91</v>
      </c>
      <c r="S647" s="6" t="s">
        <v>128</v>
      </c>
      <c r="T647" s="6" t="s">
        <v>48</v>
      </c>
      <c r="U647" s="6" t="s">
        <v>28</v>
      </c>
      <c r="V647" s="6" t="s">
        <v>82</v>
      </c>
      <c r="W647" t="s">
        <v>352</v>
      </c>
    </row>
    <row r="648" spans="1:23" x14ac:dyDescent="0.3">
      <c r="A648" s="6" t="s">
        <v>167</v>
      </c>
      <c r="B648" s="1">
        <v>45665</v>
      </c>
      <c r="C648" s="6" t="s">
        <v>144</v>
      </c>
      <c r="D648" s="6" t="s">
        <v>22</v>
      </c>
      <c r="E648" s="6" t="s">
        <v>68</v>
      </c>
      <c r="F648" s="6" t="s">
        <v>24</v>
      </c>
      <c r="G648" s="6" t="s">
        <v>61</v>
      </c>
      <c r="H648" s="6" t="s">
        <v>48</v>
      </c>
      <c r="I648" s="6" t="s">
        <v>45</v>
      </c>
      <c r="J648" s="6" t="s">
        <v>49</v>
      </c>
      <c r="K648" s="6" t="s">
        <v>48</v>
      </c>
      <c r="L648" s="6" t="s">
        <v>54</v>
      </c>
      <c r="M648" s="6" t="s">
        <v>48</v>
      </c>
      <c r="N648" s="6" t="s">
        <v>28</v>
      </c>
      <c r="O648" s="6" t="s">
        <v>48</v>
      </c>
      <c r="P648" s="6" t="s">
        <v>58</v>
      </c>
      <c r="Q648" s="6" t="s">
        <v>31</v>
      </c>
      <c r="R648" s="6" t="s">
        <v>49</v>
      </c>
      <c r="S648" s="6" t="s">
        <v>54</v>
      </c>
      <c r="T648" s="6" t="s">
        <v>48</v>
      </c>
      <c r="U648" s="6" t="s">
        <v>28</v>
      </c>
      <c r="V648" s="6" t="s">
        <v>146</v>
      </c>
      <c r="W648" t="s">
        <v>352</v>
      </c>
    </row>
    <row r="649" spans="1:23" x14ac:dyDescent="0.3">
      <c r="A649" s="6" t="s">
        <v>167</v>
      </c>
      <c r="B649" s="1">
        <v>45665</v>
      </c>
      <c r="C649" s="6" t="s">
        <v>144</v>
      </c>
      <c r="D649" s="6" t="s">
        <v>22</v>
      </c>
      <c r="E649" s="6" t="s">
        <v>68</v>
      </c>
      <c r="F649" s="6" t="s">
        <v>24</v>
      </c>
      <c r="G649" s="6" t="s">
        <v>61</v>
      </c>
      <c r="H649" s="6" t="s">
        <v>48</v>
      </c>
      <c r="I649" s="6" t="s">
        <v>45</v>
      </c>
      <c r="J649" s="6" t="s">
        <v>49</v>
      </c>
      <c r="K649" s="6" t="s">
        <v>48</v>
      </c>
      <c r="L649" s="6" t="s">
        <v>54</v>
      </c>
      <c r="M649" s="6" t="s">
        <v>48</v>
      </c>
      <c r="N649" s="6" t="s">
        <v>28</v>
      </c>
      <c r="O649" s="6" t="s">
        <v>48</v>
      </c>
      <c r="P649" s="6" t="s">
        <v>58</v>
      </c>
      <c r="Q649" s="6" t="s">
        <v>31</v>
      </c>
      <c r="R649" s="6" t="s">
        <v>49</v>
      </c>
      <c r="S649" s="6" t="s">
        <v>54</v>
      </c>
      <c r="T649" s="6" t="s">
        <v>48</v>
      </c>
      <c r="U649" s="6" t="s">
        <v>28</v>
      </c>
      <c r="V649" s="6" t="s">
        <v>82</v>
      </c>
      <c r="W649" t="s">
        <v>352</v>
      </c>
    </row>
    <row r="650" spans="1:23" x14ac:dyDescent="0.3">
      <c r="A650" s="6" t="s">
        <v>168</v>
      </c>
      <c r="B650" s="1">
        <v>45666</v>
      </c>
      <c r="C650" s="6" t="s">
        <v>39</v>
      </c>
      <c r="D650" s="6" t="s">
        <v>60</v>
      </c>
      <c r="E650" s="6" t="s">
        <v>35</v>
      </c>
      <c r="F650" s="6" t="s">
        <v>24</v>
      </c>
      <c r="G650" s="6" t="s">
        <v>61</v>
      </c>
      <c r="H650" s="6" t="s">
        <v>26</v>
      </c>
      <c r="I650" s="6" t="s">
        <v>38</v>
      </c>
      <c r="J650" s="6" t="s">
        <v>60</v>
      </c>
      <c r="K650" s="6" t="s">
        <v>53</v>
      </c>
      <c r="L650" s="6" t="s">
        <v>54</v>
      </c>
      <c r="M650" s="6" t="s">
        <v>32</v>
      </c>
      <c r="N650" s="6" t="s">
        <v>28</v>
      </c>
      <c r="O650" s="6" t="s">
        <v>48</v>
      </c>
      <c r="P650" s="6" t="s">
        <v>48</v>
      </c>
      <c r="Q650" s="6" t="s">
        <v>48</v>
      </c>
      <c r="R650" s="6" t="s">
        <v>60</v>
      </c>
      <c r="S650" s="6" t="s">
        <v>54</v>
      </c>
      <c r="T650" s="6" t="s">
        <v>48</v>
      </c>
      <c r="U650" s="6" t="s">
        <v>59</v>
      </c>
      <c r="V650" s="6" t="s">
        <v>82</v>
      </c>
      <c r="W650" t="s">
        <v>352</v>
      </c>
    </row>
    <row r="651" spans="1:23" x14ac:dyDescent="0.3">
      <c r="A651" s="6" t="s">
        <v>169</v>
      </c>
      <c r="B651" s="1">
        <v>45667</v>
      </c>
      <c r="C651" s="6" t="s">
        <v>84</v>
      </c>
      <c r="D651" s="6" t="s">
        <v>22</v>
      </c>
      <c r="E651" s="6" t="s">
        <v>68</v>
      </c>
      <c r="F651" s="6" t="s">
        <v>24</v>
      </c>
      <c r="G651" s="6" t="s">
        <v>97</v>
      </c>
      <c r="H651" s="6" t="s">
        <v>26</v>
      </c>
      <c r="I651" s="6" t="s">
        <v>38</v>
      </c>
      <c r="J651" s="6" t="s">
        <v>22</v>
      </c>
      <c r="K651" s="6" t="s">
        <v>48</v>
      </c>
      <c r="L651" s="6" t="s">
        <v>54</v>
      </c>
      <c r="M651" s="6" t="s">
        <v>32</v>
      </c>
      <c r="N651" s="6" t="s">
        <v>28</v>
      </c>
      <c r="O651" s="6" t="s">
        <v>30</v>
      </c>
      <c r="P651" s="6" t="s">
        <v>48</v>
      </c>
      <c r="Q651" s="6" t="s">
        <v>48</v>
      </c>
      <c r="R651" s="6" t="s">
        <v>22</v>
      </c>
      <c r="S651" s="6" t="s">
        <v>54</v>
      </c>
      <c r="T651" s="6" t="s">
        <v>48</v>
      </c>
      <c r="U651" s="6" t="s">
        <v>28</v>
      </c>
      <c r="V651" s="6" t="s">
        <v>146</v>
      </c>
      <c r="W651" t="s">
        <v>352</v>
      </c>
    </row>
    <row r="652" spans="1:23" x14ac:dyDescent="0.3">
      <c r="A652" s="6" t="s">
        <v>169</v>
      </c>
      <c r="B652" s="1">
        <v>45667</v>
      </c>
      <c r="C652" s="6" t="s">
        <v>84</v>
      </c>
      <c r="D652" s="6" t="s">
        <v>22</v>
      </c>
      <c r="E652" s="6" t="s">
        <v>68</v>
      </c>
      <c r="F652" s="6" t="s">
        <v>24</v>
      </c>
      <c r="G652" s="6" t="s">
        <v>97</v>
      </c>
      <c r="H652" s="6" t="s">
        <v>26</v>
      </c>
      <c r="I652" s="6" t="s">
        <v>38</v>
      </c>
      <c r="J652" s="6" t="s">
        <v>22</v>
      </c>
      <c r="K652" s="6" t="s">
        <v>48</v>
      </c>
      <c r="L652" s="6" t="s">
        <v>54</v>
      </c>
      <c r="M652" s="6" t="s">
        <v>32</v>
      </c>
      <c r="N652" s="6" t="s">
        <v>28</v>
      </c>
      <c r="O652" s="6" t="s">
        <v>30</v>
      </c>
      <c r="P652" s="6" t="s">
        <v>48</v>
      </c>
      <c r="Q652" s="6" t="s">
        <v>48</v>
      </c>
      <c r="R652" s="6" t="s">
        <v>22</v>
      </c>
      <c r="S652" s="6" t="s">
        <v>54</v>
      </c>
      <c r="T652" s="6" t="s">
        <v>48</v>
      </c>
      <c r="U652" s="6" t="s">
        <v>28</v>
      </c>
      <c r="V652" s="6" t="s">
        <v>82</v>
      </c>
      <c r="W652" t="s">
        <v>352</v>
      </c>
    </row>
    <row r="653" spans="1:23" x14ac:dyDescent="0.3">
      <c r="A653" s="6" t="s">
        <v>170</v>
      </c>
      <c r="B653" s="1">
        <v>45667</v>
      </c>
      <c r="C653" s="6" t="s">
        <v>33</v>
      </c>
      <c r="D653" s="6" t="s">
        <v>83</v>
      </c>
      <c r="E653" s="6" t="s">
        <v>23</v>
      </c>
      <c r="F653" s="6" t="s">
        <v>24</v>
      </c>
      <c r="G653" s="6" t="s">
        <v>69</v>
      </c>
      <c r="H653" s="6" t="s">
        <v>26</v>
      </c>
      <c r="I653" s="6" t="s">
        <v>37</v>
      </c>
      <c r="J653" s="6" t="s">
        <v>83</v>
      </c>
      <c r="K653" s="6" t="s">
        <v>48</v>
      </c>
      <c r="L653" s="6" t="s">
        <v>152</v>
      </c>
      <c r="M653" s="6" t="s">
        <v>29</v>
      </c>
      <c r="N653" s="6" t="s">
        <v>28</v>
      </c>
      <c r="O653" s="6" t="s">
        <v>26</v>
      </c>
      <c r="P653" s="6" t="s">
        <v>52</v>
      </c>
      <c r="Q653" s="6" t="s">
        <v>31</v>
      </c>
      <c r="R653" s="6" t="s">
        <v>83</v>
      </c>
      <c r="S653" s="6" t="s">
        <v>128</v>
      </c>
      <c r="T653" s="6" t="s">
        <v>29</v>
      </c>
      <c r="U653" s="6" t="s">
        <v>28</v>
      </c>
      <c r="V653" s="6" t="s">
        <v>146</v>
      </c>
      <c r="W653" t="s">
        <v>352</v>
      </c>
    </row>
    <row r="654" spans="1:23" x14ac:dyDescent="0.3">
      <c r="A654" s="6" t="s">
        <v>170</v>
      </c>
      <c r="B654" s="1">
        <v>45667</v>
      </c>
      <c r="C654" s="6" t="s">
        <v>33</v>
      </c>
      <c r="D654" s="6" t="s">
        <v>83</v>
      </c>
      <c r="E654" s="6" t="s">
        <v>23</v>
      </c>
      <c r="F654" s="6" t="s">
        <v>24</v>
      </c>
      <c r="G654" s="6" t="s">
        <v>69</v>
      </c>
      <c r="H654" s="6" t="s">
        <v>26</v>
      </c>
      <c r="I654" s="6" t="s">
        <v>37</v>
      </c>
      <c r="J654" s="6" t="s">
        <v>83</v>
      </c>
      <c r="K654" s="6" t="s">
        <v>48</v>
      </c>
      <c r="L654" s="6" t="s">
        <v>152</v>
      </c>
      <c r="M654" s="6" t="s">
        <v>29</v>
      </c>
      <c r="N654" s="6" t="s">
        <v>28</v>
      </c>
      <c r="O654" s="6" t="s">
        <v>26</v>
      </c>
      <c r="P654" s="6" t="s">
        <v>52</v>
      </c>
      <c r="Q654" s="6" t="s">
        <v>31</v>
      </c>
      <c r="R654" s="6" t="s">
        <v>83</v>
      </c>
      <c r="S654" s="6" t="s">
        <v>128</v>
      </c>
      <c r="T654" s="6" t="s">
        <v>29</v>
      </c>
      <c r="U654" s="6" t="s">
        <v>28</v>
      </c>
      <c r="V654" s="6" t="s">
        <v>82</v>
      </c>
      <c r="W654" t="s">
        <v>352</v>
      </c>
    </row>
    <row r="655" spans="1:23" x14ac:dyDescent="0.3">
      <c r="A655" s="6" t="s">
        <v>171</v>
      </c>
      <c r="B655" s="1">
        <v>45667</v>
      </c>
      <c r="C655" s="6" t="s">
        <v>33</v>
      </c>
      <c r="D655" s="6" t="s">
        <v>60</v>
      </c>
      <c r="E655" s="6" t="s">
        <v>23</v>
      </c>
      <c r="F655" s="6" t="s">
        <v>24</v>
      </c>
      <c r="G655" s="6" t="s">
        <v>72</v>
      </c>
      <c r="H655" s="6" t="s">
        <v>26</v>
      </c>
      <c r="I655" s="6" t="s">
        <v>37</v>
      </c>
      <c r="J655" s="6" t="s">
        <v>60</v>
      </c>
      <c r="K655" s="6" t="s">
        <v>106</v>
      </c>
      <c r="L655" s="6" t="s">
        <v>152</v>
      </c>
      <c r="M655" s="6" t="s">
        <v>29</v>
      </c>
      <c r="N655" s="6" t="s">
        <v>28</v>
      </c>
      <c r="O655" s="6" t="s">
        <v>30</v>
      </c>
      <c r="P655" s="6" t="s">
        <v>27</v>
      </c>
      <c r="Q655" s="6" t="s">
        <v>31</v>
      </c>
      <c r="R655" s="6" t="s">
        <v>60</v>
      </c>
      <c r="S655" s="6" t="s">
        <v>54</v>
      </c>
      <c r="T655" s="6" t="s">
        <v>29</v>
      </c>
      <c r="U655" s="6" t="s">
        <v>28</v>
      </c>
      <c r="V655" s="6" t="s">
        <v>82</v>
      </c>
      <c r="W655" t="s">
        <v>352</v>
      </c>
    </row>
    <row r="656" spans="1:23" x14ac:dyDescent="0.3">
      <c r="A656" s="6" t="s">
        <v>172</v>
      </c>
      <c r="B656" s="1">
        <v>45668</v>
      </c>
      <c r="C656" s="6" t="s">
        <v>33</v>
      </c>
      <c r="D656" s="6" t="s">
        <v>122</v>
      </c>
      <c r="E656" s="6" t="s">
        <v>35</v>
      </c>
      <c r="F656" s="6" t="s">
        <v>24</v>
      </c>
      <c r="G656" s="6" t="s">
        <v>69</v>
      </c>
      <c r="H656" s="6" t="s">
        <v>26</v>
      </c>
      <c r="I656" s="6" t="s">
        <v>38</v>
      </c>
      <c r="J656" s="6" t="s">
        <v>122</v>
      </c>
      <c r="K656" s="6" t="s">
        <v>76</v>
      </c>
      <c r="L656" s="6" t="s">
        <v>54</v>
      </c>
      <c r="M656" s="6" t="s">
        <v>29</v>
      </c>
      <c r="N656" s="6" t="s">
        <v>28</v>
      </c>
      <c r="O656" s="6" t="s">
        <v>30</v>
      </c>
      <c r="P656" s="6" t="s">
        <v>45</v>
      </c>
      <c r="Q656" s="6" t="s">
        <v>31</v>
      </c>
      <c r="R656" s="6" t="s">
        <v>122</v>
      </c>
      <c r="S656" s="6" t="s">
        <v>54</v>
      </c>
      <c r="T656" s="6" t="s">
        <v>29</v>
      </c>
      <c r="U656" s="6" t="s">
        <v>28</v>
      </c>
      <c r="V656" s="6" t="s">
        <v>82</v>
      </c>
      <c r="W656" t="s">
        <v>352</v>
      </c>
    </row>
    <row r="657" spans="1:23" x14ac:dyDescent="0.3">
      <c r="A657" s="6" t="s">
        <v>173</v>
      </c>
      <c r="B657" s="1">
        <v>45669</v>
      </c>
      <c r="C657" s="6" t="s">
        <v>84</v>
      </c>
      <c r="D657" s="6" t="s">
        <v>113</v>
      </c>
      <c r="E657" s="6" t="s">
        <v>46</v>
      </c>
      <c r="F657" s="6" t="s">
        <v>24</v>
      </c>
      <c r="G657" s="6" t="s">
        <v>61</v>
      </c>
      <c r="H657" s="6" t="s">
        <v>48</v>
      </c>
      <c r="I657" s="6" t="s">
        <v>58</v>
      </c>
      <c r="J657" s="6" t="s">
        <v>113</v>
      </c>
      <c r="K657" s="6" t="s">
        <v>48</v>
      </c>
      <c r="L657" s="6" t="s">
        <v>54</v>
      </c>
      <c r="M657" s="6" t="s">
        <v>48</v>
      </c>
      <c r="N657" s="6" t="s">
        <v>28</v>
      </c>
      <c r="O657" s="6" t="s">
        <v>26</v>
      </c>
      <c r="P657" s="6" t="s">
        <v>48</v>
      </c>
      <c r="Q657" s="6" t="s">
        <v>48</v>
      </c>
      <c r="R657" s="6" t="s">
        <v>113</v>
      </c>
      <c r="S657" s="6" t="s">
        <v>54</v>
      </c>
      <c r="T657" s="6" t="s">
        <v>48</v>
      </c>
      <c r="U657" s="6" t="s">
        <v>28</v>
      </c>
      <c r="V657" s="6" t="s">
        <v>146</v>
      </c>
      <c r="W657" t="s">
        <v>352</v>
      </c>
    </row>
    <row r="658" spans="1:23" x14ac:dyDescent="0.3">
      <c r="A658" s="6" t="s">
        <v>173</v>
      </c>
      <c r="B658" s="1">
        <v>45669</v>
      </c>
      <c r="C658" s="6" t="s">
        <v>84</v>
      </c>
      <c r="D658" s="6" t="s">
        <v>113</v>
      </c>
      <c r="E658" s="6" t="s">
        <v>46</v>
      </c>
      <c r="F658" s="6" t="s">
        <v>24</v>
      </c>
      <c r="G658" s="6" t="s">
        <v>61</v>
      </c>
      <c r="H658" s="6" t="s">
        <v>48</v>
      </c>
      <c r="I658" s="6" t="s">
        <v>58</v>
      </c>
      <c r="J658" s="6" t="s">
        <v>113</v>
      </c>
      <c r="K658" s="6" t="s">
        <v>48</v>
      </c>
      <c r="L658" s="6" t="s">
        <v>54</v>
      </c>
      <c r="M658" s="6" t="s">
        <v>48</v>
      </c>
      <c r="N658" s="6" t="s">
        <v>28</v>
      </c>
      <c r="O658" s="6" t="s">
        <v>26</v>
      </c>
      <c r="P658" s="6" t="s">
        <v>48</v>
      </c>
      <c r="Q658" s="6" t="s">
        <v>48</v>
      </c>
      <c r="R658" s="6" t="s">
        <v>113</v>
      </c>
      <c r="S658" s="6" t="s">
        <v>54</v>
      </c>
      <c r="T658" s="6" t="s">
        <v>48</v>
      </c>
      <c r="U658" s="6" t="s">
        <v>28</v>
      </c>
      <c r="V658" s="6" t="s">
        <v>82</v>
      </c>
      <c r="W658" t="s">
        <v>352</v>
      </c>
    </row>
    <row r="659" spans="1:23" x14ac:dyDescent="0.3">
      <c r="A659" s="6" t="s">
        <v>174</v>
      </c>
      <c r="B659" s="1">
        <v>45670</v>
      </c>
      <c r="C659" s="6" t="s">
        <v>39</v>
      </c>
      <c r="D659" s="6" t="s">
        <v>83</v>
      </c>
      <c r="E659" s="6" t="s">
        <v>68</v>
      </c>
      <c r="F659" s="6" t="s">
        <v>24</v>
      </c>
      <c r="G659" s="6" t="s">
        <v>61</v>
      </c>
      <c r="H659" s="6" t="s">
        <v>48</v>
      </c>
      <c r="I659" s="6" t="s">
        <v>58</v>
      </c>
      <c r="J659" s="6" t="s">
        <v>83</v>
      </c>
      <c r="K659" s="6" t="s">
        <v>48</v>
      </c>
      <c r="L659" s="6" t="s">
        <v>54</v>
      </c>
      <c r="M659" s="6" t="s">
        <v>48</v>
      </c>
      <c r="N659" s="6" t="s">
        <v>28</v>
      </c>
      <c r="O659" s="6" t="s">
        <v>26</v>
      </c>
      <c r="P659" s="6" t="s">
        <v>45</v>
      </c>
      <c r="Q659" s="6" t="s">
        <v>31</v>
      </c>
      <c r="R659" s="6" t="s">
        <v>83</v>
      </c>
      <c r="S659" s="6" t="s">
        <v>54</v>
      </c>
      <c r="T659" s="6" t="s">
        <v>29</v>
      </c>
      <c r="U659" s="6" t="s">
        <v>28</v>
      </c>
      <c r="V659" s="6" t="s">
        <v>146</v>
      </c>
      <c r="W659" t="s">
        <v>352</v>
      </c>
    </row>
    <row r="660" spans="1:23" x14ac:dyDescent="0.3">
      <c r="A660" s="6" t="s">
        <v>175</v>
      </c>
      <c r="B660" s="1">
        <v>45670</v>
      </c>
      <c r="C660" s="6" t="s">
        <v>33</v>
      </c>
      <c r="D660" s="6" t="s">
        <v>93</v>
      </c>
      <c r="E660" s="6" t="s">
        <v>68</v>
      </c>
      <c r="F660" s="6" t="s">
        <v>24</v>
      </c>
      <c r="G660" s="6" t="s">
        <v>61</v>
      </c>
      <c r="H660" s="6" t="s">
        <v>48</v>
      </c>
      <c r="I660" s="6" t="s">
        <v>37</v>
      </c>
      <c r="J660" s="6" t="s">
        <v>93</v>
      </c>
      <c r="K660" s="6" t="s">
        <v>48</v>
      </c>
      <c r="L660" s="6" t="s">
        <v>54</v>
      </c>
      <c r="M660" s="6" t="s">
        <v>48</v>
      </c>
      <c r="N660" s="6" t="s">
        <v>28</v>
      </c>
      <c r="O660" s="6" t="s">
        <v>48</v>
      </c>
      <c r="P660" s="6" t="s">
        <v>48</v>
      </c>
      <c r="Q660" s="6" t="s">
        <v>48</v>
      </c>
      <c r="R660" s="6" t="s">
        <v>93</v>
      </c>
      <c r="S660" s="6" t="s">
        <v>54</v>
      </c>
      <c r="T660" s="6" t="s">
        <v>48</v>
      </c>
      <c r="U660" s="6" t="s">
        <v>28</v>
      </c>
      <c r="V660" s="6" t="s">
        <v>82</v>
      </c>
      <c r="W660" t="s">
        <v>352</v>
      </c>
    </row>
    <row r="661" spans="1:23" x14ac:dyDescent="0.3">
      <c r="A661" s="6" t="s">
        <v>175</v>
      </c>
      <c r="B661" s="1">
        <v>45670</v>
      </c>
      <c r="C661" s="6" t="s">
        <v>33</v>
      </c>
      <c r="D661" s="6" t="s">
        <v>93</v>
      </c>
      <c r="E661" s="6" t="s">
        <v>68</v>
      </c>
      <c r="F661" s="6" t="s">
        <v>24</v>
      </c>
      <c r="G661" s="6" t="s">
        <v>61</v>
      </c>
      <c r="H661" s="6" t="s">
        <v>48</v>
      </c>
      <c r="I661" s="6" t="s">
        <v>37</v>
      </c>
      <c r="J661" s="6" t="s">
        <v>93</v>
      </c>
      <c r="K661" s="6" t="s">
        <v>48</v>
      </c>
      <c r="L661" s="6" t="s">
        <v>54</v>
      </c>
      <c r="M661" s="6" t="s">
        <v>48</v>
      </c>
      <c r="N661" s="6" t="s">
        <v>28</v>
      </c>
      <c r="O661" s="6" t="s">
        <v>48</v>
      </c>
      <c r="P661" s="6" t="s">
        <v>48</v>
      </c>
      <c r="Q661" s="6" t="s">
        <v>48</v>
      </c>
      <c r="R661" s="6" t="s">
        <v>93</v>
      </c>
      <c r="S661" s="6" t="s">
        <v>54</v>
      </c>
      <c r="T661" s="6" t="s">
        <v>48</v>
      </c>
      <c r="U661" s="6" t="s">
        <v>28</v>
      </c>
      <c r="V661" s="6" t="s">
        <v>146</v>
      </c>
      <c r="W661" t="s">
        <v>352</v>
      </c>
    </row>
    <row r="662" spans="1:23" x14ac:dyDescent="0.3">
      <c r="A662" s="6" t="s">
        <v>175</v>
      </c>
      <c r="B662" s="1">
        <v>45670</v>
      </c>
      <c r="C662" s="6" t="s">
        <v>33</v>
      </c>
      <c r="D662" s="6" t="s">
        <v>93</v>
      </c>
      <c r="E662" s="6" t="s">
        <v>68</v>
      </c>
      <c r="F662" s="6" t="s">
        <v>24</v>
      </c>
      <c r="G662" s="6" t="s">
        <v>61</v>
      </c>
      <c r="H662" s="6" t="s">
        <v>48</v>
      </c>
      <c r="I662" s="6" t="s">
        <v>37</v>
      </c>
      <c r="J662" s="6" t="s">
        <v>93</v>
      </c>
      <c r="K662" s="6" t="s">
        <v>48</v>
      </c>
      <c r="L662" s="6" t="s">
        <v>54</v>
      </c>
      <c r="M662" s="6" t="s">
        <v>48</v>
      </c>
      <c r="N662" s="6" t="s">
        <v>28</v>
      </c>
      <c r="O662" s="6" t="s">
        <v>48</v>
      </c>
      <c r="P662" s="6" t="s">
        <v>48</v>
      </c>
      <c r="Q662" s="6" t="s">
        <v>48</v>
      </c>
      <c r="R662" s="6" t="s">
        <v>93</v>
      </c>
      <c r="S662" s="6" t="s">
        <v>54</v>
      </c>
      <c r="T662" s="6" t="s">
        <v>48</v>
      </c>
      <c r="U662" s="6" t="s">
        <v>28</v>
      </c>
      <c r="V662" s="6" t="s">
        <v>137</v>
      </c>
      <c r="W662" t="s">
        <v>352</v>
      </c>
    </row>
    <row r="663" spans="1:23" x14ac:dyDescent="0.3">
      <c r="A663" s="6" t="s">
        <v>176</v>
      </c>
      <c r="B663" s="1">
        <v>45672</v>
      </c>
      <c r="C663" s="6" t="s">
        <v>343</v>
      </c>
      <c r="D663" s="6" t="s">
        <v>22</v>
      </c>
      <c r="E663" s="6" t="s">
        <v>68</v>
      </c>
      <c r="F663" s="6" t="s">
        <v>24</v>
      </c>
      <c r="G663" s="6" t="s">
        <v>61</v>
      </c>
      <c r="H663" s="6" t="s">
        <v>26</v>
      </c>
      <c r="I663" s="6" t="s">
        <v>38</v>
      </c>
      <c r="J663" s="6" t="s">
        <v>22</v>
      </c>
      <c r="K663" s="6" t="s">
        <v>48</v>
      </c>
      <c r="L663" s="6" t="s">
        <v>54</v>
      </c>
      <c r="M663" s="6" t="s">
        <v>48</v>
      </c>
      <c r="N663" s="6" t="s">
        <v>28</v>
      </c>
      <c r="O663" s="6" t="s">
        <v>48</v>
      </c>
      <c r="P663" s="6" t="s">
        <v>48</v>
      </c>
      <c r="Q663" s="6" t="s">
        <v>48</v>
      </c>
      <c r="R663" s="6" t="s">
        <v>22</v>
      </c>
      <c r="S663" s="6" t="s">
        <v>54</v>
      </c>
      <c r="T663" s="6" t="s">
        <v>48</v>
      </c>
      <c r="U663" s="6" t="s">
        <v>150</v>
      </c>
      <c r="V663" s="6" t="s">
        <v>82</v>
      </c>
      <c r="W663" t="s">
        <v>352</v>
      </c>
    </row>
    <row r="664" spans="1:23" x14ac:dyDescent="0.3">
      <c r="A664" s="6" t="s">
        <v>177</v>
      </c>
      <c r="B664" s="1">
        <v>45672</v>
      </c>
      <c r="C664" s="6" t="s">
        <v>343</v>
      </c>
      <c r="D664" s="6" t="s">
        <v>22</v>
      </c>
      <c r="E664" s="6" t="s">
        <v>68</v>
      </c>
      <c r="F664" s="6" t="s">
        <v>24</v>
      </c>
      <c r="G664" s="6" t="s">
        <v>61</v>
      </c>
      <c r="H664" s="6" t="s">
        <v>26</v>
      </c>
      <c r="I664" s="6" t="s">
        <v>27</v>
      </c>
      <c r="J664" s="6" t="s">
        <v>22</v>
      </c>
      <c r="K664" s="6" t="s">
        <v>48</v>
      </c>
      <c r="L664" s="6" t="s">
        <v>54</v>
      </c>
      <c r="M664" s="6" t="s">
        <v>29</v>
      </c>
      <c r="N664" s="6" t="s">
        <v>28</v>
      </c>
      <c r="O664" s="6" t="s">
        <v>48</v>
      </c>
      <c r="P664" s="6" t="s">
        <v>48</v>
      </c>
      <c r="Q664" s="6" t="s">
        <v>48</v>
      </c>
      <c r="R664" s="6" t="s">
        <v>22</v>
      </c>
      <c r="S664" s="6" t="s">
        <v>54</v>
      </c>
      <c r="T664" s="6" t="s">
        <v>48</v>
      </c>
      <c r="U664" s="6" t="s">
        <v>126</v>
      </c>
      <c r="V664" s="6" t="s">
        <v>82</v>
      </c>
      <c r="W664" t="s">
        <v>352</v>
      </c>
    </row>
    <row r="665" spans="1:23" x14ac:dyDescent="0.3">
      <c r="A665" s="6" t="s">
        <v>178</v>
      </c>
      <c r="B665" s="1">
        <v>45672</v>
      </c>
      <c r="C665" s="6" t="s">
        <v>343</v>
      </c>
      <c r="D665" s="6" t="s">
        <v>22</v>
      </c>
      <c r="E665" s="6" t="s">
        <v>64</v>
      </c>
      <c r="F665" s="6" t="s">
        <v>24</v>
      </c>
      <c r="G665" s="6" t="s">
        <v>51</v>
      </c>
      <c r="H665" s="6" t="s">
        <v>26</v>
      </c>
      <c r="I665" s="6" t="s">
        <v>38</v>
      </c>
      <c r="J665" s="6" t="s">
        <v>22</v>
      </c>
      <c r="K665" s="6" t="s">
        <v>80</v>
      </c>
      <c r="L665" s="6" t="s">
        <v>54</v>
      </c>
      <c r="M665" s="6" t="s">
        <v>48</v>
      </c>
      <c r="N665" s="6" t="s">
        <v>28</v>
      </c>
      <c r="O665" s="6" t="s">
        <v>48</v>
      </c>
      <c r="P665" s="6" t="s">
        <v>48</v>
      </c>
      <c r="Q665" s="6" t="s">
        <v>48</v>
      </c>
      <c r="R665" s="6" t="s">
        <v>22</v>
      </c>
      <c r="S665" s="6" t="s">
        <v>54</v>
      </c>
      <c r="T665" s="6" t="s">
        <v>48</v>
      </c>
      <c r="U665" s="6" t="s">
        <v>74</v>
      </c>
      <c r="V665" s="6" t="s">
        <v>137</v>
      </c>
      <c r="W665" t="s">
        <v>352</v>
      </c>
    </row>
    <row r="666" spans="1:23" x14ac:dyDescent="0.3">
      <c r="A666" s="6" t="s">
        <v>179</v>
      </c>
      <c r="B666" s="1">
        <v>45672</v>
      </c>
      <c r="C666" s="6" t="s">
        <v>343</v>
      </c>
      <c r="D666" s="6" t="s">
        <v>22</v>
      </c>
      <c r="E666" s="6" t="s">
        <v>35</v>
      </c>
      <c r="F666" s="6" t="s">
        <v>24</v>
      </c>
      <c r="G666" s="6" t="s">
        <v>72</v>
      </c>
      <c r="H666" s="6" t="s">
        <v>26</v>
      </c>
      <c r="I666" s="6" t="s">
        <v>27</v>
      </c>
      <c r="J666" s="6" t="s">
        <v>22</v>
      </c>
      <c r="K666" s="6" t="s">
        <v>48</v>
      </c>
      <c r="L666" s="6" t="s">
        <v>54</v>
      </c>
      <c r="M666" s="6" t="s">
        <v>48</v>
      </c>
      <c r="N666" s="6" t="s">
        <v>28</v>
      </c>
      <c r="O666" s="6" t="s">
        <v>30</v>
      </c>
      <c r="P666" s="6" t="s">
        <v>38</v>
      </c>
      <c r="Q666" s="6" t="s">
        <v>31</v>
      </c>
      <c r="R666" s="6" t="s">
        <v>22</v>
      </c>
      <c r="S666" s="6" t="s">
        <v>54</v>
      </c>
      <c r="T666" s="6" t="s">
        <v>32</v>
      </c>
      <c r="U666" s="6" t="s">
        <v>28</v>
      </c>
      <c r="V666" s="6" t="s">
        <v>82</v>
      </c>
      <c r="W666" t="s">
        <v>352</v>
      </c>
    </row>
    <row r="667" spans="1:23" x14ac:dyDescent="0.3">
      <c r="A667" s="6" t="s">
        <v>180</v>
      </c>
      <c r="B667" s="1">
        <v>45673</v>
      </c>
      <c r="C667" s="6" t="s">
        <v>343</v>
      </c>
      <c r="D667" s="6" t="s">
        <v>60</v>
      </c>
      <c r="E667" s="6" t="s">
        <v>23</v>
      </c>
      <c r="F667" s="6" t="s">
        <v>24</v>
      </c>
      <c r="G667" s="6" t="s">
        <v>69</v>
      </c>
      <c r="H667" s="6" t="s">
        <v>48</v>
      </c>
      <c r="I667" s="6" t="s">
        <v>27</v>
      </c>
      <c r="J667" s="6" t="s">
        <v>60</v>
      </c>
      <c r="K667" s="6" t="s">
        <v>48</v>
      </c>
      <c r="L667" s="6" t="s">
        <v>54</v>
      </c>
      <c r="M667" s="6" t="s">
        <v>48</v>
      </c>
      <c r="N667" s="6" t="s">
        <v>28</v>
      </c>
      <c r="O667" s="6" t="s">
        <v>26</v>
      </c>
      <c r="P667" s="6" t="s">
        <v>52</v>
      </c>
      <c r="Q667" s="6" t="s">
        <v>31</v>
      </c>
      <c r="R667" s="6" t="s">
        <v>60</v>
      </c>
      <c r="S667" s="6" t="s">
        <v>54</v>
      </c>
      <c r="T667" s="6" t="s">
        <v>29</v>
      </c>
      <c r="U667" s="6" t="s">
        <v>28</v>
      </c>
      <c r="V667" s="6" t="s">
        <v>146</v>
      </c>
      <c r="W667" t="s">
        <v>352</v>
      </c>
    </row>
    <row r="668" spans="1:23" x14ac:dyDescent="0.3">
      <c r="A668" s="6" t="s">
        <v>181</v>
      </c>
      <c r="B668" s="1">
        <v>45674</v>
      </c>
      <c r="C668" s="6" t="s">
        <v>33</v>
      </c>
      <c r="D668" s="6" t="s">
        <v>50</v>
      </c>
      <c r="E668" s="6" t="s">
        <v>35</v>
      </c>
      <c r="F668" s="6" t="s">
        <v>24</v>
      </c>
      <c r="G668" s="6" t="s">
        <v>69</v>
      </c>
      <c r="H668" s="6" t="s">
        <v>26</v>
      </c>
      <c r="I668" s="6" t="s">
        <v>45</v>
      </c>
      <c r="J668" s="6" t="s">
        <v>50</v>
      </c>
      <c r="K668" s="6" t="s">
        <v>80</v>
      </c>
      <c r="L668" s="6" t="s">
        <v>128</v>
      </c>
      <c r="M668" s="6" t="s">
        <v>29</v>
      </c>
      <c r="N668" s="6" t="s">
        <v>63</v>
      </c>
      <c r="O668" s="6" t="s">
        <v>26</v>
      </c>
      <c r="P668" s="6" t="s">
        <v>788</v>
      </c>
      <c r="Q668" s="6" t="s">
        <v>31</v>
      </c>
      <c r="R668" s="6" t="s">
        <v>50</v>
      </c>
      <c r="S668" s="6" t="s">
        <v>54</v>
      </c>
      <c r="T668" s="6" t="s">
        <v>48</v>
      </c>
      <c r="U668" s="6" t="s">
        <v>28</v>
      </c>
      <c r="V668" s="6" t="s">
        <v>146</v>
      </c>
      <c r="W668" t="s">
        <v>352</v>
      </c>
    </row>
    <row r="669" spans="1:23" x14ac:dyDescent="0.3">
      <c r="A669" s="6" t="s">
        <v>183</v>
      </c>
      <c r="B669" s="1">
        <v>45674</v>
      </c>
      <c r="C669" s="6" t="s">
        <v>33</v>
      </c>
      <c r="D669" s="6" t="s">
        <v>79</v>
      </c>
      <c r="E669" s="6" t="s">
        <v>35</v>
      </c>
      <c r="F669" s="6" t="s">
        <v>24</v>
      </c>
      <c r="G669" s="6" t="s">
        <v>69</v>
      </c>
      <c r="H669" s="6" t="s">
        <v>26</v>
      </c>
      <c r="I669" s="6" t="s">
        <v>38</v>
      </c>
      <c r="J669" s="6" t="s">
        <v>79</v>
      </c>
      <c r="K669" s="6" t="s">
        <v>141</v>
      </c>
      <c r="L669" s="6" t="s">
        <v>152</v>
      </c>
      <c r="M669" s="6" t="s">
        <v>32</v>
      </c>
      <c r="N669" s="6" t="s">
        <v>28</v>
      </c>
      <c r="O669" s="6" t="s">
        <v>30</v>
      </c>
      <c r="P669" s="6" t="s">
        <v>45</v>
      </c>
      <c r="Q669" s="6" t="s">
        <v>31</v>
      </c>
      <c r="R669" s="6" t="s">
        <v>79</v>
      </c>
      <c r="S669" s="6" t="s">
        <v>128</v>
      </c>
      <c r="T669" s="6" t="s">
        <v>32</v>
      </c>
      <c r="U669" s="6" t="s">
        <v>28</v>
      </c>
      <c r="V669" s="6" t="s">
        <v>146</v>
      </c>
      <c r="W669" t="s">
        <v>352</v>
      </c>
    </row>
    <row r="670" spans="1:23" x14ac:dyDescent="0.3">
      <c r="A670" s="6" t="s">
        <v>184</v>
      </c>
      <c r="B670" s="1">
        <v>45674</v>
      </c>
      <c r="C670" s="6" t="s">
        <v>33</v>
      </c>
      <c r="D670" s="6" t="s">
        <v>79</v>
      </c>
      <c r="E670" s="6" t="s">
        <v>35</v>
      </c>
      <c r="F670" s="6" t="s">
        <v>24</v>
      </c>
      <c r="G670" s="6" t="s">
        <v>69</v>
      </c>
      <c r="H670" s="6" t="s">
        <v>26</v>
      </c>
      <c r="I670" s="6" t="s">
        <v>38</v>
      </c>
      <c r="J670" s="6" t="s">
        <v>79</v>
      </c>
      <c r="K670" s="6" t="s">
        <v>141</v>
      </c>
      <c r="L670" s="6" t="s">
        <v>152</v>
      </c>
      <c r="M670" s="6" t="s">
        <v>32</v>
      </c>
      <c r="N670" s="6" t="s">
        <v>28</v>
      </c>
      <c r="O670" s="6" t="s">
        <v>26</v>
      </c>
      <c r="P670" s="6" t="s">
        <v>788</v>
      </c>
      <c r="Q670" s="6" t="s">
        <v>31</v>
      </c>
      <c r="R670" s="6" t="s">
        <v>79</v>
      </c>
      <c r="S670" s="6" t="s">
        <v>128</v>
      </c>
      <c r="T670" s="6" t="s">
        <v>32</v>
      </c>
      <c r="U670" s="6" t="s">
        <v>28</v>
      </c>
      <c r="V670" s="6" t="s">
        <v>146</v>
      </c>
      <c r="W670" t="s">
        <v>352</v>
      </c>
    </row>
    <row r="671" spans="1:23" x14ac:dyDescent="0.3">
      <c r="A671" s="6" t="s">
        <v>182</v>
      </c>
      <c r="B671" s="1">
        <v>45674</v>
      </c>
      <c r="C671" s="6" t="s">
        <v>33</v>
      </c>
      <c r="D671" s="6" t="s">
        <v>79</v>
      </c>
      <c r="E671" s="6" t="s">
        <v>35</v>
      </c>
      <c r="F671" s="6" t="s">
        <v>24</v>
      </c>
      <c r="G671" s="6" t="s">
        <v>69</v>
      </c>
      <c r="H671" s="6" t="s">
        <v>26</v>
      </c>
      <c r="I671" s="6" t="s">
        <v>38</v>
      </c>
      <c r="J671" s="6" t="s">
        <v>79</v>
      </c>
      <c r="K671" s="6" t="s">
        <v>141</v>
      </c>
      <c r="L671" s="6" t="s">
        <v>152</v>
      </c>
      <c r="M671" s="6" t="s">
        <v>32</v>
      </c>
      <c r="N671" s="6" t="s">
        <v>28</v>
      </c>
      <c r="O671" s="6" t="s">
        <v>26</v>
      </c>
      <c r="P671" s="6" t="s">
        <v>52</v>
      </c>
      <c r="Q671" s="6" t="s">
        <v>31</v>
      </c>
      <c r="R671" s="6" t="s">
        <v>79</v>
      </c>
      <c r="S671" s="6" t="s">
        <v>128</v>
      </c>
      <c r="T671" s="6" t="s">
        <v>32</v>
      </c>
      <c r="U671" s="6" t="s">
        <v>28</v>
      </c>
      <c r="V671" s="6" t="s">
        <v>146</v>
      </c>
      <c r="W671" t="s">
        <v>352</v>
      </c>
    </row>
    <row r="672" spans="1:23" x14ac:dyDescent="0.3">
      <c r="A672" s="6" t="s">
        <v>185</v>
      </c>
      <c r="B672" s="1">
        <v>45674</v>
      </c>
      <c r="C672" s="6" t="s">
        <v>33</v>
      </c>
      <c r="D672" s="6" t="s">
        <v>79</v>
      </c>
      <c r="E672" s="6" t="s">
        <v>35</v>
      </c>
      <c r="F672" s="6" t="s">
        <v>24</v>
      </c>
      <c r="G672" s="6" t="s">
        <v>69</v>
      </c>
      <c r="H672" s="6" t="s">
        <v>26</v>
      </c>
      <c r="I672" s="6" t="s">
        <v>38</v>
      </c>
      <c r="J672" s="6" t="s">
        <v>79</v>
      </c>
      <c r="K672" s="6" t="s">
        <v>141</v>
      </c>
      <c r="L672" s="6" t="s">
        <v>152</v>
      </c>
      <c r="M672" s="6" t="s">
        <v>32</v>
      </c>
      <c r="N672" s="6" t="s">
        <v>28</v>
      </c>
      <c r="O672" s="6" t="s">
        <v>30</v>
      </c>
      <c r="P672" s="6" t="s">
        <v>38</v>
      </c>
      <c r="Q672" s="6" t="s">
        <v>31</v>
      </c>
      <c r="R672" s="6" t="s">
        <v>79</v>
      </c>
      <c r="S672" s="6" t="s">
        <v>128</v>
      </c>
      <c r="T672" s="6" t="s">
        <v>32</v>
      </c>
      <c r="U672" s="6" t="s">
        <v>28</v>
      </c>
      <c r="V672" s="6" t="s">
        <v>146</v>
      </c>
      <c r="W672" t="s">
        <v>352</v>
      </c>
    </row>
    <row r="673" spans="1:23" x14ac:dyDescent="0.3">
      <c r="A673" s="6" t="s">
        <v>186</v>
      </c>
      <c r="B673" s="1">
        <v>45674</v>
      </c>
      <c r="C673" s="6" t="s">
        <v>57</v>
      </c>
      <c r="D673" s="6" t="s">
        <v>43</v>
      </c>
      <c r="E673" s="6" t="s">
        <v>64</v>
      </c>
      <c r="F673" s="6" t="s">
        <v>24</v>
      </c>
      <c r="G673" s="6" t="s">
        <v>61</v>
      </c>
      <c r="H673" s="6" t="s">
        <v>26</v>
      </c>
      <c r="I673" s="6" t="s">
        <v>42</v>
      </c>
      <c r="J673" s="6" t="s">
        <v>43</v>
      </c>
      <c r="K673" s="6" t="s">
        <v>48</v>
      </c>
      <c r="L673" s="6" t="s">
        <v>54</v>
      </c>
      <c r="M673" s="6" t="s">
        <v>29</v>
      </c>
      <c r="N673" s="6" t="s">
        <v>28</v>
      </c>
      <c r="O673" s="6" t="s">
        <v>30</v>
      </c>
      <c r="P673" s="6" t="s">
        <v>27</v>
      </c>
      <c r="Q673" s="6" t="s">
        <v>31</v>
      </c>
      <c r="R673" s="6" t="s">
        <v>43</v>
      </c>
      <c r="S673" s="6" t="s">
        <v>54</v>
      </c>
      <c r="T673" s="6" t="s">
        <v>55</v>
      </c>
      <c r="U673" s="6" t="s">
        <v>28</v>
      </c>
      <c r="V673" s="6" t="s">
        <v>82</v>
      </c>
      <c r="W673" t="s">
        <v>352</v>
      </c>
    </row>
    <row r="674" spans="1:23" x14ac:dyDescent="0.3">
      <c r="A674" s="6" t="s">
        <v>187</v>
      </c>
      <c r="B674" s="1">
        <v>45674</v>
      </c>
      <c r="C674" s="6" t="s">
        <v>33</v>
      </c>
      <c r="D674" s="6" t="s">
        <v>40</v>
      </c>
      <c r="E674" s="6" t="s">
        <v>68</v>
      </c>
      <c r="F674" s="6" t="s">
        <v>24</v>
      </c>
      <c r="G674" s="6" t="s">
        <v>61</v>
      </c>
      <c r="H674" s="6" t="s">
        <v>26</v>
      </c>
      <c r="I674" s="6" t="s">
        <v>45</v>
      </c>
      <c r="J674" s="6" t="s">
        <v>40</v>
      </c>
      <c r="K674" s="6" t="s">
        <v>48</v>
      </c>
      <c r="L674" s="6" t="s">
        <v>153</v>
      </c>
      <c r="M674" s="6" t="s">
        <v>29</v>
      </c>
      <c r="N674" s="6" t="s">
        <v>28</v>
      </c>
      <c r="O674" s="6" t="s">
        <v>48</v>
      </c>
      <c r="P674" s="6" t="s">
        <v>48</v>
      </c>
      <c r="Q674" s="6" t="s">
        <v>48</v>
      </c>
      <c r="R674" s="6" t="s">
        <v>40</v>
      </c>
      <c r="S674" s="6" t="s">
        <v>54</v>
      </c>
      <c r="T674" s="6" t="s">
        <v>48</v>
      </c>
      <c r="U674" s="6" t="s">
        <v>28</v>
      </c>
      <c r="V674" s="6" t="s">
        <v>82</v>
      </c>
      <c r="W674" t="s">
        <v>352</v>
      </c>
    </row>
    <row r="675" spans="1:23" x14ac:dyDescent="0.3">
      <c r="A675" s="6" t="s">
        <v>188</v>
      </c>
      <c r="B675" s="1">
        <v>45674</v>
      </c>
      <c r="C675" s="6" t="s">
        <v>84</v>
      </c>
      <c r="D675" s="6" t="s">
        <v>48</v>
      </c>
      <c r="E675" s="6" t="s">
        <v>35</v>
      </c>
      <c r="F675" s="6" t="s">
        <v>24</v>
      </c>
      <c r="G675" s="6" t="s">
        <v>72</v>
      </c>
      <c r="H675" s="6" t="s">
        <v>26</v>
      </c>
      <c r="I675" s="6" t="s">
        <v>37</v>
      </c>
      <c r="J675" s="6" t="s">
        <v>60</v>
      </c>
      <c r="K675" s="6" t="s">
        <v>76</v>
      </c>
      <c r="L675" s="6" t="s">
        <v>152</v>
      </c>
      <c r="M675" s="6" t="s">
        <v>55</v>
      </c>
      <c r="N675" s="6" t="s">
        <v>28</v>
      </c>
      <c r="O675" s="6" t="s">
        <v>30</v>
      </c>
      <c r="P675" s="6" t="s">
        <v>38</v>
      </c>
      <c r="Q675" s="6" t="s">
        <v>31</v>
      </c>
      <c r="R675" s="6" t="s">
        <v>60</v>
      </c>
      <c r="S675" s="6" t="s">
        <v>54</v>
      </c>
      <c r="T675" s="6" t="s">
        <v>55</v>
      </c>
      <c r="U675" s="6" t="s">
        <v>28</v>
      </c>
      <c r="V675" s="6" t="s">
        <v>82</v>
      </c>
      <c r="W675" t="s">
        <v>352</v>
      </c>
    </row>
    <row r="676" spans="1:23" x14ac:dyDescent="0.3">
      <c r="A676" s="6" t="s">
        <v>189</v>
      </c>
      <c r="B676" s="1">
        <v>45674</v>
      </c>
      <c r="C676" s="6" t="s">
        <v>343</v>
      </c>
      <c r="D676" s="6" t="s">
        <v>83</v>
      </c>
      <c r="E676" s="6" t="s">
        <v>35</v>
      </c>
      <c r="F676" s="6" t="s">
        <v>24</v>
      </c>
      <c r="G676" s="6" t="s">
        <v>135</v>
      </c>
      <c r="H676" s="6" t="s">
        <v>48</v>
      </c>
      <c r="I676" s="6" t="s">
        <v>52</v>
      </c>
      <c r="J676" s="6" t="s">
        <v>49</v>
      </c>
      <c r="K676" s="6" t="s">
        <v>48</v>
      </c>
      <c r="L676" s="6" t="s">
        <v>54</v>
      </c>
      <c r="M676" s="6" t="s">
        <v>29</v>
      </c>
      <c r="N676" s="6" t="s">
        <v>28</v>
      </c>
      <c r="O676" s="6" t="s">
        <v>48</v>
      </c>
      <c r="P676" s="6" t="s">
        <v>48</v>
      </c>
      <c r="Q676" s="6" t="s">
        <v>48</v>
      </c>
      <c r="R676" s="6" t="s">
        <v>83</v>
      </c>
      <c r="S676" s="6" t="s">
        <v>54</v>
      </c>
      <c r="T676" s="6" t="s">
        <v>48</v>
      </c>
      <c r="U676" s="6" t="s">
        <v>74</v>
      </c>
      <c r="V676" s="6" t="s">
        <v>82</v>
      </c>
      <c r="W676" t="s">
        <v>352</v>
      </c>
    </row>
    <row r="677" spans="1:23" x14ac:dyDescent="0.3">
      <c r="A677" s="6" t="s">
        <v>190</v>
      </c>
      <c r="B677" s="1">
        <v>45675</v>
      </c>
      <c r="C677" s="6" t="s">
        <v>343</v>
      </c>
      <c r="D677" s="6" t="s">
        <v>22</v>
      </c>
      <c r="E677" s="6" t="s">
        <v>23</v>
      </c>
      <c r="F677" s="6" t="s">
        <v>24</v>
      </c>
      <c r="G677" s="6" t="s">
        <v>97</v>
      </c>
      <c r="H677" s="6" t="s">
        <v>48</v>
      </c>
      <c r="I677" s="6" t="s">
        <v>52</v>
      </c>
      <c r="J677" s="6" t="s">
        <v>22</v>
      </c>
      <c r="K677" s="6" t="s">
        <v>48</v>
      </c>
      <c r="L677" s="6" t="s">
        <v>54</v>
      </c>
      <c r="M677" s="6" t="s">
        <v>48</v>
      </c>
      <c r="N677" s="6" t="s">
        <v>28</v>
      </c>
      <c r="O677" s="6" t="s">
        <v>30</v>
      </c>
      <c r="P677" s="6" t="s">
        <v>52</v>
      </c>
      <c r="Q677" s="6" t="s">
        <v>48</v>
      </c>
      <c r="R677" s="6" t="s">
        <v>22</v>
      </c>
      <c r="S677" s="6" t="s">
        <v>54</v>
      </c>
      <c r="T677" s="6" t="s">
        <v>32</v>
      </c>
      <c r="U677" s="6" t="s">
        <v>28</v>
      </c>
      <c r="V677" s="6" t="s">
        <v>82</v>
      </c>
      <c r="W677" t="s">
        <v>352</v>
      </c>
    </row>
    <row r="678" spans="1:23" x14ac:dyDescent="0.3">
      <c r="A678" s="6" t="s">
        <v>191</v>
      </c>
      <c r="B678" s="1">
        <v>45675</v>
      </c>
      <c r="C678" s="6" t="s">
        <v>33</v>
      </c>
      <c r="D678" s="6" t="s">
        <v>60</v>
      </c>
      <c r="E678" s="6" t="s">
        <v>35</v>
      </c>
      <c r="F678" s="6" t="s">
        <v>24</v>
      </c>
      <c r="G678" s="6" t="s">
        <v>69</v>
      </c>
      <c r="H678" s="6" t="s">
        <v>26</v>
      </c>
      <c r="I678" s="6" t="s">
        <v>58</v>
      </c>
      <c r="J678" s="6" t="s">
        <v>60</v>
      </c>
      <c r="K678" s="6" t="s">
        <v>48</v>
      </c>
      <c r="L678" s="6" t="s">
        <v>54</v>
      </c>
      <c r="M678" s="6" t="s">
        <v>55</v>
      </c>
      <c r="N678" s="6" t="s">
        <v>28</v>
      </c>
      <c r="O678" s="6" t="s">
        <v>26</v>
      </c>
      <c r="P678" s="6" t="s">
        <v>52</v>
      </c>
      <c r="Q678" s="6" t="s">
        <v>31</v>
      </c>
      <c r="R678" s="6" t="s">
        <v>60</v>
      </c>
      <c r="S678" s="6" t="s">
        <v>152</v>
      </c>
      <c r="T678" s="6" t="s">
        <v>55</v>
      </c>
      <c r="U678" s="6" t="s">
        <v>28</v>
      </c>
      <c r="V678" s="6" t="s">
        <v>146</v>
      </c>
      <c r="W678" t="s">
        <v>352</v>
      </c>
    </row>
    <row r="679" spans="1:23" x14ac:dyDescent="0.3">
      <c r="A679" s="6" t="s">
        <v>191</v>
      </c>
      <c r="B679" s="1">
        <v>45675</v>
      </c>
      <c r="C679" s="6" t="s">
        <v>33</v>
      </c>
      <c r="D679" s="6" t="s">
        <v>60</v>
      </c>
      <c r="E679" s="6" t="s">
        <v>35</v>
      </c>
      <c r="F679" s="6" t="s">
        <v>24</v>
      </c>
      <c r="G679" s="6" t="s">
        <v>69</v>
      </c>
      <c r="H679" s="6" t="s">
        <v>26</v>
      </c>
      <c r="I679" s="6" t="s">
        <v>58</v>
      </c>
      <c r="J679" s="6" t="s">
        <v>60</v>
      </c>
      <c r="K679" s="6" t="s">
        <v>48</v>
      </c>
      <c r="L679" s="6" t="s">
        <v>54</v>
      </c>
      <c r="M679" s="6" t="s">
        <v>55</v>
      </c>
      <c r="N679" s="6" t="s">
        <v>28</v>
      </c>
      <c r="O679" s="6" t="s">
        <v>26</v>
      </c>
      <c r="P679" s="6" t="s">
        <v>52</v>
      </c>
      <c r="Q679" s="6" t="s">
        <v>31</v>
      </c>
      <c r="R679" s="6" t="s">
        <v>60</v>
      </c>
      <c r="S679" s="6" t="s">
        <v>152</v>
      </c>
      <c r="T679" s="6" t="s">
        <v>55</v>
      </c>
      <c r="U679" s="6" t="s">
        <v>28</v>
      </c>
      <c r="V679" s="6" t="s">
        <v>82</v>
      </c>
      <c r="W679" t="s">
        <v>352</v>
      </c>
    </row>
    <row r="680" spans="1:23" x14ac:dyDescent="0.3">
      <c r="A680" s="6" t="s">
        <v>192</v>
      </c>
      <c r="B680" s="1">
        <v>45677</v>
      </c>
      <c r="C680" s="6" t="s">
        <v>343</v>
      </c>
      <c r="D680" s="6" t="s">
        <v>78</v>
      </c>
      <c r="E680" s="6" t="s">
        <v>46</v>
      </c>
      <c r="F680" s="6" t="s">
        <v>24</v>
      </c>
      <c r="G680" s="6" t="s">
        <v>71</v>
      </c>
      <c r="H680" s="6" t="s">
        <v>48</v>
      </c>
      <c r="I680" s="6" t="s">
        <v>42</v>
      </c>
      <c r="J680" s="6" t="s">
        <v>78</v>
      </c>
      <c r="K680" s="6" t="s">
        <v>48</v>
      </c>
      <c r="L680" s="6" t="s">
        <v>54</v>
      </c>
      <c r="M680" s="6" t="s">
        <v>48</v>
      </c>
      <c r="N680" s="6" t="s">
        <v>28</v>
      </c>
      <c r="O680" s="6" t="s">
        <v>26</v>
      </c>
      <c r="P680" s="6" t="s">
        <v>48</v>
      </c>
      <c r="Q680" s="6" t="s">
        <v>48</v>
      </c>
      <c r="R680" s="6" t="s">
        <v>78</v>
      </c>
      <c r="S680" s="6" t="s">
        <v>54</v>
      </c>
      <c r="T680" s="6" t="s">
        <v>48</v>
      </c>
      <c r="U680" s="6" t="s">
        <v>28</v>
      </c>
      <c r="V680" s="6" t="s">
        <v>146</v>
      </c>
      <c r="W680" t="s">
        <v>352</v>
      </c>
    </row>
    <row r="681" spans="1:23" x14ac:dyDescent="0.3">
      <c r="A681" s="6" t="s">
        <v>194</v>
      </c>
      <c r="B681" s="1">
        <v>45677</v>
      </c>
      <c r="C681" s="6" t="s">
        <v>343</v>
      </c>
      <c r="D681" s="6" t="s">
        <v>117</v>
      </c>
      <c r="E681" s="6" t="s">
        <v>68</v>
      </c>
      <c r="F681" s="6" t="s">
        <v>24</v>
      </c>
      <c r="G681" s="6" t="s">
        <v>25</v>
      </c>
      <c r="H681" s="6" t="s">
        <v>26</v>
      </c>
      <c r="I681" s="6" t="s">
        <v>58</v>
      </c>
      <c r="J681" s="6" t="s">
        <v>117</v>
      </c>
      <c r="K681" s="6" t="s">
        <v>48</v>
      </c>
      <c r="L681" s="6" t="s">
        <v>54</v>
      </c>
      <c r="M681" s="6" t="s">
        <v>29</v>
      </c>
      <c r="N681" s="6" t="s">
        <v>28</v>
      </c>
      <c r="O681" s="6" t="s">
        <v>30</v>
      </c>
      <c r="P681" s="6" t="s">
        <v>37</v>
      </c>
      <c r="Q681" s="6" t="s">
        <v>31</v>
      </c>
      <c r="R681" s="6" t="s">
        <v>117</v>
      </c>
      <c r="S681" s="6" t="s">
        <v>54</v>
      </c>
      <c r="T681" s="6" t="s">
        <v>32</v>
      </c>
      <c r="U681" s="6" t="s">
        <v>28</v>
      </c>
      <c r="V681" s="6" t="s">
        <v>146</v>
      </c>
      <c r="W681" t="s">
        <v>352</v>
      </c>
    </row>
    <row r="682" spans="1:23" x14ac:dyDescent="0.3">
      <c r="A682" s="6" t="s">
        <v>193</v>
      </c>
      <c r="B682" s="1">
        <v>45677</v>
      </c>
      <c r="C682" s="6" t="s">
        <v>343</v>
      </c>
      <c r="D682" s="6" t="s">
        <v>117</v>
      </c>
      <c r="E682" s="6" t="s">
        <v>68</v>
      </c>
      <c r="F682" s="6" t="s">
        <v>24</v>
      </c>
      <c r="G682" s="6" t="s">
        <v>25</v>
      </c>
      <c r="H682" s="6" t="s">
        <v>26</v>
      </c>
      <c r="I682" s="6" t="s">
        <v>58</v>
      </c>
      <c r="J682" s="6" t="s">
        <v>117</v>
      </c>
      <c r="K682" s="6" t="s">
        <v>48</v>
      </c>
      <c r="L682" s="6" t="s">
        <v>54</v>
      </c>
      <c r="M682" s="6" t="s">
        <v>29</v>
      </c>
      <c r="N682" s="6" t="s">
        <v>28</v>
      </c>
      <c r="O682" s="6" t="s">
        <v>26</v>
      </c>
      <c r="P682" s="6" t="s">
        <v>66</v>
      </c>
      <c r="Q682" s="6" t="s">
        <v>31</v>
      </c>
      <c r="R682" s="6" t="s">
        <v>117</v>
      </c>
      <c r="S682" s="6" t="s">
        <v>54</v>
      </c>
      <c r="T682" s="6" t="s">
        <v>29</v>
      </c>
      <c r="U682" s="6" t="s">
        <v>28</v>
      </c>
      <c r="V682" s="6" t="s">
        <v>146</v>
      </c>
      <c r="W682" t="s">
        <v>352</v>
      </c>
    </row>
    <row r="683" spans="1:23" x14ac:dyDescent="0.3">
      <c r="A683" s="6" t="s">
        <v>193</v>
      </c>
      <c r="B683" s="1">
        <v>45677</v>
      </c>
      <c r="C683" s="6" t="s">
        <v>343</v>
      </c>
      <c r="D683" s="6" t="s">
        <v>117</v>
      </c>
      <c r="E683" s="6" t="s">
        <v>68</v>
      </c>
      <c r="F683" s="6" t="s">
        <v>24</v>
      </c>
      <c r="G683" s="6" t="s">
        <v>25</v>
      </c>
      <c r="H683" s="6" t="s">
        <v>26</v>
      </c>
      <c r="I683" s="6" t="s">
        <v>58</v>
      </c>
      <c r="J683" s="6" t="s">
        <v>117</v>
      </c>
      <c r="K683" s="6" t="s">
        <v>48</v>
      </c>
      <c r="L683" s="6" t="s">
        <v>54</v>
      </c>
      <c r="M683" s="6" t="s">
        <v>29</v>
      </c>
      <c r="N683" s="6" t="s">
        <v>28</v>
      </c>
      <c r="O683" s="6" t="s">
        <v>26</v>
      </c>
      <c r="P683" s="6" t="s">
        <v>66</v>
      </c>
      <c r="Q683" s="6" t="s">
        <v>31</v>
      </c>
      <c r="R683" s="6" t="s">
        <v>117</v>
      </c>
      <c r="S683" s="6" t="s">
        <v>54</v>
      </c>
      <c r="T683" s="6" t="s">
        <v>29</v>
      </c>
      <c r="U683" s="6" t="s">
        <v>28</v>
      </c>
      <c r="V683" s="6" t="s">
        <v>137</v>
      </c>
      <c r="W683" t="s">
        <v>352</v>
      </c>
    </row>
    <row r="684" spans="1:23" x14ac:dyDescent="0.3">
      <c r="A684" s="6" t="s">
        <v>194</v>
      </c>
      <c r="B684" s="1">
        <v>45677</v>
      </c>
      <c r="C684" s="6" t="s">
        <v>343</v>
      </c>
      <c r="D684" s="6" t="s">
        <v>117</v>
      </c>
      <c r="E684" s="6" t="s">
        <v>68</v>
      </c>
      <c r="F684" s="6" t="s">
        <v>24</v>
      </c>
      <c r="G684" s="6" t="s">
        <v>25</v>
      </c>
      <c r="H684" s="6" t="s">
        <v>26</v>
      </c>
      <c r="I684" s="6" t="s">
        <v>58</v>
      </c>
      <c r="J684" s="6" t="s">
        <v>117</v>
      </c>
      <c r="K684" s="6" t="s">
        <v>48</v>
      </c>
      <c r="L684" s="6" t="s">
        <v>54</v>
      </c>
      <c r="M684" s="6" t="s">
        <v>29</v>
      </c>
      <c r="N684" s="6" t="s">
        <v>28</v>
      </c>
      <c r="O684" s="6" t="s">
        <v>30</v>
      </c>
      <c r="P684" s="6" t="s">
        <v>37</v>
      </c>
      <c r="Q684" s="6" t="s">
        <v>31</v>
      </c>
      <c r="R684" s="6" t="s">
        <v>117</v>
      </c>
      <c r="S684" s="6" t="s">
        <v>54</v>
      </c>
      <c r="T684" s="6" t="s">
        <v>32</v>
      </c>
      <c r="U684" s="6" t="s">
        <v>28</v>
      </c>
      <c r="V684" s="6" t="s">
        <v>137</v>
      </c>
      <c r="W684" t="s">
        <v>352</v>
      </c>
    </row>
    <row r="685" spans="1:23" x14ac:dyDescent="0.3">
      <c r="A685" s="6" t="s">
        <v>195</v>
      </c>
      <c r="B685" s="1">
        <v>45678</v>
      </c>
      <c r="C685" s="6" t="s">
        <v>343</v>
      </c>
      <c r="D685" s="6" t="s">
        <v>60</v>
      </c>
      <c r="E685" s="6" t="s">
        <v>23</v>
      </c>
      <c r="F685" s="6" t="s">
        <v>24</v>
      </c>
      <c r="G685" s="6" t="s">
        <v>51</v>
      </c>
      <c r="H685" s="6" t="s">
        <v>26</v>
      </c>
      <c r="I685" s="6" t="s">
        <v>42</v>
      </c>
      <c r="J685" s="6" t="s">
        <v>60</v>
      </c>
      <c r="K685" s="6" t="s">
        <v>102</v>
      </c>
      <c r="L685" s="6" t="s">
        <v>54</v>
      </c>
      <c r="M685" s="6" t="s">
        <v>29</v>
      </c>
      <c r="N685" s="6" t="s">
        <v>28</v>
      </c>
      <c r="O685" s="6" t="s">
        <v>48</v>
      </c>
      <c r="P685" s="6" t="s">
        <v>48</v>
      </c>
      <c r="Q685" s="6" t="s">
        <v>48</v>
      </c>
      <c r="R685" s="6" t="s">
        <v>60</v>
      </c>
      <c r="S685" s="6" t="s">
        <v>54</v>
      </c>
      <c r="T685" s="6" t="s">
        <v>48</v>
      </c>
      <c r="U685" s="6" t="s">
        <v>87</v>
      </c>
      <c r="V685" s="6" t="s">
        <v>146</v>
      </c>
      <c r="W685" t="s">
        <v>352</v>
      </c>
    </row>
    <row r="686" spans="1:23" x14ac:dyDescent="0.3">
      <c r="A686" s="6" t="s">
        <v>196</v>
      </c>
      <c r="B686" s="1">
        <v>45678</v>
      </c>
      <c r="C686" s="6" t="s">
        <v>343</v>
      </c>
      <c r="D686" s="6" t="s">
        <v>43</v>
      </c>
      <c r="E686" s="6" t="s">
        <v>68</v>
      </c>
      <c r="F686" s="6" t="s">
        <v>24</v>
      </c>
      <c r="G686" s="6" t="s">
        <v>61</v>
      </c>
      <c r="H686" s="6" t="s">
        <v>26</v>
      </c>
      <c r="I686" s="6" t="s">
        <v>52</v>
      </c>
      <c r="J686" s="6" t="s">
        <v>43</v>
      </c>
      <c r="K686" s="6" t="s">
        <v>120</v>
      </c>
      <c r="L686" s="6" t="s">
        <v>54</v>
      </c>
      <c r="M686" s="6" t="s">
        <v>29</v>
      </c>
      <c r="N686" s="6" t="s">
        <v>28</v>
      </c>
      <c r="O686" s="6" t="s">
        <v>48</v>
      </c>
      <c r="P686" s="6" t="s">
        <v>48</v>
      </c>
      <c r="Q686" s="6" t="s">
        <v>48</v>
      </c>
      <c r="R686" s="6" t="s">
        <v>43</v>
      </c>
      <c r="S686" s="6" t="s">
        <v>54</v>
      </c>
      <c r="T686" s="6" t="s">
        <v>48</v>
      </c>
      <c r="U686" s="6" t="s">
        <v>59</v>
      </c>
      <c r="V686" s="6" t="s">
        <v>146</v>
      </c>
      <c r="W686" t="s">
        <v>352</v>
      </c>
    </row>
    <row r="687" spans="1:23" x14ac:dyDescent="0.3">
      <c r="A687" s="6" t="s">
        <v>197</v>
      </c>
      <c r="B687" s="1">
        <v>45678</v>
      </c>
      <c r="C687" s="6" t="s">
        <v>33</v>
      </c>
      <c r="D687" s="6" t="s">
        <v>22</v>
      </c>
      <c r="E687" s="6" t="s">
        <v>23</v>
      </c>
      <c r="F687" s="6" t="s">
        <v>24</v>
      </c>
      <c r="G687" s="6" t="s">
        <v>69</v>
      </c>
      <c r="H687" s="6" t="s">
        <v>48</v>
      </c>
      <c r="I687" s="6" t="s">
        <v>27</v>
      </c>
      <c r="J687" s="6" t="s">
        <v>22</v>
      </c>
      <c r="K687" s="6" t="s">
        <v>48</v>
      </c>
      <c r="L687" s="6" t="s">
        <v>152</v>
      </c>
      <c r="M687" s="6" t="s">
        <v>48</v>
      </c>
      <c r="N687" s="6" t="s">
        <v>28</v>
      </c>
      <c r="O687" s="6" t="s">
        <v>26</v>
      </c>
      <c r="P687" s="6" t="s">
        <v>38</v>
      </c>
      <c r="Q687" s="6" t="s">
        <v>31</v>
      </c>
      <c r="R687" s="6" t="s">
        <v>22</v>
      </c>
      <c r="S687" s="6" t="s">
        <v>54</v>
      </c>
      <c r="T687" s="6" t="s">
        <v>48</v>
      </c>
      <c r="U687" s="6" t="s">
        <v>28</v>
      </c>
      <c r="V687" s="6" t="s">
        <v>82</v>
      </c>
      <c r="W687" t="s">
        <v>352</v>
      </c>
    </row>
    <row r="688" spans="1:23" x14ac:dyDescent="0.3">
      <c r="A688" s="6" t="s">
        <v>197</v>
      </c>
      <c r="B688" s="1">
        <v>45678</v>
      </c>
      <c r="C688" s="6" t="s">
        <v>33</v>
      </c>
      <c r="D688" s="6" t="s">
        <v>22</v>
      </c>
      <c r="E688" s="6" t="s">
        <v>23</v>
      </c>
      <c r="F688" s="6" t="s">
        <v>24</v>
      </c>
      <c r="G688" s="6" t="s">
        <v>69</v>
      </c>
      <c r="H688" s="6" t="s">
        <v>48</v>
      </c>
      <c r="I688" s="6" t="s">
        <v>27</v>
      </c>
      <c r="J688" s="6" t="s">
        <v>22</v>
      </c>
      <c r="K688" s="6" t="s">
        <v>48</v>
      </c>
      <c r="L688" s="6" t="s">
        <v>152</v>
      </c>
      <c r="M688" s="6" t="s">
        <v>48</v>
      </c>
      <c r="N688" s="6" t="s">
        <v>28</v>
      </c>
      <c r="O688" s="6" t="s">
        <v>26</v>
      </c>
      <c r="P688" s="6" t="s">
        <v>38</v>
      </c>
      <c r="Q688" s="6" t="s">
        <v>31</v>
      </c>
      <c r="R688" s="6" t="s">
        <v>22</v>
      </c>
      <c r="S688" s="6" t="s">
        <v>54</v>
      </c>
      <c r="T688" s="6" t="s">
        <v>48</v>
      </c>
      <c r="U688" s="6" t="s">
        <v>28</v>
      </c>
      <c r="V688" s="6" t="s">
        <v>146</v>
      </c>
      <c r="W688" t="s">
        <v>352</v>
      </c>
    </row>
    <row r="689" spans="1:23" x14ac:dyDescent="0.3">
      <c r="A689" s="6" t="s">
        <v>198</v>
      </c>
      <c r="B689" s="1">
        <v>45679</v>
      </c>
      <c r="C689" s="6" t="s">
        <v>33</v>
      </c>
      <c r="D689" s="6" t="s">
        <v>43</v>
      </c>
      <c r="E689" s="6" t="s">
        <v>68</v>
      </c>
      <c r="F689" s="6" t="s">
        <v>24</v>
      </c>
      <c r="G689" s="6" t="s">
        <v>61</v>
      </c>
      <c r="H689" s="6" t="s">
        <v>26</v>
      </c>
      <c r="I689" s="6" t="s">
        <v>42</v>
      </c>
      <c r="J689" s="6" t="s">
        <v>43</v>
      </c>
      <c r="K689" s="6" t="s">
        <v>48</v>
      </c>
      <c r="L689" s="6" t="s">
        <v>54</v>
      </c>
      <c r="M689" s="6" t="s">
        <v>55</v>
      </c>
      <c r="N689" s="6" t="s">
        <v>28</v>
      </c>
      <c r="O689" s="6" t="s">
        <v>26</v>
      </c>
      <c r="P689" s="6" t="s">
        <v>48</v>
      </c>
      <c r="Q689" s="6" t="s">
        <v>48</v>
      </c>
      <c r="R689" s="6" t="s">
        <v>43</v>
      </c>
      <c r="S689" s="6" t="s">
        <v>54</v>
      </c>
      <c r="T689" s="6" t="s">
        <v>48</v>
      </c>
      <c r="U689" s="6" t="s">
        <v>28</v>
      </c>
      <c r="V689" s="6" t="s">
        <v>146</v>
      </c>
      <c r="W689" t="s">
        <v>352</v>
      </c>
    </row>
    <row r="690" spans="1:23" x14ac:dyDescent="0.3">
      <c r="A690" s="6" t="s">
        <v>199</v>
      </c>
      <c r="B690" s="1">
        <v>45680</v>
      </c>
      <c r="C690" s="6" t="s">
        <v>343</v>
      </c>
      <c r="D690" s="6" t="s">
        <v>81</v>
      </c>
      <c r="E690" s="6" t="s">
        <v>73</v>
      </c>
      <c r="F690" s="6" t="s">
        <v>24</v>
      </c>
      <c r="G690" s="6" t="s">
        <v>61</v>
      </c>
      <c r="H690" s="6" t="s">
        <v>48</v>
      </c>
      <c r="I690" s="6" t="s">
        <v>52</v>
      </c>
      <c r="J690" s="6" t="s">
        <v>81</v>
      </c>
      <c r="K690" s="6" t="s">
        <v>48</v>
      </c>
      <c r="L690" s="6" t="s">
        <v>54</v>
      </c>
      <c r="M690" s="6" t="s">
        <v>48</v>
      </c>
      <c r="N690" s="6" t="s">
        <v>63</v>
      </c>
      <c r="O690" s="6" t="s">
        <v>48</v>
      </c>
      <c r="P690" s="6" t="s">
        <v>48</v>
      </c>
      <c r="Q690" s="6" t="s">
        <v>48</v>
      </c>
      <c r="R690" s="6" t="s">
        <v>81</v>
      </c>
      <c r="S690" s="6" t="s">
        <v>54</v>
      </c>
      <c r="T690" s="6" t="s">
        <v>48</v>
      </c>
      <c r="U690" s="6" t="s">
        <v>59</v>
      </c>
      <c r="V690" s="6" t="s">
        <v>82</v>
      </c>
      <c r="W690" t="s">
        <v>352</v>
      </c>
    </row>
    <row r="691" spans="1:23" x14ac:dyDescent="0.3">
      <c r="A691" s="6" t="s">
        <v>202</v>
      </c>
      <c r="B691" s="1">
        <v>45680</v>
      </c>
      <c r="C691" s="6" t="s">
        <v>33</v>
      </c>
      <c r="D691" s="6" t="s">
        <v>43</v>
      </c>
      <c r="E691" s="6" t="s">
        <v>35</v>
      </c>
      <c r="F691" s="6" t="s">
        <v>24</v>
      </c>
      <c r="G691" s="6" t="s">
        <v>69</v>
      </c>
      <c r="H691" s="6" t="s">
        <v>26</v>
      </c>
      <c r="I691" s="6" t="s">
        <v>52</v>
      </c>
      <c r="J691" s="6" t="s">
        <v>43</v>
      </c>
      <c r="K691" s="6" t="s">
        <v>48</v>
      </c>
      <c r="L691" s="6" t="s">
        <v>54</v>
      </c>
      <c r="M691" s="6" t="s">
        <v>48</v>
      </c>
      <c r="N691" s="6" t="s">
        <v>28</v>
      </c>
      <c r="O691" s="6" t="s">
        <v>30</v>
      </c>
      <c r="P691" s="6" t="s">
        <v>48</v>
      </c>
      <c r="Q691" s="6" t="s">
        <v>48</v>
      </c>
      <c r="R691" s="6" t="s">
        <v>43</v>
      </c>
      <c r="S691" s="6" t="s">
        <v>54</v>
      </c>
      <c r="T691" s="6" t="s">
        <v>48</v>
      </c>
      <c r="U691" s="6" t="s">
        <v>28</v>
      </c>
      <c r="V691" s="6" t="s">
        <v>146</v>
      </c>
      <c r="W691" t="s">
        <v>352</v>
      </c>
    </row>
    <row r="692" spans="1:23" x14ac:dyDescent="0.3">
      <c r="A692" s="6" t="s">
        <v>200</v>
      </c>
      <c r="B692" s="1">
        <v>45680</v>
      </c>
      <c r="C692" s="6" t="s">
        <v>33</v>
      </c>
      <c r="D692" s="6" t="s">
        <v>43</v>
      </c>
      <c r="E692" s="6" t="s">
        <v>35</v>
      </c>
      <c r="F692" s="6" t="s">
        <v>24</v>
      </c>
      <c r="G692" s="6" t="s">
        <v>69</v>
      </c>
      <c r="H692" s="6" t="s">
        <v>26</v>
      </c>
      <c r="I692" s="6" t="s">
        <v>52</v>
      </c>
      <c r="J692" s="6" t="s">
        <v>43</v>
      </c>
      <c r="K692" s="6" t="s">
        <v>48</v>
      </c>
      <c r="L692" s="6" t="s">
        <v>54</v>
      </c>
      <c r="M692" s="6" t="s">
        <v>48</v>
      </c>
      <c r="N692" s="6" t="s">
        <v>28</v>
      </c>
      <c r="O692" s="6" t="s">
        <v>26</v>
      </c>
      <c r="P692" s="6" t="s">
        <v>48</v>
      </c>
      <c r="Q692" s="6" t="s">
        <v>48</v>
      </c>
      <c r="R692" s="6" t="s">
        <v>43</v>
      </c>
      <c r="S692" s="6" t="s">
        <v>54</v>
      </c>
      <c r="T692" s="6" t="s">
        <v>48</v>
      </c>
      <c r="U692" s="6" t="s">
        <v>28</v>
      </c>
      <c r="V692" s="6" t="s">
        <v>82</v>
      </c>
      <c r="W692" t="s">
        <v>352</v>
      </c>
    </row>
    <row r="693" spans="1:23" x14ac:dyDescent="0.3">
      <c r="A693" s="6" t="s">
        <v>201</v>
      </c>
      <c r="B693" s="1">
        <v>45680</v>
      </c>
      <c r="C693" s="6" t="s">
        <v>33</v>
      </c>
      <c r="D693" s="6" t="s">
        <v>43</v>
      </c>
      <c r="E693" s="6" t="s">
        <v>35</v>
      </c>
      <c r="F693" s="6" t="s">
        <v>24</v>
      </c>
      <c r="G693" s="6" t="s">
        <v>69</v>
      </c>
      <c r="H693" s="6" t="s">
        <v>26</v>
      </c>
      <c r="I693" s="6" t="s">
        <v>52</v>
      </c>
      <c r="J693" s="6" t="s">
        <v>43</v>
      </c>
      <c r="K693" s="6" t="s">
        <v>48</v>
      </c>
      <c r="L693" s="6" t="s">
        <v>54</v>
      </c>
      <c r="M693" s="6" t="s">
        <v>48</v>
      </c>
      <c r="N693" s="6" t="s">
        <v>28</v>
      </c>
      <c r="O693" s="6" t="s">
        <v>30</v>
      </c>
      <c r="P693" s="6" t="s">
        <v>48</v>
      </c>
      <c r="Q693" s="6" t="s">
        <v>48</v>
      </c>
      <c r="R693" s="6" t="s">
        <v>43</v>
      </c>
      <c r="S693" s="6" t="s">
        <v>54</v>
      </c>
      <c r="T693" s="6" t="s">
        <v>48</v>
      </c>
      <c r="U693" s="6" t="s">
        <v>28</v>
      </c>
      <c r="V693" s="6" t="s">
        <v>82</v>
      </c>
      <c r="W693" t="s">
        <v>352</v>
      </c>
    </row>
    <row r="694" spans="1:23" x14ac:dyDescent="0.3">
      <c r="A694" s="6" t="s">
        <v>200</v>
      </c>
      <c r="B694" s="1">
        <v>45680</v>
      </c>
      <c r="C694" s="6" t="s">
        <v>33</v>
      </c>
      <c r="D694" s="6" t="s">
        <v>43</v>
      </c>
      <c r="E694" s="6" t="s">
        <v>35</v>
      </c>
      <c r="F694" s="6" t="s">
        <v>24</v>
      </c>
      <c r="G694" s="6" t="s">
        <v>69</v>
      </c>
      <c r="H694" s="6" t="s">
        <v>26</v>
      </c>
      <c r="I694" s="6" t="s">
        <v>52</v>
      </c>
      <c r="J694" s="6" t="s">
        <v>43</v>
      </c>
      <c r="K694" s="6" t="s">
        <v>48</v>
      </c>
      <c r="L694" s="6" t="s">
        <v>54</v>
      </c>
      <c r="M694" s="6" t="s">
        <v>48</v>
      </c>
      <c r="N694" s="6" t="s">
        <v>28</v>
      </c>
      <c r="O694" s="6" t="s">
        <v>26</v>
      </c>
      <c r="P694" s="6" t="s">
        <v>48</v>
      </c>
      <c r="Q694" s="6" t="s">
        <v>48</v>
      </c>
      <c r="R694" s="6" t="s">
        <v>43</v>
      </c>
      <c r="S694" s="6" t="s">
        <v>54</v>
      </c>
      <c r="T694" s="6" t="s">
        <v>48</v>
      </c>
      <c r="U694" s="6" t="s">
        <v>28</v>
      </c>
      <c r="V694" s="6" t="s">
        <v>146</v>
      </c>
      <c r="W694" t="s">
        <v>352</v>
      </c>
    </row>
    <row r="695" spans="1:23" x14ac:dyDescent="0.3">
      <c r="A695" s="6" t="s">
        <v>202</v>
      </c>
      <c r="B695" s="1">
        <v>45680</v>
      </c>
      <c r="C695" s="6" t="s">
        <v>33</v>
      </c>
      <c r="D695" s="6" t="s">
        <v>43</v>
      </c>
      <c r="E695" s="6" t="s">
        <v>35</v>
      </c>
      <c r="F695" s="6" t="s">
        <v>24</v>
      </c>
      <c r="G695" s="6" t="s">
        <v>69</v>
      </c>
      <c r="H695" s="6" t="s">
        <v>26</v>
      </c>
      <c r="I695" s="6" t="s">
        <v>52</v>
      </c>
      <c r="J695" s="6" t="s">
        <v>43</v>
      </c>
      <c r="K695" s="6" t="s">
        <v>48</v>
      </c>
      <c r="L695" s="6" t="s">
        <v>54</v>
      </c>
      <c r="M695" s="6" t="s">
        <v>48</v>
      </c>
      <c r="N695" s="6" t="s">
        <v>28</v>
      </c>
      <c r="O695" s="6" t="s">
        <v>30</v>
      </c>
      <c r="P695" s="6" t="s">
        <v>48</v>
      </c>
      <c r="Q695" s="6" t="s">
        <v>48</v>
      </c>
      <c r="R695" s="6" t="s">
        <v>43</v>
      </c>
      <c r="S695" s="6" t="s">
        <v>54</v>
      </c>
      <c r="T695" s="6" t="s">
        <v>48</v>
      </c>
      <c r="U695" s="6" t="s">
        <v>28</v>
      </c>
      <c r="V695" s="6" t="s">
        <v>82</v>
      </c>
      <c r="W695" t="s">
        <v>352</v>
      </c>
    </row>
    <row r="696" spans="1:23" x14ac:dyDescent="0.3">
      <c r="A696" s="6" t="s">
        <v>201</v>
      </c>
      <c r="B696" s="1">
        <v>45680</v>
      </c>
      <c r="C696" s="6" t="s">
        <v>33</v>
      </c>
      <c r="D696" s="6" t="s">
        <v>43</v>
      </c>
      <c r="E696" s="6" t="s">
        <v>35</v>
      </c>
      <c r="F696" s="6" t="s">
        <v>24</v>
      </c>
      <c r="G696" s="6" t="s">
        <v>69</v>
      </c>
      <c r="H696" s="6" t="s">
        <v>26</v>
      </c>
      <c r="I696" s="6" t="s">
        <v>52</v>
      </c>
      <c r="J696" s="6" t="s">
        <v>43</v>
      </c>
      <c r="K696" s="6" t="s">
        <v>48</v>
      </c>
      <c r="L696" s="6" t="s">
        <v>54</v>
      </c>
      <c r="M696" s="6" t="s">
        <v>48</v>
      </c>
      <c r="N696" s="6" t="s">
        <v>28</v>
      </c>
      <c r="O696" s="6" t="s">
        <v>30</v>
      </c>
      <c r="P696" s="6" t="s">
        <v>48</v>
      </c>
      <c r="Q696" s="6" t="s">
        <v>48</v>
      </c>
      <c r="R696" s="6" t="s">
        <v>43</v>
      </c>
      <c r="S696" s="6" t="s">
        <v>54</v>
      </c>
      <c r="T696" s="6" t="s">
        <v>48</v>
      </c>
      <c r="U696" s="6" t="s">
        <v>28</v>
      </c>
      <c r="V696" s="6" t="s">
        <v>146</v>
      </c>
      <c r="W696" t="s">
        <v>352</v>
      </c>
    </row>
    <row r="697" spans="1:23" x14ac:dyDescent="0.3">
      <c r="A697" s="6" t="s">
        <v>203</v>
      </c>
      <c r="B697" s="1">
        <v>45680</v>
      </c>
      <c r="C697" s="6" t="s">
        <v>33</v>
      </c>
      <c r="D697" s="6" t="s">
        <v>91</v>
      </c>
      <c r="E697" s="6" t="s">
        <v>35</v>
      </c>
      <c r="F697" s="6" t="s">
        <v>24</v>
      </c>
      <c r="G697" s="6" t="s">
        <v>69</v>
      </c>
      <c r="H697" s="6" t="s">
        <v>26</v>
      </c>
      <c r="I697" s="6" t="s">
        <v>38</v>
      </c>
      <c r="J697" s="6" t="s">
        <v>91</v>
      </c>
      <c r="K697" s="6" t="s">
        <v>48</v>
      </c>
      <c r="L697" s="6" t="s">
        <v>54</v>
      </c>
      <c r="M697" s="6" t="s">
        <v>29</v>
      </c>
      <c r="N697" s="6" t="s">
        <v>28</v>
      </c>
      <c r="O697" s="6" t="s">
        <v>48</v>
      </c>
      <c r="P697" s="6" t="s">
        <v>48</v>
      </c>
      <c r="Q697" s="6" t="s">
        <v>48</v>
      </c>
      <c r="R697" s="6" t="s">
        <v>91</v>
      </c>
      <c r="S697" s="6" t="s">
        <v>54</v>
      </c>
      <c r="T697" s="6" t="s">
        <v>48</v>
      </c>
      <c r="U697" s="6" t="s">
        <v>28</v>
      </c>
      <c r="V697" s="6" t="s">
        <v>82</v>
      </c>
      <c r="W697" t="s">
        <v>352</v>
      </c>
    </row>
    <row r="698" spans="1:23" x14ac:dyDescent="0.3">
      <c r="A698" s="6" t="s">
        <v>203</v>
      </c>
      <c r="B698" s="1">
        <v>45680</v>
      </c>
      <c r="C698" s="6" t="s">
        <v>33</v>
      </c>
      <c r="D698" s="6" t="s">
        <v>91</v>
      </c>
      <c r="E698" s="6" t="s">
        <v>35</v>
      </c>
      <c r="F698" s="6" t="s">
        <v>24</v>
      </c>
      <c r="G698" s="6" t="s">
        <v>69</v>
      </c>
      <c r="H698" s="6" t="s">
        <v>26</v>
      </c>
      <c r="I698" s="6" t="s">
        <v>38</v>
      </c>
      <c r="J698" s="6" t="s">
        <v>91</v>
      </c>
      <c r="K698" s="6" t="s">
        <v>48</v>
      </c>
      <c r="L698" s="6" t="s">
        <v>54</v>
      </c>
      <c r="M698" s="6" t="s">
        <v>29</v>
      </c>
      <c r="N698" s="6" t="s">
        <v>28</v>
      </c>
      <c r="O698" s="6" t="s">
        <v>48</v>
      </c>
      <c r="P698" s="6" t="s">
        <v>48</v>
      </c>
      <c r="Q698" s="6" t="s">
        <v>48</v>
      </c>
      <c r="R698" s="6" t="s">
        <v>91</v>
      </c>
      <c r="S698" s="6" t="s">
        <v>54</v>
      </c>
      <c r="T698" s="6" t="s">
        <v>48</v>
      </c>
      <c r="U698" s="6" t="s">
        <v>28</v>
      </c>
      <c r="V698" s="6" t="s">
        <v>146</v>
      </c>
      <c r="W698" t="s">
        <v>352</v>
      </c>
    </row>
    <row r="699" spans="1:23" x14ac:dyDescent="0.3">
      <c r="A699" s="6" t="s">
        <v>204</v>
      </c>
      <c r="B699" s="1">
        <v>45681</v>
      </c>
      <c r="C699" s="6" t="s">
        <v>39</v>
      </c>
      <c r="D699" s="6" t="s">
        <v>81</v>
      </c>
      <c r="E699" s="6" t="s">
        <v>35</v>
      </c>
      <c r="F699" s="6" t="s">
        <v>24</v>
      </c>
      <c r="G699" s="6" t="s">
        <v>61</v>
      </c>
      <c r="H699" s="6" t="s">
        <v>48</v>
      </c>
      <c r="I699" s="6" t="s">
        <v>27</v>
      </c>
      <c r="J699" s="6" t="s">
        <v>81</v>
      </c>
      <c r="K699" s="6" t="s">
        <v>48</v>
      </c>
      <c r="L699" s="6" t="s">
        <v>54</v>
      </c>
      <c r="M699" s="6" t="s">
        <v>48</v>
      </c>
      <c r="N699" s="6" t="s">
        <v>28</v>
      </c>
      <c r="O699" s="6" t="s">
        <v>48</v>
      </c>
      <c r="P699" s="6" t="s">
        <v>48</v>
      </c>
      <c r="Q699" s="6" t="s">
        <v>48</v>
      </c>
      <c r="R699" s="6" t="s">
        <v>81</v>
      </c>
      <c r="S699" s="6" t="s">
        <v>54</v>
      </c>
      <c r="T699" s="6" t="s">
        <v>48</v>
      </c>
      <c r="U699" s="6" t="s">
        <v>139</v>
      </c>
      <c r="V699" s="6" t="s">
        <v>146</v>
      </c>
      <c r="W699" t="s">
        <v>352</v>
      </c>
    </row>
    <row r="700" spans="1:23" x14ac:dyDescent="0.3">
      <c r="A700" s="6" t="s">
        <v>204</v>
      </c>
      <c r="B700" s="1">
        <v>45681</v>
      </c>
      <c r="C700" s="6" t="s">
        <v>39</v>
      </c>
      <c r="D700" s="6" t="s">
        <v>81</v>
      </c>
      <c r="E700" s="6" t="s">
        <v>35</v>
      </c>
      <c r="F700" s="6" t="s">
        <v>24</v>
      </c>
      <c r="G700" s="6" t="s">
        <v>61</v>
      </c>
      <c r="H700" s="6" t="s">
        <v>48</v>
      </c>
      <c r="I700" s="6" t="s">
        <v>27</v>
      </c>
      <c r="J700" s="6" t="s">
        <v>81</v>
      </c>
      <c r="K700" s="6" t="s">
        <v>48</v>
      </c>
      <c r="L700" s="6" t="s">
        <v>54</v>
      </c>
      <c r="M700" s="6" t="s">
        <v>48</v>
      </c>
      <c r="N700" s="6" t="s">
        <v>28</v>
      </c>
      <c r="O700" s="6" t="s">
        <v>48</v>
      </c>
      <c r="P700" s="6" t="s">
        <v>48</v>
      </c>
      <c r="Q700" s="6" t="s">
        <v>48</v>
      </c>
      <c r="R700" s="6" t="s">
        <v>81</v>
      </c>
      <c r="S700" s="6" t="s">
        <v>54</v>
      </c>
      <c r="T700" s="6" t="s">
        <v>48</v>
      </c>
      <c r="U700" s="6" t="s">
        <v>139</v>
      </c>
      <c r="V700" s="6" t="s">
        <v>82</v>
      </c>
      <c r="W700" t="s">
        <v>352</v>
      </c>
    </row>
    <row r="701" spans="1:23" x14ac:dyDescent="0.3">
      <c r="A701" s="6" t="s">
        <v>205</v>
      </c>
      <c r="B701" s="1">
        <v>45682</v>
      </c>
      <c r="C701" s="6" t="s">
        <v>343</v>
      </c>
      <c r="D701" s="6" t="s">
        <v>40</v>
      </c>
      <c r="E701" s="6" t="s">
        <v>64</v>
      </c>
      <c r="F701" s="6" t="s">
        <v>24</v>
      </c>
      <c r="G701" s="6" t="s">
        <v>69</v>
      </c>
      <c r="H701" s="6" t="s">
        <v>26</v>
      </c>
      <c r="I701" s="6" t="s">
        <v>42</v>
      </c>
      <c r="J701" s="6" t="s">
        <v>40</v>
      </c>
      <c r="K701" s="6" t="s">
        <v>48</v>
      </c>
      <c r="L701" s="6" t="s">
        <v>54</v>
      </c>
      <c r="M701" s="6" t="s">
        <v>32</v>
      </c>
      <c r="N701" s="6" t="s">
        <v>28</v>
      </c>
      <c r="O701" s="6" t="s">
        <v>26</v>
      </c>
      <c r="P701" s="6" t="s">
        <v>48</v>
      </c>
      <c r="Q701" s="6" t="s">
        <v>48</v>
      </c>
      <c r="R701" s="6" t="s">
        <v>40</v>
      </c>
      <c r="S701" s="6" t="s">
        <v>54</v>
      </c>
      <c r="T701" s="6" t="s">
        <v>48</v>
      </c>
      <c r="U701" s="6" t="s">
        <v>28</v>
      </c>
      <c r="V701" s="6" t="s">
        <v>146</v>
      </c>
      <c r="W701" t="s">
        <v>352</v>
      </c>
    </row>
    <row r="702" spans="1:23" x14ac:dyDescent="0.3">
      <c r="A702" s="6" t="s">
        <v>205</v>
      </c>
      <c r="B702" s="1">
        <v>45682</v>
      </c>
      <c r="C702" s="6" t="s">
        <v>343</v>
      </c>
      <c r="D702" s="6" t="s">
        <v>40</v>
      </c>
      <c r="E702" s="6" t="s">
        <v>64</v>
      </c>
      <c r="F702" s="6" t="s">
        <v>24</v>
      </c>
      <c r="G702" s="6" t="s">
        <v>69</v>
      </c>
      <c r="H702" s="6" t="s">
        <v>26</v>
      </c>
      <c r="I702" s="6" t="s">
        <v>42</v>
      </c>
      <c r="J702" s="6" t="s">
        <v>40</v>
      </c>
      <c r="K702" s="6" t="s">
        <v>48</v>
      </c>
      <c r="L702" s="6" t="s">
        <v>54</v>
      </c>
      <c r="M702" s="6" t="s">
        <v>32</v>
      </c>
      <c r="N702" s="6" t="s">
        <v>28</v>
      </c>
      <c r="O702" s="6" t="s">
        <v>26</v>
      </c>
      <c r="P702" s="6" t="s">
        <v>48</v>
      </c>
      <c r="Q702" s="6" t="s">
        <v>48</v>
      </c>
      <c r="R702" s="6" t="s">
        <v>40</v>
      </c>
      <c r="S702" s="6" t="s">
        <v>54</v>
      </c>
      <c r="T702" s="6" t="s">
        <v>48</v>
      </c>
      <c r="U702" s="6" t="s">
        <v>28</v>
      </c>
      <c r="V702" s="6" t="s">
        <v>82</v>
      </c>
      <c r="W702" t="s">
        <v>352</v>
      </c>
    </row>
    <row r="703" spans="1:23" x14ac:dyDescent="0.3">
      <c r="A703" s="6" t="s">
        <v>205</v>
      </c>
      <c r="B703" s="1">
        <v>45682</v>
      </c>
      <c r="C703" s="6" t="s">
        <v>343</v>
      </c>
      <c r="D703" s="6" t="s">
        <v>40</v>
      </c>
      <c r="E703" s="6" t="s">
        <v>64</v>
      </c>
      <c r="F703" s="6" t="s">
        <v>24</v>
      </c>
      <c r="G703" s="6" t="s">
        <v>69</v>
      </c>
      <c r="H703" s="6" t="s">
        <v>26</v>
      </c>
      <c r="I703" s="6" t="s">
        <v>42</v>
      </c>
      <c r="J703" s="6" t="s">
        <v>40</v>
      </c>
      <c r="K703" s="6" t="s">
        <v>48</v>
      </c>
      <c r="L703" s="6" t="s">
        <v>54</v>
      </c>
      <c r="M703" s="6" t="s">
        <v>32</v>
      </c>
      <c r="N703" s="6" t="s">
        <v>28</v>
      </c>
      <c r="O703" s="6" t="s">
        <v>26</v>
      </c>
      <c r="P703" s="6" t="s">
        <v>48</v>
      </c>
      <c r="Q703" s="6" t="s">
        <v>48</v>
      </c>
      <c r="R703" s="6" t="s">
        <v>40</v>
      </c>
      <c r="S703" s="6" t="s">
        <v>54</v>
      </c>
      <c r="T703" s="6" t="s">
        <v>48</v>
      </c>
      <c r="U703" s="6" t="s">
        <v>28</v>
      </c>
      <c r="V703" s="6" t="s">
        <v>137</v>
      </c>
      <c r="W703" t="s">
        <v>352</v>
      </c>
    </row>
    <row r="704" spans="1:23" x14ac:dyDescent="0.3">
      <c r="A704" s="6" t="s">
        <v>206</v>
      </c>
      <c r="B704" s="1">
        <v>45684</v>
      </c>
      <c r="C704" s="6" t="s">
        <v>33</v>
      </c>
      <c r="D704" s="6" t="s">
        <v>78</v>
      </c>
      <c r="E704" s="6" t="s">
        <v>68</v>
      </c>
      <c r="F704" s="6" t="s">
        <v>24</v>
      </c>
      <c r="G704" s="6" t="s">
        <v>97</v>
      </c>
      <c r="H704" s="6" t="s">
        <v>26</v>
      </c>
      <c r="I704" s="6" t="s">
        <v>58</v>
      </c>
      <c r="J704" s="6" t="s">
        <v>78</v>
      </c>
      <c r="K704" s="6" t="s">
        <v>76</v>
      </c>
      <c r="L704" s="6" t="s">
        <v>54</v>
      </c>
      <c r="M704" s="6" t="s">
        <v>55</v>
      </c>
      <c r="N704" s="6" t="s">
        <v>28</v>
      </c>
      <c r="O704" s="6" t="s">
        <v>26</v>
      </c>
      <c r="P704" s="6" t="s">
        <v>27</v>
      </c>
      <c r="Q704" s="6" t="s">
        <v>48</v>
      </c>
      <c r="R704" s="6" t="s">
        <v>49</v>
      </c>
      <c r="S704" s="6" t="s">
        <v>54</v>
      </c>
      <c r="T704" s="6" t="s">
        <v>48</v>
      </c>
      <c r="U704" s="6" t="s">
        <v>28</v>
      </c>
      <c r="V704" s="6" t="s">
        <v>146</v>
      </c>
      <c r="W704" t="s">
        <v>352</v>
      </c>
    </row>
    <row r="705" spans="1:23" x14ac:dyDescent="0.3">
      <c r="A705" s="6" t="s">
        <v>207</v>
      </c>
      <c r="B705" s="1">
        <v>45684</v>
      </c>
      <c r="C705" s="6" t="s">
        <v>343</v>
      </c>
      <c r="D705" s="6" t="s">
        <v>43</v>
      </c>
      <c r="E705" s="6" t="s">
        <v>68</v>
      </c>
      <c r="F705" s="6" t="s">
        <v>24</v>
      </c>
      <c r="G705" s="6" t="s">
        <v>97</v>
      </c>
      <c r="H705" s="6" t="s">
        <v>48</v>
      </c>
      <c r="I705" s="6" t="s">
        <v>37</v>
      </c>
      <c r="J705" s="6" t="s">
        <v>43</v>
      </c>
      <c r="K705" s="6" t="s">
        <v>48</v>
      </c>
      <c r="L705" s="6" t="s">
        <v>54</v>
      </c>
      <c r="M705" s="6" t="s">
        <v>48</v>
      </c>
      <c r="N705" s="6" t="s">
        <v>28</v>
      </c>
      <c r="O705" s="6" t="s">
        <v>26</v>
      </c>
      <c r="P705" s="6" t="s">
        <v>52</v>
      </c>
      <c r="Q705" s="6" t="s">
        <v>48</v>
      </c>
      <c r="R705" s="6" t="s">
        <v>43</v>
      </c>
      <c r="S705" s="6" t="s">
        <v>54</v>
      </c>
      <c r="T705" s="6" t="s">
        <v>29</v>
      </c>
      <c r="U705" s="6" t="s">
        <v>28</v>
      </c>
      <c r="V705" s="6" t="s">
        <v>146</v>
      </c>
      <c r="W705" t="s">
        <v>352</v>
      </c>
    </row>
    <row r="706" spans="1:23" x14ac:dyDescent="0.3">
      <c r="A706" s="6" t="s">
        <v>208</v>
      </c>
      <c r="B706" s="1">
        <v>45684</v>
      </c>
      <c r="C706" s="6" t="s">
        <v>57</v>
      </c>
      <c r="D706" s="6" t="s">
        <v>22</v>
      </c>
      <c r="E706" s="6" t="s">
        <v>68</v>
      </c>
      <c r="F706" s="6" t="s">
        <v>24</v>
      </c>
      <c r="G706" s="6" t="s">
        <v>47</v>
      </c>
      <c r="H706" s="6" t="s">
        <v>26</v>
      </c>
      <c r="I706" s="6" t="s">
        <v>58</v>
      </c>
      <c r="J706" s="6" t="s">
        <v>22</v>
      </c>
      <c r="K706" s="6" t="s">
        <v>48</v>
      </c>
      <c r="L706" s="6" t="s">
        <v>54</v>
      </c>
      <c r="M706" s="6" t="s">
        <v>55</v>
      </c>
      <c r="N706" s="6" t="s">
        <v>28</v>
      </c>
      <c r="O706" s="6" t="s">
        <v>48</v>
      </c>
      <c r="P706" s="6" t="s">
        <v>48</v>
      </c>
      <c r="Q706" s="6" t="s">
        <v>48</v>
      </c>
      <c r="R706" s="6" t="s">
        <v>22</v>
      </c>
      <c r="S706" s="6" t="s">
        <v>54</v>
      </c>
      <c r="T706" s="6" t="s">
        <v>48</v>
      </c>
      <c r="U706" s="6" t="s">
        <v>126</v>
      </c>
      <c r="V706" s="6" t="s">
        <v>82</v>
      </c>
      <c r="W706" t="s">
        <v>352</v>
      </c>
    </row>
    <row r="707" spans="1:23" x14ac:dyDescent="0.3">
      <c r="A707" s="6" t="s">
        <v>209</v>
      </c>
      <c r="B707" s="1">
        <v>45684</v>
      </c>
      <c r="C707" s="6" t="s">
        <v>341</v>
      </c>
      <c r="D707" s="6" t="s">
        <v>22</v>
      </c>
      <c r="E707" s="6" t="s">
        <v>23</v>
      </c>
      <c r="F707" s="6" t="s">
        <v>24</v>
      </c>
      <c r="G707" s="6" t="s">
        <v>101</v>
      </c>
      <c r="H707" s="6" t="s">
        <v>26</v>
      </c>
      <c r="I707" s="6" t="s">
        <v>42</v>
      </c>
      <c r="J707" s="6" t="s">
        <v>22</v>
      </c>
      <c r="K707" s="6" t="s">
        <v>48</v>
      </c>
      <c r="L707" s="6" t="s">
        <v>54</v>
      </c>
      <c r="M707" s="6" t="s">
        <v>32</v>
      </c>
      <c r="N707" s="6" t="s">
        <v>28</v>
      </c>
      <c r="O707" s="6" t="s">
        <v>30</v>
      </c>
      <c r="P707" s="6" t="s">
        <v>52</v>
      </c>
      <c r="Q707" s="6" t="s">
        <v>31</v>
      </c>
      <c r="R707" s="6" t="s">
        <v>22</v>
      </c>
      <c r="S707" s="6" t="s">
        <v>128</v>
      </c>
      <c r="T707" s="6" t="s">
        <v>32</v>
      </c>
      <c r="U707" s="6" t="s">
        <v>28</v>
      </c>
      <c r="V707" s="6" t="s">
        <v>82</v>
      </c>
      <c r="W707" t="s">
        <v>352</v>
      </c>
    </row>
    <row r="708" spans="1:23" x14ac:dyDescent="0.3">
      <c r="A708" s="6" t="s">
        <v>210</v>
      </c>
      <c r="B708" s="1">
        <v>45684</v>
      </c>
      <c r="C708" s="6" t="s">
        <v>21</v>
      </c>
      <c r="D708" s="6" t="s">
        <v>117</v>
      </c>
      <c r="E708" s="6" t="s">
        <v>73</v>
      </c>
      <c r="F708" s="6" t="s">
        <v>24</v>
      </c>
      <c r="G708" s="6" t="s">
        <v>111</v>
      </c>
      <c r="H708" s="6" t="s">
        <v>26</v>
      </c>
      <c r="I708" s="6" t="s">
        <v>42</v>
      </c>
      <c r="J708" s="6" t="s">
        <v>117</v>
      </c>
      <c r="K708" s="6" t="s">
        <v>48</v>
      </c>
      <c r="L708" s="6" t="s">
        <v>54</v>
      </c>
      <c r="M708" s="6" t="s">
        <v>29</v>
      </c>
      <c r="N708" s="6" t="s">
        <v>28</v>
      </c>
      <c r="O708" s="6" t="s">
        <v>26</v>
      </c>
      <c r="P708" s="6" t="s">
        <v>66</v>
      </c>
      <c r="Q708" s="6" t="s">
        <v>31</v>
      </c>
      <c r="R708" s="6" t="s">
        <v>117</v>
      </c>
      <c r="S708" s="6" t="s">
        <v>54</v>
      </c>
      <c r="T708" s="6" t="s">
        <v>48</v>
      </c>
      <c r="U708" s="6" t="s">
        <v>28</v>
      </c>
      <c r="V708" s="6" t="s">
        <v>137</v>
      </c>
      <c r="W708" t="s">
        <v>352</v>
      </c>
    </row>
    <row r="709" spans="1:23" x14ac:dyDescent="0.3">
      <c r="A709" s="6" t="s">
        <v>211</v>
      </c>
      <c r="B709" s="1">
        <v>45684</v>
      </c>
      <c r="C709" s="6" t="s">
        <v>21</v>
      </c>
      <c r="D709" s="6" t="s">
        <v>117</v>
      </c>
      <c r="E709" s="6" t="s">
        <v>73</v>
      </c>
      <c r="F709" s="6" t="s">
        <v>24</v>
      </c>
      <c r="G709" s="6" t="s">
        <v>111</v>
      </c>
      <c r="H709" s="6" t="s">
        <v>26</v>
      </c>
      <c r="I709" s="6" t="s">
        <v>42</v>
      </c>
      <c r="J709" s="6" t="s">
        <v>117</v>
      </c>
      <c r="K709" s="6" t="s">
        <v>48</v>
      </c>
      <c r="L709" s="6" t="s">
        <v>54</v>
      </c>
      <c r="M709" s="6" t="s">
        <v>29</v>
      </c>
      <c r="N709" s="6" t="s">
        <v>28</v>
      </c>
      <c r="O709" s="6" t="s">
        <v>30</v>
      </c>
      <c r="P709" s="6" t="s">
        <v>48</v>
      </c>
      <c r="Q709" s="6" t="s">
        <v>48</v>
      </c>
      <c r="R709" s="6" t="s">
        <v>117</v>
      </c>
      <c r="S709" s="6" t="s">
        <v>54</v>
      </c>
      <c r="T709" s="6" t="s">
        <v>48</v>
      </c>
      <c r="U709" s="6" t="s">
        <v>28</v>
      </c>
      <c r="V709" s="6" t="s">
        <v>137</v>
      </c>
      <c r="W709" t="s">
        <v>352</v>
      </c>
    </row>
    <row r="710" spans="1:23" x14ac:dyDescent="0.3">
      <c r="A710" s="6" t="s">
        <v>212</v>
      </c>
      <c r="B710" s="1">
        <v>45685</v>
      </c>
      <c r="C710" s="6" t="s">
        <v>57</v>
      </c>
      <c r="D710" s="6" t="s">
        <v>50</v>
      </c>
      <c r="E710" s="6" t="s">
        <v>41</v>
      </c>
      <c r="F710" s="6" t="s">
        <v>24</v>
      </c>
      <c r="G710" s="6" t="s">
        <v>145</v>
      </c>
      <c r="H710" s="6" t="s">
        <v>26</v>
      </c>
      <c r="I710" s="6" t="s">
        <v>37</v>
      </c>
      <c r="J710" s="6" t="s">
        <v>50</v>
      </c>
      <c r="K710" s="6" t="s">
        <v>48</v>
      </c>
      <c r="L710" s="6" t="s">
        <v>54</v>
      </c>
      <c r="M710" s="6" t="s">
        <v>29</v>
      </c>
      <c r="N710" s="6" t="s">
        <v>28</v>
      </c>
      <c r="O710" s="6" t="s">
        <v>48</v>
      </c>
      <c r="P710" s="6" t="s">
        <v>48</v>
      </c>
      <c r="Q710" s="6" t="s">
        <v>48</v>
      </c>
      <c r="R710" s="6" t="s">
        <v>50</v>
      </c>
      <c r="S710" s="6" t="s">
        <v>54</v>
      </c>
      <c r="T710" s="6" t="s">
        <v>48</v>
      </c>
      <c r="U710" s="6" t="s">
        <v>59</v>
      </c>
      <c r="V710" s="6" t="s">
        <v>82</v>
      </c>
      <c r="W710" t="s">
        <v>352</v>
      </c>
    </row>
    <row r="711" spans="1:23" x14ac:dyDescent="0.3">
      <c r="A711" s="6" t="s">
        <v>213</v>
      </c>
      <c r="B711" s="1">
        <v>45685</v>
      </c>
      <c r="C711" s="6" t="s">
        <v>57</v>
      </c>
      <c r="D711" s="6" t="s">
        <v>50</v>
      </c>
      <c r="E711" s="6" t="s">
        <v>41</v>
      </c>
      <c r="F711" s="6" t="s">
        <v>24</v>
      </c>
      <c r="G711" s="6" t="s">
        <v>145</v>
      </c>
      <c r="H711" s="6" t="s">
        <v>26</v>
      </c>
      <c r="I711" s="6" t="s">
        <v>37</v>
      </c>
      <c r="J711" s="6" t="s">
        <v>50</v>
      </c>
      <c r="K711" s="6" t="s">
        <v>48</v>
      </c>
      <c r="L711" s="6" t="s">
        <v>54</v>
      </c>
      <c r="M711" s="6" t="s">
        <v>29</v>
      </c>
      <c r="N711" s="6" t="s">
        <v>28</v>
      </c>
      <c r="O711" s="6" t="s">
        <v>48</v>
      </c>
      <c r="P711" s="6" t="s">
        <v>48</v>
      </c>
      <c r="Q711" s="6" t="s">
        <v>48</v>
      </c>
      <c r="R711" s="6" t="s">
        <v>50</v>
      </c>
      <c r="S711" s="6" t="s">
        <v>54</v>
      </c>
      <c r="T711" s="6" t="s">
        <v>48</v>
      </c>
      <c r="U711" s="6" t="s">
        <v>59</v>
      </c>
      <c r="V711" s="6" t="s">
        <v>82</v>
      </c>
      <c r="W711" t="s">
        <v>352</v>
      </c>
    </row>
    <row r="712" spans="1:23" x14ac:dyDescent="0.3">
      <c r="A712" s="6" t="s">
        <v>214</v>
      </c>
      <c r="B712" s="1">
        <v>45685</v>
      </c>
      <c r="C712" s="6" t="s">
        <v>57</v>
      </c>
      <c r="D712" s="6" t="s">
        <v>50</v>
      </c>
      <c r="E712" s="6" t="s">
        <v>41</v>
      </c>
      <c r="F712" s="6" t="s">
        <v>24</v>
      </c>
      <c r="G712" s="6" t="s">
        <v>145</v>
      </c>
      <c r="H712" s="6" t="s">
        <v>26</v>
      </c>
      <c r="I712" s="6" t="s">
        <v>37</v>
      </c>
      <c r="J712" s="6" t="s">
        <v>50</v>
      </c>
      <c r="K712" s="6" t="s">
        <v>48</v>
      </c>
      <c r="L712" s="6" t="s">
        <v>54</v>
      </c>
      <c r="M712" s="6" t="s">
        <v>29</v>
      </c>
      <c r="N712" s="6" t="s">
        <v>28</v>
      </c>
      <c r="O712" s="6" t="s">
        <v>30</v>
      </c>
      <c r="P712" s="6" t="s">
        <v>38</v>
      </c>
      <c r="Q712" s="6" t="s">
        <v>48</v>
      </c>
      <c r="R712" s="6" t="s">
        <v>50</v>
      </c>
      <c r="S712" s="6" t="s">
        <v>54</v>
      </c>
      <c r="T712" s="6" t="s">
        <v>32</v>
      </c>
      <c r="U712" s="6" t="s">
        <v>28</v>
      </c>
      <c r="V712" s="6" t="s">
        <v>82</v>
      </c>
      <c r="W712" t="s">
        <v>352</v>
      </c>
    </row>
    <row r="713" spans="1:23" x14ac:dyDescent="0.3">
      <c r="A713" s="6" t="s">
        <v>215</v>
      </c>
      <c r="B713" s="1">
        <v>45686</v>
      </c>
      <c r="C713" s="6" t="s">
        <v>33</v>
      </c>
      <c r="D713" s="6" t="s">
        <v>43</v>
      </c>
      <c r="E713" s="6" t="s">
        <v>35</v>
      </c>
      <c r="F713" s="6" t="s">
        <v>24</v>
      </c>
      <c r="G713" s="6" t="s">
        <v>25</v>
      </c>
      <c r="H713" s="6" t="s">
        <v>26</v>
      </c>
      <c r="I713" s="6" t="s">
        <v>58</v>
      </c>
      <c r="J713" s="6" t="s">
        <v>43</v>
      </c>
      <c r="K713" s="6" t="s">
        <v>76</v>
      </c>
      <c r="L713" s="6" t="s">
        <v>152</v>
      </c>
      <c r="M713" s="6" t="s">
        <v>32</v>
      </c>
      <c r="N713" s="6" t="s">
        <v>28</v>
      </c>
      <c r="O713" s="6" t="s">
        <v>30</v>
      </c>
      <c r="P713" s="6" t="s">
        <v>66</v>
      </c>
      <c r="Q713" s="6" t="s">
        <v>31</v>
      </c>
      <c r="R713" s="6" t="s">
        <v>43</v>
      </c>
      <c r="S713" s="6" t="s">
        <v>54</v>
      </c>
      <c r="T713" s="6" t="s">
        <v>32</v>
      </c>
      <c r="U713" s="6" t="s">
        <v>28</v>
      </c>
      <c r="V713" s="6" t="s">
        <v>82</v>
      </c>
      <c r="W713" t="s">
        <v>352</v>
      </c>
    </row>
    <row r="714" spans="1:23" x14ac:dyDescent="0.3">
      <c r="A714" s="6" t="s">
        <v>216</v>
      </c>
      <c r="B714" s="1">
        <v>45686</v>
      </c>
      <c r="C714" s="6" t="s">
        <v>343</v>
      </c>
      <c r="D714" s="6" t="s">
        <v>95</v>
      </c>
      <c r="E714" s="6" t="s">
        <v>23</v>
      </c>
      <c r="F714" s="6" t="s">
        <v>24</v>
      </c>
      <c r="G714" s="6" t="s">
        <v>61</v>
      </c>
      <c r="H714" s="6" t="s">
        <v>48</v>
      </c>
      <c r="I714" s="6" t="s">
        <v>100</v>
      </c>
      <c r="J714" s="6" t="s">
        <v>95</v>
      </c>
      <c r="K714" s="6" t="s">
        <v>48</v>
      </c>
      <c r="L714" s="6" t="s">
        <v>54</v>
      </c>
      <c r="M714" s="6" t="s">
        <v>48</v>
      </c>
      <c r="N714" s="6" t="s">
        <v>28</v>
      </c>
      <c r="O714" s="6" t="s">
        <v>48</v>
      </c>
      <c r="P714" s="6" t="s">
        <v>48</v>
      </c>
      <c r="Q714" s="6" t="s">
        <v>48</v>
      </c>
      <c r="R714" s="6" t="s">
        <v>95</v>
      </c>
      <c r="S714" s="6" t="s">
        <v>54</v>
      </c>
      <c r="T714" s="6" t="s">
        <v>48</v>
      </c>
      <c r="U714" s="6" t="s">
        <v>94</v>
      </c>
      <c r="V714" s="6" t="s">
        <v>137</v>
      </c>
      <c r="W714" t="s">
        <v>352</v>
      </c>
    </row>
    <row r="715" spans="1:23" x14ac:dyDescent="0.3">
      <c r="A715" s="6" t="s">
        <v>217</v>
      </c>
      <c r="B715" s="1">
        <v>45687</v>
      </c>
      <c r="C715" s="6" t="s">
        <v>343</v>
      </c>
      <c r="D715" s="6" t="s">
        <v>43</v>
      </c>
      <c r="E715" s="6" t="s">
        <v>68</v>
      </c>
      <c r="F715" s="6" t="s">
        <v>24</v>
      </c>
      <c r="G715" s="6" t="s">
        <v>61</v>
      </c>
      <c r="H715" s="6" t="s">
        <v>26</v>
      </c>
      <c r="I715" s="6" t="s">
        <v>45</v>
      </c>
      <c r="J715" s="6" t="s">
        <v>43</v>
      </c>
      <c r="K715" s="6" t="s">
        <v>76</v>
      </c>
      <c r="L715" s="6" t="s">
        <v>54</v>
      </c>
      <c r="M715" s="6" t="s">
        <v>32</v>
      </c>
      <c r="N715" s="6" t="s">
        <v>28</v>
      </c>
      <c r="O715" s="6" t="s">
        <v>48</v>
      </c>
      <c r="P715" s="6" t="s">
        <v>48</v>
      </c>
      <c r="Q715" s="6" t="s">
        <v>48</v>
      </c>
      <c r="R715" s="6" t="s">
        <v>43</v>
      </c>
      <c r="S715" s="6" t="s">
        <v>54</v>
      </c>
      <c r="T715" s="6" t="s">
        <v>48</v>
      </c>
      <c r="U715" s="6" t="s">
        <v>59</v>
      </c>
      <c r="V715" s="6" t="s">
        <v>82</v>
      </c>
      <c r="W715" t="s">
        <v>352</v>
      </c>
    </row>
    <row r="716" spans="1:23" x14ac:dyDescent="0.3">
      <c r="A716" s="6" t="s">
        <v>217</v>
      </c>
      <c r="B716" s="1">
        <v>45687</v>
      </c>
      <c r="C716" s="6" t="s">
        <v>343</v>
      </c>
      <c r="D716" s="6" t="s">
        <v>43</v>
      </c>
      <c r="E716" s="6" t="s">
        <v>68</v>
      </c>
      <c r="F716" s="6" t="s">
        <v>24</v>
      </c>
      <c r="G716" s="6" t="s">
        <v>61</v>
      </c>
      <c r="H716" s="6" t="s">
        <v>26</v>
      </c>
      <c r="I716" s="6" t="s">
        <v>45</v>
      </c>
      <c r="J716" s="6" t="s">
        <v>43</v>
      </c>
      <c r="K716" s="6" t="s">
        <v>76</v>
      </c>
      <c r="L716" s="6" t="s">
        <v>54</v>
      </c>
      <c r="M716" s="6" t="s">
        <v>32</v>
      </c>
      <c r="N716" s="6" t="s">
        <v>28</v>
      </c>
      <c r="O716" s="6" t="s">
        <v>48</v>
      </c>
      <c r="P716" s="6" t="s">
        <v>48</v>
      </c>
      <c r="Q716" s="6" t="s">
        <v>48</v>
      </c>
      <c r="R716" s="6" t="s">
        <v>43</v>
      </c>
      <c r="S716" s="6" t="s">
        <v>54</v>
      </c>
      <c r="T716" s="6" t="s">
        <v>48</v>
      </c>
      <c r="U716" s="6" t="s">
        <v>59</v>
      </c>
      <c r="V716" s="6" t="s">
        <v>146</v>
      </c>
      <c r="W716" t="s">
        <v>352</v>
      </c>
    </row>
    <row r="717" spans="1:23" x14ac:dyDescent="0.3">
      <c r="A717" s="6" t="s">
        <v>218</v>
      </c>
      <c r="B717" s="1">
        <v>45687</v>
      </c>
      <c r="C717" s="6" t="s">
        <v>343</v>
      </c>
      <c r="D717" s="6" t="s">
        <v>81</v>
      </c>
      <c r="E717" s="6" t="s">
        <v>44</v>
      </c>
      <c r="F717" s="6" t="s">
        <v>24</v>
      </c>
      <c r="G717" s="6" t="s">
        <v>61</v>
      </c>
      <c r="H717" s="6" t="s">
        <v>26</v>
      </c>
      <c r="I717" s="6" t="s">
        <v>52</v>
      </c>
      <c r="J717" s="6" t="s">
        <v>81</v>
      </c>
      <c r="K717" s="6" t="s">
        <v>48</v>
      </c>
      <c r="L717" s="6" t="s">
        <v>54</v>
      </c>
      <c r="M717" s="6" t="s">
        <v>29</v>
      </c>
      <c r="N717" s="6" t="s">
        <v>28</v>
      </c>
      <c r="O717" s="6" t="s">
        <v>48</v>
      </c>
      <c r="P717" s="6" t="s">
        <v>48</v>
      </c>
      <c r="Q717" s="6" t="s">
        <v>48</v>
      </c>
      <c r="R717" s="6" t="s">
        <v>81</v>
      </c>
      <c r="S717" s="6" t="s">
        <v>54</v>
      </c>
      <c r="T717" s="6" t="s">
        <v>48</v>
      </c>
      <c r="U717" s="6" t="s">
        <v>59</v>
      </c>
      <c r="V717" s="6" t="s">
        <v>82</v>
      </c>
      <c r="W717" t="s">
        <v>352</v>
      </c>
    </row>
    <row r="718" spans="1:23" x14ac:dyDescent="0.3">
      <c r="A718" s="6" t="s">
        <v>219</v>
      </c>
      <c r="B718" s="1">
        <v>45688</v>
      </c>
      <c r="C718" s="6" t="s">
        <v>33</v>
      </c>
      <c r="D718" s="6" t="s">
        <v>43</v>
      </c>
      <c r="E718" s="6" t="s">
        <v>68</v>
      </c>
      <c r="F718" s="6" t="s">
        <v>24</v>
      </c>
      <c r="G718" s="6" t="s">
        <v>101</v>
      </c>
      <c r="H718" s="6" t="s">
        <v>26</v>
      </c>
      <c r="I718" s="6" t="s">
        <v>100</v>
      </c>
      <c r="J718" s="6" t="s">
        <v>43</v>
      </c>
      <c r="K718" s="6" t="s">
        <v>76</v>
      </c>
      <c r="L718" s="6" t="s">
        <v>54</v>
      </c>
      <c r="M718" s="6" t="s">
        <v>29</v>
      </c>
      <c r="N718" s="6" t="s">
        <v>28</v>
      </c>
      <c r="O718" s="6" t="s">
        <v>30</v>
      </c>
      <c r="P718" s="6" t="s">
        <v>58</v>
      </c>
      <c r="Q718" s="6" t="s">
        <v>31</v>
      </c>
      <c r="R718" s="6" t="s">
        <v>43</v>
      </c>
      <c r="S718" s="6" t="s">
        <v>54</v>
      </c>
      <c r="T718" s="6" t="s">
        <v>32</v>
      </c>
      <c r="U718" s="6" t="s">
        <v>28</v>
      </c>
      <c r="V718" s="6" t="s">
        <v>82</v>
      </c>
      <c r="W718" t="s">
        <v>352</v>
      </c>
    </row>
    <row r="719" spans="1:23" x14ac:dyDescent="0.3">
      <c r="A719" s="6" t="s">
        <v>220</v>
      </c>
      <c r="B719" s="1">
        <v>45689</v>
      </c>
      <c r="C719" s="6" t="s">
        <v>33</v>
      </c>
      <c r="D719" s="6" t="s">
        <v>22</v>
      </c>
      <c r="E719" s="6" t="s">
        <v>68</v>
      </c>
      <c r="F719" s="6" t="s">
        <v>24</v>
      </c>
      <c r="G719" s="6" t="s">
        <v>61</v>
      </c>
      <c r="H719" s="6" t="s">
        <v>26</v>
      </c>
      <c r="I719" s="6" t="s">
        <v>42</v>
      </c>
      <c r="J719" s="6" t="s">
        <v>22</v>
      </c>
      <c r="K719" s="6" t="s">
        <v>48</v>
      </c>
      <c r="L719" s="6" t="s">
        <v>54</v>
      </c>
      <c r="M719" s="6" t="s">
        <v>32</v>
      </c>
      <c r="N719" s="6" t="s">
        <v>28</v>
      </c>
      <c r="O719" s="6" t="s">
        <v>30</v>
      </c>
      <c r="P719" s="6" t="s">
        <v>45</v>
      </c>
      <c r="Q719" s="6" t="s">
        <v>31</v>
      </c>
      <c r="R719" s="6" t="s">
        <v>22</v>
      </c>
      <c r="S719" s="6" t="s">
        <v>54</v>
      </c>
      <c r="T719" s="6" t="s">
        <v>32</v>
      </c>
      <c r="U719" s="6" t="s">
        <v>28</v>
      </c>
      <c r="V719" s="6" t="s">
        <v>82</v>
      </c>
      <c r="W719" t="s">
        <v>353</v>
      </c>
    </row>
    <row r="720" spans="1:23" x14ac:dyDescent="0.3">
      <c r="A720" s="6" t="s">
        <v>221</v>
      </c>
      <c r="B720" s="1">
        <v>45691</v>
      </c>
      <c r="C720" s="6" t="s">
        <v>33</v>
      </c>
      <c r="D720" s="6" t="s">
        <v>83</v>
      </c>
      <c r="E720" s="6" t="s">
        <v>23</v>
      </c>
      <c r="F720" s="6" t="s">
        <v>24</v>
      </c>
      <c r="G720" s="6" t="s">
        <v>61</v>
      </c>
      <c r="H720" s="6" t="s">
        <v>26</v>
      </c>
      <c r="I720" s="6" t="s">
        <v>37</v>
      </c>
      <c r="J720" s="6" t="s">
        <v>83</v>
      </c>
      <c r="K720" s="6" t="s">
        <v>48</v>
      </c>
      <c r="L720" s="6" t="s">
        <v>152</v>
      </c>
      <c r="M720" s="6" t="s">
        <v>29</v>
      </c>
      <c r="N720" s="6" t="s">
        <v>28</v>
      </c>
      <c r="O720" s="6" t="s">
        <v>30</v>
      </c>
      <c r="P720" s="6" t="s">
        <v>42</v>
      </c>
      <c r="Q720" s="6" t="s">
        <v>31</v>
      </c>
      <c r="R720" s="6" t="s">
        <v>83</v>
      </c>
      <c r="S720" s="6" t="s">
        <v>128</v>
      </c>
      <c r="T720" s="6" t="s">
        <v>29</v>
      </c>
      <c r="U720" s="6" t="s">
        <v>28</v>
      </c>
      <c r="V720" s="6" t="s">
        <v>146</v>
      </c>
      <c r="W720" t="s">
        <v>353</v>
      </c>
    </row>
    <row r="721" spans="1:23" x14ac:dyDescent="0.3">
      <c r="A721" s="6" t="s">
        <v>222</v>
      </c>
      <c r="B721" s="1">
        <v>45691</v>
      </c>
      <c r="C721" s="6" t="s">
        <v>33</v>
      </c>
      <c r="D721" s="6" t="s">
        <v>48</v>
      </c>
      <c r="E721" s="6" t="s">
        <v>46</v>
      </c>
      <c r="F721" s="6" t="s">
        <v>24</v>
      </c>
      <c r="G721" s="6" t="s">
        <v>68</v>
      </c>
      <c r="H721" s="6" t="s">
        <v>26</v>
      </c>
      <c r="I721" s="6" t="s">
        <v>52</v>
      </c>
      <c r="J721" s="6" t="s">
        <v>88</v>
      </c>
      <c r="K721" s="6" t="s">
        <v>48</v>
      </c>
      <c r="L721" s="6" t="s">
        <v>54</v>
      </c>
      <c r="M721" s="6" t="s">
        <v>32</v>
      </c>
      <c r="N721" s="6" t="s">
        <v>28</v>
      </c>
      <c r="O721" s="6" t="s">
        <v>30</v>
      </c>
      <c r="P721" s="6" t="s">
        <v>48</v>
      </c>
      <c r="Q721" s="6" t="s">
        <v>48</v>
      </c>
      <c r="R721" s="6" t="s">
        <v>70</v>
      </c>
      <c r="S721" s="6" t="s">
        <v>54</v>
      </c>
      <c r="T721" s="6" t="s">
        <v>48</v>
      </c>
      <c r="U721" s="6" t="s">
        <v>28</v>
      </c>
      <c r="V721" s="6" t="s">
        <v>82</v>
      </c>
      <c r="W721" t="s">
        <v>353</v>
      </c>
    </row>
    <row r="722" spans="1:23" x14ac:dyDescent="0.3">
      <c r="A722" s="6" t="s">
        <v>222</v>
      </c>
      <c r="B722" s="1">
        <v>45691</v>
      </c>
      <c r="C722" s="6" t="s">
        <v>33</v>
      </c>
      <c r="D722" s="6" t="s">
        <v>48</v>
      </c>
      <c r="E722" s="6" t="s">
        <v>46</v>
      </c>
      <c r="F722" s="6" t="s">
        <v>24</v>
      </c>
      <c r="G722" s="6" t="s">
        <v>68</v>
      </c>
      <c r="H722" s="6" t="s">
        <v>26</v>
      </c>
      <c r="I722" s="6" t="s">
        <v>52</v>
      </c>
      <c r="J722" s="6" t="s">
        <v>88</v>
      </c>
      <c r="K722" s="6" t="s">
        <v>48</v>
      </c>
      <c r="L722" s="6" t="s">
        <v>54</v>
      </c>
      <c r="M722" s="6" t="s">
        <v>32</v>
      </c>
      <c r="N722" s="6" t="s">
        <v>28</v>
      </c>
      <c r="O722" s="6" t="s">
        <v>30</v>
      </c>
      <c r="P722" s="6" t="s">
        <v>48</v>
      </c>
      <c r="Q722" s="6" t="s">
        <v>48</v>
      </c>
      <c r="R722" s="6" t="s">
        <v>70</v>
      </c>
      <c r="S722" s="6" t="s">
        <v>54</v>
      </c>
      <c r="T722" s="6" t="s">
        <v>48</v>
      </c>
      <c r="U722" s="6" t="s">
        <v>28</v>
      </c>
      <c r="V722" s="6" t="s">
        <v>146</v>
      </c>
      <c r="W722" t="s">
        <v>353</v>
      </c>
    </row>
    <row r="723" spans="1:23" x14ac:dyDescent="0.3">
      <c r="A723" s="6" t="s">
        <v>223</v>
      </c>
      <c r="B723" s="1">
        <v>45692</v>
      </c>
      <c r="C723" s="6" t="s">
        <v>343</v>
      </c>
      <c r="D723" s="6" t="s">
        <v>93</v>
      </c>
      <c r="E723" s="6" t="s">
        <v>68</v>
      </c>
      <c r="F723" s="6" t="s">
        <v>24</v>
      </c>
      <c r="G723" s="6" t="s">
        <v>61</v>
      </c>
      <c r="H723" s="6" t="s">
        <v>48</v>
      </c>
      <c r="I723" s="6" t="s">
        <v>27</v>
      </c>
      <c r="J723" s="6" t="s">
        <v>93</v>
      </c>
      <c r="K723" s="6" t="s">
        <v>48</v>
      </c>
      <c r="L723" s="6" t="s">
        <v>54</v>
      </c>
      <c r="M723" s="6" t="s">
        <v>48</v>
      </c>
      <c r="N723" s="6" t="s">
        <v>28</v>
      </c>
      <c r="O723" s="6" t="s">
        <v>48</v>
      </c>
      <c r="P723" s="6" t="s">
        <v>48</v>
      </c>
      <c r="Q723" s="6" t="s">
        <v>48</v>
      </c>
      <c r="R723" s="6" t="s">
        <v>93</v>
      </c>
      <c r="S723" s="6" t="s">
        <v>54</v>
      </c>
      <c r="T723" s="6" t="s">
        <v>48</v>
      </c>
      <c r="U723" s="6" t="s">
        <v>77</v>
      </c>
      <c r="V723" s="6" t="s">
        <v>82</v>
      </c>
      <c r="W723" t="s">
        <v>353</v>
      </c>
    </row>
    <row r="724" spans="1:23" x14ac:dyDescent="0.3">
      <c r="A724" s="6" t="s">
        <v>224</v>
      </c>
      <c r="B724" s="1">
        <v>45693</v>
      </c>
      <c r="C724" s="6" t="s">
        <v>21</v>
      </c>
      <c r="D724" s="6" t="s">
        <v>95</v>
      </c>
      <c r="E724" s="6" t="s">
        <v>35</v>
      </c>
      <c r="F724" s="6" t="s">
        <v>24</v>
      </c>
      <c r="G724" s="6" t="s">
        <v>61</v>
      </c>
      <c r="H724" s="6" t="s">
        <v>48</v>
      </c>
      <c r="I724" s="6" t="s">
        <v>58</v>
      </c>
      <c r="J724" s="6" t="s">
        <v>95</v>
      </c>
      <c r="K724" s="6" t="s">
        <v>48</v>
      </c>
      <c r="L724" s="6" t="s">
        <v>54</v>
      </c>
      <c r="M724" s="6" t="s">
        <v>48</v>
      </c>
      <c r="N724" s="6" t="s">
        <v>28</v>
      </c>
      <c r="O724" s="6" t="s">
        <v>26</v>
      </c>
      <c r="P724" s="6" t="s">
        <v>45</v>
      </c>
      <c r="Q724" s="6" t="s">
        <v>31</v>
      </c>
      <c r="R724" s="6" t="s">
        <v>95</v>
      </c>
      <c r="S724" s="6" t="s">
        <v>157</v>
      </c>
      <c r="T724" s="6" t="s">
        <v>32</v>
      </c>
      <c r="U724" s="6" t="s">
        <v>28</v>
      </c>
      <c r="V724" s="6" t="s">
        <v>137</v>
      </c>
      <c r="W724" t="s">
        <v>353</v>
      </c>
    </row>
    <row r="725" spans="1:23" x14ac:dyDescent="0.3">
      <c r="A725" s="6" t="s">
        <v>224</v>
      </c>
      <c r="B725" s="1">
        <v>45693</v>
      </c>
      <c r="C725" s="6" t="s">
        <v>21</v>
      </c>
      <c r="D725" s="6" t="s">
        <v>95</v>
      </c>
      <c r="E725" s="6" t="s">
        <v>35</v>
      </c>
      <c r="F725" s="6" t="s">
        <v>24</v>
      </c>
      <c r="G725" s="6" t="s">
        <v>61</v>
      </c>
      <c r="H725" s="6" t="s">
        <v>48</v>
      </c>
      <c r="I725" s="6" t="s">
        <v>58</v>
      </c>
      <c r="J725" s="6" t="s">
        <v>95</v>
      </c>
      <c r="K725" s="6" t="s">
        <v>48</v>
      </c>
      <c r="L725" s="6" t="s">
        <v>54</v>
      </c>
      <c r="M725" s="6" t="s">
        <v>48</v>
      </c>
      <c r="N725" s="6" t="s">
        <v>28</v>
      </c>
      <c r="O725" s="6" t="s">
        <v>26</v>
      </c>
      <c r="P725" s="6" t="s">
        <v>45</v>
      </c>
      <c r="Q725" s="6" t="s">
        <v>31</v>
      </c>
      <c r="R725" s="6" t="s">
        <v>95</v>
      </c>
      <c r="S725" s="6" t="s">
        <v>157</v>
      </c>
      <c r="T725" s="6" t="s">
        <v>32</v>
      </c>
      <c r="U725" s="6" t="s">
        <v>28</v>
      </c>
      <c r="V725" s="6" t="s">
        <v>146</v>
      </c>
      <c r="W725" t="s">
        <v>353</v>
      </c>
    </row>
    <row r="726" spans="1:23" x14ac:dyDescent="0.3">
      <c r="A726" s="6" t="s">
        <v>224</v>
      </c>
      <c r="B726" s="1">
        <v>45693</v>
      </c>
      <c r="C726" s="6" t="s">
        <v>21</v>
      </c>
      <c r="D726" s="6" t="s">
        <v>95</v>
      </c>
      <c r="E726" s="6" t="s">
        <v>35</v>
      </c>
      <c r="F726" s="6" t="s">
        <v>24</v>
      </c>
      <c r="G726" s="6" t="s">
        <v>61</v>
      </c>
      <c r="H726" s="6" t="s">
        <v>48</v>
      </c>
      <c r="I726" s="6" t="s">
        <v>58</v>
      </c>
      <c r="J726" s="6" t="s">
        <v>95</v>
      </c>
      <c r="K726" s="6" t="s">
        <v>48</v>
      </c>
      <c r="L726" s="6" t="s">
        <v>54</v>
      </c>
      <c r="M726" s="6" t="s">
        <v>48</v>
      </c>
      <c r="N726" s="6" t="s">
        <v>28</v>
      </c>
      <c r="O726" s="6" t="s">
        <v>26</v>
      </c>
      <c r="P726" s="6" t="s">
        <v>45</v>
      </c>
      <c r="Q726" s="6" t="s">
        <v>31</v>
      </c>
      <c r="R726" s="6" t="s">
        <v>95</v>
      </c>
      <c r="S726" s="6" t="s">
        <v>157</v>
      </c>
      <c r="T726" s="6" t="s">
        <v>32</v>
      </c>
      <c r="U726" s="6" t="s">
        <v>28</v>
      </c>
      <c r="V726" s="6" t="s">
        <v>82</v>
      </c>
      <c r="W726" t="s">
        <v>353</v>
      </c>
    </row>
    <row r="727" spans="1:23" x14ac:dyDescent="0.3">
      <c r="A727" s="6" t="s">
        <v>226</v>
      </c>
      <c r="B727" s="1">
        <v>45694</v>
      </c>
      <c r="C727" s="6" t="s">
        <v>33</v>
      </c>
      <c r="D727" s="6" t="s">
        <v>70</v>
      </c>
      <c r="E727" s="6" t="s">
        <v>23</v>
      </c>
      <c r="F727" s="6" t="s">
        <v>24</v>
      </c>
      <c r="G727" s="6" t="s">
        <v>61</v>
      </c>
      <c r="H727" s="6" t="s">
        <v>26</v>
      </c>
      <c r="I727" s="6" t="s">
        <v>100</v>
      </c>
      <c r="J727" s="6" t="s">
        <v>70</v>
      </c>
      <c r="K727" s="6" t="s">
        <v>48</v>
      </c>
      <c r="L727" s="6" t="s">
        <v>54</v>
      </c>
      <c r="M727" s="6" t="s">
        <v>48</v>
      </c>
      <c r="N727" s="6" t="s">
        <v>28</v>
      </c>
      <c r="O727" s="6" t="s">
        <v>48</v>
      </c>
      <c r="P727" s="6" t="s">
        <v>48</v>
      </c>
      <c r="Q727" s="6" t="s">
        <v>48</v>
      </c>
      <c r="R727" s="6" t="s">
        <v>70</v>
      </c>
      <c r="S727" s="6" t="s">
        <v>54</v>
      </c>
      <c r="T727" s="6" t="s">
        <v>48</v>
      </c>
      <c r="U727" s="6" t="s">
        <v>28</v>
      </c>
      <c r="V727" s="6" t="s">
        <v>146</v>
      </c>
      <c r="W727" t="s">
        <v>353</v>
      </c>
    </row>
    <row r="728" spans="1:23" x14ac:dyDescent="0.3">
      <c r="A728" s="6" t="s">
        <v>226</v>
      </c>
      <c r="B728" s="1">
        <v>45694</v>
      </c>
      <c r="C728" s="6" t="s">
        <v>33</v>
      </c>
      <c r="D728" s="6" t="s">
        <v>70</v>
      </c>
      <c r="E728" s="6" t="s">
        <v>23</v>
      </c>
      <c r="F728" s="6" t="s">
        <v>24</v>
      </c>
      <c r="G728" s="6" t="s">
        <v>61</v>
      </c>
      <c r="H728" s="6" t="s">
        <v>26</v>
      </c>
      <c r="I728" s="6" t="s">
        <v>100</v>
      </c>
      <c r="J728" s="6" t="s">
        <v>70</v>
      </c>
      <c r="K728" s="6" t="s">
        <v>48</v>
      </c>
      <c r="L728" s="6" t="s">
        <v>54</v>
      </c>
      <c r="M728" s="6" t="s">
        <v>48</v>
      </c>
      <c r="N728" s="6" t="s">
        <v>28</v>
      </c>
      <c r="O728" s="6" t="s">
        <v>48</v>
      </c>
      <c r="P728" s="6" t="s">
        <v>48</v>
      </c>
      <c r="Q728" s="6" t="s">
        <v>48</v>
      </c>
      <c r="R728" s="6" t="s">
        <v>70</v>
      </c>
      <c r="S728" s="6" t="s">
        <v>54</v>
      </c>
      <c r="T728" s="6" t="s">
        <v>48</v>
      </c>
      <c r="U728" s="6" t="s">
        <v>28</v>
      </c>
      <c r="V728" s="6" t="s">
        <v>82</v>
      </c>
      <c r="W728" t="s">
        <v>353</v>
      </c>
    </row>
    <row r="729" spans="1:23" x14ac:dyDescent="0.3">
      <c r="A729" s="6" t="s">
        <v>225</v>
      </c>
      <c r="B729" s="1">
        <v>45694</v>
      </c>
      <c r="C729" s="6" t="s">
        <v>33</v>
      </c>
      <c r="D729" s="6" t="s">
        <v>70</v>
      </c>
      <c r="E729" s="6" t="s">
        <v>23</v>
      </c>
      <c r="F729" s="6" t="s">
        <v>24</v>
      </c>
      <c r="G729" s="6" t="s">
        <v>61</v>
      </c>
      <c r="H729" s="6" t="s">
        <v>26</v>
      </c>
      <c r="I729" s="6" t="s">
        <v>100</v>
      </c>
      <c r="J729" s="6" t="s">
        <v>70</v>
      </c>
      <c r="K729" s="6" t="s">
        <v>48</v>
      </c>
      <c r="L729" s="6" t="s">
        <v>54</v>
      </c>
      <c r="M729" s="6" t="s">
        <v>48</v>
      </c>
      <c r="N729" s="6" t="s">
        <v>28</v>
      </c>
      <c r="O729" s="6" t="s">
        <v>26</v>
      </c>
      <c r="P729" s="6" t="s">
        <v>48</v>
      </c>
      <c r="Q729" s="6" t="s">
        <v>48</v>
      </c>
      <c r="R729" s="6" t="s">
        <v>70</v>
      </c>
      <c r="S729" s="6" t="s">
        <v>54</v>
      </c>
      <c r="T729" s="6" t="s">
        <v>48</v>
      </c>
      <c r="U729" s="6" t="s">
        <v>28</v>
      </c>
      <c r="V729" s="6" t="s">
        <v>146</v>
      </c>
      <c r="W729" t="s">
        <v>353</v>
      </c>
    </row>
    <row r="730" spans="1:23" x14ac:dyDescent="0.3">
      <c r="A730" s="6" t="s">
        <v>226</v>
      </c>
      <c r="B730" s="1">
        <v>45694</v>
      </c>
      <c r="C730" s="6" t="s">
        <v>33</v>
      </c>
      <c r="D730" s="6" t="s">
        <v>70</v>
      </c>
      <c r="E730" s="6" t="s">
        <v>23</v>
      </c>
      <c r="F730" s="6" t="s">
        <v>24</v>
      </c>
      <c r="G730" s="6" t="s">
        <v>61</v>
      </c>
      <c r="H730" s="6" t="s">
        <v>26</v>
      </c>
      <c r="I730" s="6" t="s">
        <v>100</v>
      </c>
      <c r="J730" s="6" t="s">
        <v>70</v>
      </c>
      <c r="K730" s="6" t="s">
        <v>48</v>
      </c>
      <c r="L730" s="6" t="s">
        <v>54</v>
      </c>
      <c r="M730" s="6" t="s">
        <v>48</v>
      </c>
      <c r="N730" s="6" t="s">
        <v>28</v>
      </c>
      <c r="O730" s="6" t="s">
        <v>48</v>
      </c>
      <c r="P730" s="6" t="s">
        <v>48</v>
      </c>
      <c r="Q730" s="6" t="s">
        <v>48</v>
      </c>
      <c r="R730" s="6" t="s">
        <v>70</v>
      </c>
      <c r="S730" s="6" t="s">
        <v>54</v>
      </c>
      <c r="T730" s="6" t="s">
        <v>48</v>
      </c>
      <c r="U730" s="6" t="s">
        <v>28</v>
      </c>
      <c r="V730" s="6" t="s">
        <v>137</v>
      </c>
      <c r="W730" t="s">
        <v>353</v>
      </c>
    </row>
    <row r="731" spans="1:23" x14ac:dyDescent="0.3">
      <c r="A731" s="6" t="s">
        <v>225</v>
      </c>
      <c r="B731" s="1">
        <v>45694</v>
      </c>
      <c r="C731" s="6" t="s">
        <v>33</v>
      </c>
      <c r="D731" s="6" t="s">
        <v>70</v>
      </c>
      <c r="E731" s="6" t="s">
        <v>23</v>
      </c>
      <c r="F731" s="6" t="s">
        <v>24</v>
      </c>
      <c r="G731" s="6" t="s">
        <v>61</v>
      </c>
      <c r="H731" s="6" t="s">
        <v>26</v>
      </c>
      <c r="I731" s="6" t="s">
        <v>100</v>
      </c>
      <c r="J731" s="6" t="s">
        <v>70</v>
      </c>
      <c r="K731" s="6" t="s">
        <v>48</v>
      </c>
      <c r="L731" s="6" t="s">
        <v>54</v>
      </c>
      <c r="M731" s="6" t="s">
        <v>48</v>
      </c>
      <c r="N731" s="6" t="s">
        <v>28</v>
      </c>
      <c r="O731" s="6" t="s">
        <v>26</v>
      </c>
      <c r="P731" s="6" t="s">
        <v>48</v>
      </c>
      <c r="Q731" s="6" t="s">
        <v>48</v>
      </c>
      <c r="R731" s="6" t="s">
        <v>70</v>
      </c>
      <c r="S731" s="6" t="s">
        <v>54</v>
      </c>
      <c r="T731" s="6" t="s">
        <v>48</v>
      </c>
      <c r="U731" s="6" t="s">
        <v>28</v>
      </c>
      <c r="V731" s="6" t="s">
        <v>137</v>
      </c>
      <c r="W731" t="s">
        <v>353</v>
      </c>
    </row>
    <row r="732" spans="1:23" x14ac:dyDescent="0.3">
      <c r="A732" s="6" t="s">
        <v>225</v>
      </c>
      <c r="B732" s="1">
        <v>45694</v>
      </c>
      <c r="C732" s="6" t="s">
        <v>33</v>
      </c>
      <c r="D732" s="6" t="s">
        <v>70</v>
      </c>
      <c r="E732" s="6" t="s">
        <v>23</v>
      </c>
      <c r="F732" s="6" t="s">
        <v>24</v>
      </c>
      <c r="G732" s="6" t="s">
        <v>61</v>
      </c>
      <c r="H732" s="6" t="s">
        <v>26</v>
      </c>
      <c r="I732" s="6" t="s">
        <v>100</v>
      </c>
      <c r="J732" s="6" t="s">
        <v>70</v>
      </c>
      <c r="K732" s="6" t="s">
        <v>48</v>
      </c>
      <c r="L732" s="6" t="s">
        <v>54</v>
      </c>
      <c r="M732" s="6" t="s">
        <v>48</v>
      </c>
      <c r="N732" s="6" t="s">
        <v>28</v>
      </c>
      <c r="O732" s="6" t="s">
        <v>26</v>
      </c>
      <c r="P732" s="6" t="s">
        <v>48</v>
      </c>
      <c r="Q732" s="6" t="s">
        <v>48</v>
      </c>
      <c r="R732" s="6" t="s">
        <v>70</v>
      </c>
      <c r="S732" s="6" t="s">
        <v>54</v>
      </c>
      <c r="T732" s="6" t="s">
        <v>48</v>
      </c>
      <c r="U732" s="6" t="s">
        <v>28</v>
      </c>
      <c r="V732" s="6" t="s">
        <v>82</v>
      </c>
      <c r="W732" t="s">
        <v>353</v>
      </c>
    </row>
    <row r="733" spans="1:23" x14ac:dyDescent="0.3">
      <c r="A733" s="6" t="s">
        <v>227</v>
      </c>
      <c r="B733" s="1">
        <v>45695</v>
      </c>
      <c r="C733" s="6" t="s">
        <v>84</v>
      </c>
      <c r="D733" s="6" t="s">
        <v>22</v>
      </c>
      <c r="E733" s="6" t="s">
        <v>23</v>
      </c>
      <c r="F733" s="6" t="s">
        <v>24</v>
      </c>
      <c r="G733" s="6" t="s">
        <v>61</v>
      </c>
      <c r="H733" s="6" t="s">
        <v>26</v>
      </c>
      <c r="I733" s="6" t="s">
        <v>58</v>
      </c>
      <c r="J733" s="6" t="s">
        <v>22</v>
      </c>
      <c r="K733" s="6" t="s">
        <v>48</v>
      </c>
      <c r="L733" s="6" t="s">
        <v>54</v>
      </c>
      <c r="M733" s="6" t="s">
        <v>29</v>
      </c>
      <c r="N733" s="6" t="s">
        <v>28</v>
      </c>
      <c r="O733" s="6" t="s">
        <v>26</v>
      </c>
      <c r="P733" s="6" t="s">
        <v>58</v>
      </c>
      <c r="Q733" s="6" t="s">
        <v>31</v>
      </c>
      <c r="R733" s="6" t="s">
        <v>22</v>
      </c>
      <c r="S733" s="6" t="s">
        <v>54</v>
      </c>
      <c r="T733" s="6" t="s">
        <v>32</v>
      </c>
      <c r="U733" s="6" t="s">
        <v>28</v>
      </c>
      <c r="V733" s="6" t="s">
        <v>82</v>
      </c>
      <c r="W733" t="s">
        <v>353</v>
      </c>
    </row>
    <row r="734" spans="1:23" x14ac:dyDescent="0.3">
      <c r="A734" s="6" t="s">
        <v>229</v>
      </c>
      <c r="B734" s="1">
        <v>45696</v>
      </c>
      <c r="C734" s="6" t="s">
        <v>21</v>
      </c>
      <c r="D734" s="6" t="s">
        <v>83</v>
      </c>
      <c r="E734" s="6" t="s">
        <v>35</v>
      </c>
      <c r="F734" s="6" t="s">
        <v>24</v>
      </c>
      <c r="G734" s="6" t="s">
        <v>25</v>
      </c>
      <c r="H734" s="6" t="s">
        <v>26</v>
      </c>
      <c r="I734" s="6" t="s">
        <v>27</v>
      </c>
      <c r="J734" s="6" t="s">
        <v>83</v>
      </c>
      <c r="K734" s="6" t="s">
        <v>48</v>
      </c>
      <c r="L734" s="6" t="s">
        <v>54</v>
      </c>
      <c r="M734" s="6" t="s">
        <v>55</v>
      </c>
      <c r="N734" s="6" t="s">
        <v>28</v>
      </c>
      <c r="O734" s="6" t="s">
        <v>26</v>
      </c>
      <c r="P734" s="6" t="s">
        <v>66</v>
      </c>
      <c r="Q734" s="6" t="s">
        <v>48</v>
      </c>
      <c r="R734" s="6" t="s">
        <v>83</v>
      </c>
      <c r="S734" s="6" t="s">
        <v>54</v>
      </c>
      <c r="T734" s="6" t="s">
        <v>55</v>
      </c>
      <c r="U734" s="6" t="s">
        <v>28</v>
      </c>
      <c r="V734" s="6" t="s">
        <v>137</v>
      </c>
      <c r="W734" t="s">
        <v>353</v>
      </c>
    </row>
    <row r="735" spans="1:23" x14ac:dyDescent="0.3">
      <c r="A735" s="6" t="s">
        <v>228</v>
      </c>
      <c r="B735" s="1">
        <v>45696</v>
      </c>
      <c r="C735" s="6" t="s">
        <v>21</v>
      </c>
      <c r="D735" s="6" t="s">
        <v>83</v>
      </c>
      <c r="E735" s="6" t="s">
        <v>35</v>
      </c>
      <c r="F735" s="6" t="s">
        <v>24</v>
      </c>
      <c r="G735" s="6" t="s">
        <v>25</v>
      </c>
      <c r="H735" s="6" t="s">
        <v>26</v>
      </c>
      <c r="I735" s="6" t="s">
        <v>27</v>
      </c>
      <c r="J735" s="6" t="s">
        <v>83</v>
      </c>
      <c r="K735" s="6" t="s">
        <v>48</v>
      </c>
      <c r="L735" s="6" t="s">
        <v>54</v>
      </c>
      <c r="M735" s="6" t="s">
        <v>55</v>
      </c>
      <c r="N735" s="6" t="s">
        <v>28</v>
      </c>
      <c r="O735" s="6" t="s">
        <v>30</v>
      </c>
      <c r="P735" s="6" t="s">
        <v>45</v>
      </c>
      <c r="Q735" s="6" t="s">
        <v>48</v>
      </c>
      <c r="R735" s="6" t="s">
        <v>83</v>
      </c>
      <c r="S735" s="6" t="s">
        <v>54</v>
      </c>
      <c r="T735" s="6" t="s">
        <v>29</v>
      </c>
      <c r="U735" s="6" t="s">
        <v>28</v>
      </c>
      <c r="V735" s="6" t="s">
        <v>137</v>
      </c>
      <c r="W735" t="s">
        <v>353</v>
      </c>
    </row>
    <row r="736" spans="1:23" x14ac:dyDescent="0.3">
      <c r="A736" s="6" t="s">
        <v>230</v>
      </c>
      <c r="B736" s="1">
        <v>45696</v>
      </c>
      <c r="C736" s="6" t="s">
        <v>343</v>
      </c>
      <c r="D736" s="6" t="s">
        <v>22</v>
      </c>
      <c r="E736" s="6" t="s">
        <v>44</v>
      </c>
      <c r="F736" s="6" t="s">
        <v>24</v>
      </c>
      <c r="G736" s="6" t="s">
        <v>71</v>
      </c>
      <c r="H736" s="6" t="s">
        <v>48</v>
      </c>
      <c r="I736" s="6" t="s">
        <v>27</v>
      </c>
      <c r="J736" s="6" t="s">
        <v>49</v>
      </c>
      <c r="K736" s="6" t="s">
        <v>48</v>
      </c>
      <c r="L736" s="6" t="s">
        <v>54</v>
      </c>
      <c r="M736" s="6" t="s">
        <v>48</v>
      </c>
      <c r="N736" s="6" t="s">
        <v>28</v>
      </c>
      <c r="O736" s="6" t="s">
        <v>30</v>
      </c>
      <c r="P736" s="6" t="s">
        <v>48</v>
      </c>
      <c r="Q736" s="6" t="s">
        <v>48</v>
      </c>
      <c r="R736" s="6" t="s">
        <v>22</v>
      </c>
      <c r="S736" s="6" t="s">
        <v>54</v>
      </c>
      <c r="T736" s="6" t="s">
        <v>48</v>
      </c>
      <c r="U736" s="6" t="s">
        <v>28</v>
      </c>
      <c r="V736" s="6" t="s">
        <v>146</v>
      </c>
      <c r="W736" t="s">
        <v>353</v>
      </c>
    </row>
    <row r="737" spans="1:23" x14ac:dyDescent="0.3">
      <c r="A737" s="6" t="s">
        <v>230</v>
      </c>
      <c r="B737" s="1">
        <v>45696</v>
      </c>
      <c r="C737" s="6" t="s">
        <v>343</v>
      </c>
      <c r="D737" s="6" t="s">
        <v>22</v>
      </c>
      <c r="E737" s="6" t="s">
        <v>44</v>
      </c>
      <c r="F737" s="6" t="s">
        <v>24</v>
      </c>
      <c r="G737" s="6" t="s">
        <v>71</v>
      </c>
      <c r="H737" s="6" t="s">
        <v>48</v>
      </c>
      <c r="I737" s="6" t="s">
        <v>27</v>
      </c>
      <c r="J737" s="6" t="s">
        <v>49</v>
      </c>
      <c r="K737" s="6" t="s">
        <v>48</v>
      </c>
      <c r="L737" s="6" t="s">
        <v>54</v>
      </c>
      <c r="M737" s="6" t="s">
        <v>48</v>
      </c>
      <c r="N737" s="6" t="s">
        <v>28</v>
      </c>
      <c r="O737" s="6" t="s">
        <v>30</v>
      </c>
      <c r="P737" s="6" t="s">
        <v>48</v>
      </c>
      <c r="Q737" s="6" t="s">
        <v>48</v>
      </c>
      <c r="R737" s="6" t="s">
        <v>22</v>
      </c>
      <c r="S737" s="6" t="s">
        <v>54</v>
      </c>
      <c r="T737" s="6" t="s">
        <v>48</v>
      </c>
      <c r="U737" s="6" t="s">
        <v>28</v>
      </c>
      <c r="V737" s="6" t="s">
        <v>82</v>
      </c>
      <c r="W737" t="s">
        <v>353</v>
      </c>
    </row>
    <row r="738" spans="1:23" x14ac:dyDescent="0.3">
      <c r="A738" s="6" t="s">
        <v>230</v>
      </c>
      <c r="B738" s="1">
        <v>45696</v>
      </c>
      <c r="C738" s="6" t="s">
        <v>343</v>
      </c>
      <c r="D738" s="6" t="s">
        <v>22</v>
      </c>
      <c r="E738" s="6" t="s">
        <v>44</v>
      </c>
      <c r="F738" s="6" t="s">
        <v>24</v>
      </c>
      <c r="G738" s="6" t="s">
        <v>71</v>
      </c>
      <c r="H738" s="6" t="s">
        <v>48</v>
      </c>
      <c r="I738" s="6" t="s">
        <v>27</v>
      </c>
      <c r="J738" s="6" t="s">
        <v>49</v>
      </c>
      <c r="K738" s="6" t="s">
        <v>48</v>
      </c>
      <c r="L738" s="6" t="s">
        <v>54</v>
      </c>
      <c r="M738" s="6" t="s">
        <v>48</v>
      </c>
      <c r="N738" s="6" t="s">
        <v>28</v>
      </c>
      <c r="O738" s="6" t="s">
        <v>30</v>
      </c>
      <c r="P738" s="6" t="s">
        <v>48</v>
      </c>
      <c r="Q738" s="6" t="s">
        <v>48</v>
      </c>
      <c r="R738" s="6" t="s">
        <v>22</v>
      </c>
      <c r="S738" s="6" t="s">
        <v>54</v>
      </c>
      <c r="T738" s="6" t="s">
        <v>48</v>
      </c>
      <c r="U738" s="6" t="s">
        <v>28</v>
      </c>
      <c r="V738" s="6" t="s">
        <v>137</v>
      </c>
      <c r="W738" t="s">
        <v>353</v>
      </c>
    </row>
    <row r="739" spans="1:23" x14ac:dyDescent="0.3">
      <c r="A739" s="6" t="s">
        <v>231</v>
      </c>
      <c r="B739" s="1">
        <v>45697</v>
      </c>
      <c r="C739" s="6" t="s">
        <v>84</v>
      </c>
      <c r="D739" s="6" t="s">
        <v>48</v>
      </c>
      <c r="E739" s="6" t="s">
        <v>73</v>
      </c>
      <c r="F739" s="6" t="s">
        <v>24</v>
      </c>
      <c r="G739" s="6" t="s">
        <v>97</v>
      </c>
      <c r="H739" s="6" t="s">
        <v>48</v>
      </c>
      <c r="I739" s="6" t="s">
        <v>52</v>
      </c>
      <c r="J739" s="6" t="s">
        <v>49</v>
      </c>
      <c r="K739" s="6" t="s">
        <v>48</v>
      </c>
      <c r="L739" s="6" t="s">
        <v>54</v>
      </c>
      <c r="M739" s="6" t="s">
        <v>48</v>
      </c>
      <c r="N739" s="6" t="s">
        <v>28</v>
      </c>
      <c r="O739" s="6" t="s">
        <v>26</v>
      </c>
      <c r="P739" s="6" t="s">
        <v>100</v>
      </c>
      <c r="Q739" s="6" t="s">
        <v>31</v>
      </c>
      <c r="R739" s="6" t="s">
        <v>83</v>
      </c>
      <c r="S739" s="6" t="s">
        <v>54</v>
      </c>
      <c r="T739" s="6" t="s">
        <v>32</v>
      </c>
      <c r="U739" s="6" t="s">
        <v>28</v>
      </c>
      <c r="V739" s="6" t="s">
        <v>82</v>
      </c>
      <c r="W739" t="s">
        <v>353</v>
      </c>
    </row>
    <row r="740" spans="1:23" x14ac:dyDescent="0.3">
      <c r="A740" s="6" t="s">
        <v>232</v>
      </c>
      <c r="B740" s="1">
        <v>45699</v>
      </c>
      <c r="C740" s="6" t="s">
        <v>33</v>
      </c>
      <c r="D740" s="6" t="s">
        <v>22</v>
      </c>
      <c r="E740" s="6" t="s">
        <v>41</v>
      </c>
      <c r="F740" s="6" t="s">
        <v>24</v>
      </c>
      <c r="G740" s="6" t="s">
        <v>69</v>
      </c>
      <c r="H740" s="6" t="s">
        <v>26</v>
      </c>
      <c r="I740" s="6" t="s">
        <v>45</v>
      </c>
      <c r="J740" s="6" t="s">
        <v>22</v>
      </c>
      <c r="K740" s="6" t="s">
        <v>48</v>
      </c>
      <c r="L740" s="6" t="s">
        <v>54</v>
      </c>
      <c r="M740" s="6" t="s">
        <v>142</v>
      </c>
      <c r="N740" s="6" t="s">
        <v>28</v>
      </c>
      <c r="O740" s="6" t="s">
        <v>26</v>
      </c>
      <c r="P740" s="6" t="s">
        <v>42</v>
      </c>
      <c r="Q740" s="6" t="s">
        <v>31</v>
      </c>
      <c r="R740" s="6" t="s">
        <v>22</v>
      </c>
      <c r="S740" s="6" t="s">
        <v>54</v>
      </c>
      <c r="T740" s="6" t="s">
        <v>32</v>
      </c>
      <c r="U740" s="6" t="s">
        <v>28</v>
      </c>
      <c r="V740" s="6" t="s">
        <v>82</v>
      </c>
      <c r="W740" t="s">
        <v>353</v>
      </c>
    </row>
    <row r="741" spans="1:23" x14ac:dyDescent="0.3">
      <c r="A741" s="6" t="s">
        <v>233</v>
      </c>
      <c r="B741" s="1">
        <v>45699</v>
      </c>
      <c r="C741" s="6" t="s">
        <v>33</v>
      </c>
      <c r="D741" s="6" t="s">
        <v>43</v>
      </c>
      <c r="E741" s="6" t="s">
        <v>68</v>
      </c>
      <c r="F741" s="6" t="s">
        <v>24</v>
      </c>
      <c r="G741" s="6" t="s">
        <v>61</v>
      </c>
      <c r="H741" s="6" t="s">
        <v>26</v>
      </c>
      <c r="I741" s="6" t="s">
        <v>38</v>
      </c>
      <c r="J741" s="6" t="s">
        <v>43</v>
      </c>
      <c r="K741" s="6" t="s">
        <v>48</v>
      </c>
      <c r="L741" s="6" t="s">
        <v>54</v>
      </c>
      <c r="M741" s="6" t="s">
        <v>29</v>
      </c>
      <c r="N741" s="6" t="s">
        <v>28</v>
      </c>
      <c r="O741" s="6" t="s">
        <v>26</v>
      </c>
      <c r="P741" s="6" t="s">
        <v>27</v>
      </c>
      <c r="Q741" s="6" t="s">
        <v>31</v>
      </c>
      <c r="R741" s="6" t="s">
        <v>22</v>
      </c>
      <c r="S741" s="6" t="s">
        <v>54</v>
      </c>
      <c r="T741" s="6" t="s">
        <v>48</v>
      </c>
      <c r="U741" s="6" t="s">
        <v>28</v>
      </c>
      <c r="V741" s="6" t="s">
        <v>137</v>
      </c>
      <c r="W741" t="s">
        <v>353</v>
      </c>
    </row>
    <row r="742" spans="1:23" x14ac:dyDescent="0.3">
      <c r="A742" s="6" t="s">
        <v>234</v>
      </c>
      <c r="B742" s="1">
        <v>45699</v>
      </c>
      <c r="C742" s="6" t="s">
        <v>33</v>
      </c>
      <c r="D742" s="6" t="s">
        <v>43</v>
      </c>
      <c r="E742" s="6" t="s">
        <v>68</v>
      </c>
      <c r="F742" s="6" t="s">
        <v>24</v>
      </c>
      <c r="G742" s="6" t="s">
        <v>61</v>
      </c>
      <c r="H742" s="6" t="s">
        <v>26</v>
      </c>
      <c r="I742" s="6" t="s">
        <v>38</v>
      </c>
      <c r="J742" s="6" t="s">
        <v>43</v>
      </c>
      <c r="K742" s="6" t="s">
        <v>48</v>
      </c>
      <c r="L742" s="6" t="s">
        <v>54</v>
      </c>
      <c r="M742" s="6" t="s">
        <v>29</v>
      </c>
      <c r="N742" s="6" t="s">
        <v>28</v>
      </c>
      <c r="O742" s="6" t="s">
        <v>26</v>
      </c>
      <c r="P742" s="6" t="s">
        <v>27</v>
      </c>
      <c r="Q742" s="6" t="s">
        <v>143</v>
      </c>
      <c r="R742" s="6" t="s">
        <v>49</v>
      </c>
      <c r="S742" s="6" t="s">
        <v>54</v>
      </c>
      <c r="T742" s="6" t="s">
        <v>29</v>
      </c>
      <c r="U742" s="6" t="s">
        <v>28</v>
      </c>
      <c r="V742" s="6" t="s">
        <v>137</v>
      </c>
      <c r="W742" t="s">
        <v>353</v>
      </c>
    </row>
    <row r="743" spans="1:23" x14ac:dyDescent="0.3">
      <c r="A743" s="6" t="s">
        <v>234</v>
      </c>
      <c r="B743" s="1">
        <v>45699</v>
      </c>
      <c r="C743" s="6" t="s">
        <v>33</v>
      </c>
      <c r="D743" s="6" t="s">
        <v>43</v>
      </c>
      <c r="E743" s="6" t="s">
        <v>68</v>
      </c>
      <c r="F743" s="6" t="s">
        <v>24</v>
      </c>
      <c r="G743" s="6" t="s">
        <v>61</v>
      </c>
      <c r="H743" s="6" t="s">
        <v>26</v>
      </c>
      <c r="I743" s="6" t="s">
        <v>38</v>
      </c>
      <c r="J743" s="6" t="s">
        <v>43</v>
      </c>
      <c r="K743" s="6" t="s">
        <v>48</v>
      </c>
      <c r="L743" s="6" t="s">
        <v>54</v>
      </c>
      <c r="M743" s="6" t="s">
        <v>29</v>
      </c>
      <c r="N743" s="6" t="s">
        <v>28</v>
      </c>
      <c r="O743" s="6" t="s">
        <v>26</v>
      </c>
      <c r="P743" s="6" t="s">
        <v>27</v>
      </c>
      <c r="Q743" s="6" t="s">
        <v>143</v>
      </c>
      <c r="R743" s="6" t="s">
        <v>49</v>
      </c>
      <c r="S743" s="6" t="s">
        <v>54</v>
      </c>
      <c r="T743" s="6" t="s">
        <v>29</v>
      </c>
      <c r="U743" s="6" t="s">
        <v>28</v>
      </c>
      <c r="V743" s="6" t="s">
        <v>146</v>
      </c>
      <c r="W743" t="s">
        <v>353</v>
      </c>
    </row>
    <row r="744" spans="1:23" x14ac:dyDescent="0.3">
      <c r="A744" s="6" t="s">
        <v>235</v>
      </c>
      <c r="B744" s="1">
        <v>45699</v>
      </c>
      <c r="C744" s="6" t="s">
        <v>343</v>
      </c>
      <c r="D744" s="6" t="s">
        <v>43</v>
      </c>
      <c r="E744" s="6" t="s">
        <v>46</v>
      </c>
      <c r="F744" s="6" t="s">
        <v>24</v>
      </c>
      <c r="G744" s="6" t="s">
        <v>97</v>
      </c>
      <c r="H744" s="6" t="s">
        <v>48</v>
      </c>
      <c r="I744" s="6" t="s">
        <v>27</v>
      </c>
      <c r="J744" s="6" t="s">
        <v>49</v>
      </c>
      <c r="K744" s="6" t="s">
        <v>48</v>
      </c>
      <c r="L744" s="6" t="s">
        <v>705</v>
      </c>
      <c r="M744" s="6" t="s">
        <v>48</v>
      </c>
      <c r="N744" s="6" t="s">
        <v>28</v>
      </c>
      <c r="O744" s="6" t="s">
        <v>26</v>
      </c>
      <c r="P744" s="6" t="s">
        <v>27</v>
      </c>
      <c r="Q744" s="6" t="s">
        <v>31</v>
      </c>
      <c r="R744" s="6" t="s">
        <v>49</v>
      </c>
      <c r="S744" s="6" t="s">
        <v>54</v>
      </c>
      <c r="T744" s="6" t="s">
        <v>29</v>
      </c>
      <c r="U744" s="6" t="s">
        <v>28</v>
      </c>
      <c r="V744" s="6" t="s">
        <v>82</v>
      </c>
      <c r="W744" t="s">
        <v>353</v>
      </c>
    </row>
    <row r="745" spans="1:23" x14ac:dyDescent="0.3">
      <c r="A745" s="6" t="s">
        <v>236</v>
      </c>
      <c r="B745" s="1">
        <v>45699</v>
      </c>
      <c r="C745" s="6" t="s">
        <v>21</v>
      </c>
      <c r="D745" s="6" t="s">
        <v>43</v>
      </c>
      <c r="E745" s="6" t="s">
        <v>68</v>
      </c>
      <c r="F745" s="6" t="s">
        <v>24</v>
      </c>
      <c r="G745" s="6" t="s">
        <v>68</v>
      </c>
      <c r="H745" s="6" t="s">
        <v>48</v>
      </c>
      <c r="I745" s="6" t="s">
        <v>100</v>
      </c>
      <c r="J745" s="6" t="s">
        <v>43</v>
      </c>
      <c r="K745" s="6" t="s">
        <v>48</v>
      </c>
      <c r="L745" s="6" t="s">
        <v>705</v>
      </c>
      <c r="M745" s="6" t="s">
        <v>48</v>
      </c>
      <c r="N745" s="6" t="s">
        <v>28</v>
      </c>
      <c r="O745" s="6" t="s">
        <v>26</v>
      </c>
      <c r="P745" s="6" t="s">
        <v>27</v>
      </c>
      <c r="Q745" s="6" t="s">
        <v>31</v>
      </c>
      <c r="R745" s="6" t="s">
        <v>43</v>
      </c>
      <c r="S745" s="6" t="s">
        <v>54</v>
      </c>
      <c r="T745" s="6" t="s">
        <v>29</v>
      </c>
      <c r="U745" s="6" t="s">
        <v>28</v>
      </c>
      <c r="V745" s="6" t="s">
        <v>82</v>
      </c>
      <c r="W745" t="s">
        <v>353</v>
      </c>
    </row>
    <row r="746" spans="1:23" x14ac:dyDescent="0.3">
      <c r="A746" s="6" t="s">
        <v>236</v>
      </c>
      <c r="B746" s="1">
        <v>45699</v>
      </c>
      <c r="C746" s="6" t="s">
        <v>21</v>
      </c>
      <c r="D746" s="6" t="s">
        <v>43</v>
      </c>
      <c r="E746" s="6" t="s">
        <v>68</v>
      </c>
      <c r="F746" s="6" t="s">
        <v>24</v>
      </c>
      <c r="G746" s="6" t="s">
        <v>68</v>
      </c>
      <c r="H746" s="6" t="s">
        <v>48</v>
      </c>
      <c r="I746" s="6" t="s">
        <v>100</v>
      </c>
      <c r="J746" s="6" t="s">
        <v>43</v>
      </c>
      <c r="K746" s="6" t="s">
        <v>48</v>
      </c>
      <c r="L746" s="6" t="s">
        <v>705</v>
      </c>
      <c r="M746" s="6" t="s">
        <v>48</v>
      </c>
      <c r="N746" s="6" t="s">
        <v>28</v>
      </c>
      <c r="O746" s="6" t="s">
        <v>26</v>
      </c>
      <c r="P746" s="6" t="s">
        <v>27</v>
      </c>
      <c r="Q746" s="6" t="s">
        <v>31</v>
      </c>
      <c r="R746" s="6" t="s">
        <v>43</v>
      </c>
      <c r="S746" s="6" t="s">
        <v>54</v>
      </c>
      <c r="T746" s="6" t="s">
        <v>29</v>
      </c>
      <c r="U746" s="6" t="s">
        <v>28</v>
      </c>
      <c r="V746" s="6" t="s">
        <v>146</v>
      </c>
      <c r="W746" t="s">
        <v>353</v>
      </c>
    </row>
    <row r="747" spans="1:23" x14ac:dyDescent="0.3">
      <c r="A747" s="6" t="s">
        <v>237</v>
      </c>
      <c r="B747" s="1">
        <v>45699</v>
      </c>
      <c r="C747" s="6" t="s">
        <v>343</v>
      </c>
      <c r="D747" s="6" t="s">
        <v>43</v>
      </c>
      <c r="E747" s="6" t="s">
        <v>46</v>
      </c>
      <c r="F747" s="6" t="s">
        <v>24</v>
      </c>
      <c r="G747" s="6" t="s">
        <v>97</v>
      </c>
      <c r="H747" s="6" t="s">
        <v>26</v>
      </c>
      <c r="I747" s="6" t="s">
        <v>27</v>
      </c>
      <c r="J747" s="6" t="s">
        <v>43</v>
      </c>
      <c r="K747" s="6" t="s">
        <v>48</v>
      </c>
      <c r="L747" s="6" t="s">
        <v>54</v>
      </c>
      <c r="M747" s="6" t="s">
        <v>32</v>
      </c>
      <c r="N747" s="6" t="s">
        <v>28</v>
      </c>
      <c r="O747" s="6" t="s">
        <v>26</v>
      </c>
      <c r="P747" s="6" t="s">
        <v>100</v>
      </c>
      <c r="Q747" s="6" t="s">
        <v>48</v>
      </c>
      <c r="R747" s="6" t="s">
        <v>43</v>
      </c>
      <c r="S747" s="6" t="s">
        <v>54</v>
      </c>
      <c r="T747" s="6" t="s">
        <v>48</v>
      </c>
      <c r="U747" s="6" t="s">
        <v>28</v>
      </c>
      <c r="V747" s="6" t="s">
        <v>146</v>
      </c>
      <c r="W747" t="s">
        <v>353</v>
      </c>
    </row>
    <row r="748" spans="1:23" x14ac:dyDescent="0.3">
      <c r="A748" s="6" t="s">
        <v>237</v>
      </c>
      <c r="B748" s="1">
        <v>45699</v>
      </c>
      <c r="C748" s="6" t="s">
        <v>343</v>
      </c>
      <c r="D748" s="6" t="s">
        <v>43</v>
      </c>
      <c r="E748" s="6" t="s">
        <v>46</v>
      </c>
      <c r="F748" s="6" t="s">
        <v>24</v>
      </c>
      <c r="G748" s="6" t="s">
        <v>97</v>
      </c>
      <c r="H748" s="6" t="s">
        <v>26</v>
      </c>
      <c r="I748" s="6" t="s">
        <v>27</v>
      </c>
      <c r="J748" s="6" t="s">
        <v>43</v>
      </c>
      <c r="K748" s="6" t="s">
        <v>48</v>
      </c>
      <c r="L748" s="6" t="s">
        <v>54</v>
      </c>
      <c r="M748" s="6" t="s">
        <v>32</v>
      </c>
      <c r="N748" s="6" t="s">
        <v>28</v>
      </c>
      <c r="O748" s="6" t="s">
        <v>26</v>
      </c>
      <c r="P748" s="6" t="s">
        <v>100</v>
      </c>
      <c r="Q748" s="6" t="s">
        <v>48</v>
      </c>
      <c r="R748" s="6" t="s">
        <v>43</v>
      </c>
      <c r="S748" s="6" t="s">
        <v>54</v>
      </c>
      <c r="T748" s="6" t="s">
        <v>48</v>
      </c>
      <c r="U748" s="6" t="s">
        <v>28</v>
      </c>
      <c r="V748" s="6" t="s">
        <v>82</v>
      </c>
      <c r="W748" t="s">
        <v>353</v>
      </c>
    </row>
    <row r="749" spans="1:23" x14ac:dyDescent="0.3">
      <c r="A749" s="6" t="s">
        <v>237</v>
      </c>
      <c r="B749" s="1">
        <v>45699</v>
      </c>
      <c r="C749" s="6" t="s">
        <v>343</v>
      </c>
      <c r="D749" s="6" t="s">
        <v>43</v>
      </c>
      <c r="E749" s="6" t="s">
        <v>46</v>
      </c>
      <c r="F749" s="6" t="s">
        <v>24</v>
      </c>
      <c r="G749" s="6" t="s">
        <v>97</v>
      </c>
      <c r="H749" s="6" t="s">
        <v>26</v>
      </c>
      <c r="I749" s="6" t="s">
        <v>27</v>
      </c>
      <c r="J749" s="6" t="s">
        <v>43</v>
      </c>
      <c r="K749" s="6" t="s">
        <v>48</v>
      </c>
      <c r="L749" s="6" t="s">
        <v>54</v>
      </c>
      <c r="M749" s="6" t="s">
        <v>32</v>
      </c>
      <c r="N749" s="6" t="s">
        <v>28</v>
      </c>
      <c r="O749" s="6" t="s">
        <v>26</v>
      </c>
      <c r="P749" s="6" t="s">
        <v>100</v>
      </c>
      <c r="Q749" s="6" t="s">
        <v>48</v>
      </c>
      <c r="R749" s="6" t="s">
        <v>43</v>
      </c>
      <c r="S749" s="6" t="s">
        <v>54</v>
      </c>
      <c r="T749" s="6" t="s">
        <v>48</v>
      </c>
      <c r="U749" s="6" t="s">
        <v>28</v>
      </c>
      <c r="V749" s="6" t="s">
        <v>137</v>
      </c>
      <c r="W749" t="s">
        <v>353</v>
      </c>
    </row>
    <row r="750" spans="1:23" x14ac:dyDescent="0.3">
      <c r="A750" s="6" t="s">
        <v>238</v>
      </c>
      <c r="B750" s="1">
        <v>45699</v>
      </c>
      <c r="C750" s="6" t="s">
        <v>33</v>
      </c>
      <c r="D750" s="6" t="s">
        <v>43</v>
      </c>
      <c r="E750" s="6" t="s">
        <v>68</v>
      </c>
      <c r="F750" s="6" t="s">
        <v>24</v>
      </c>
      <c r="G750" s="6" t="s">
        <v>61</v>
      </c>
      <c r="H750" s="6" t="s">
        <v>26</v>
      </c>
      <c r="I750" s="6" t="s">
        <v>27</v>
      </c>
      <c r="J750" s="6" t="s">
        <v>43</v>
      </c>
      <c r="K750" s="6" t="s">
        <v>48</v>
      </c>
      <c r="L750" s="6" t="s">
        <v>54</v>
      </c>
      <c r="M750" s="6" t="s">
        <v>32</v>
      </c>
      <c r="N750" s="6" t="s">
        <v>28</v>
      </c>
      <c r="O750" s="6" t="s">
        <v>26</v>
      </c>
      <c r="P750" s="6" t="s">
        <v>27</v>
      </c>
      <c r="Q750" s="6" t="s">
        <v>31</v>
      </c>
      <c r="R750" s="6" t="s">
        <v>22</v>
      </c>
      <c r="S750" s="6" t="s">
        <v>54</v>
      </c>
      <c r="T750" s="6" t="s">
        <v>29</v>
      </c>
      <c r="U750" s="6" t="s">
        <v>28</v>
      </c>
      <c r="V750" s="6" t="s">
        <v>82</v>
      </c>
      <c r="W750" t="s">
        <v>353</v>
      </c>
    </row>
    <row r="751" spans="1:23" x14ac:dyDescent="0.3">
      <c r="A751" s="6" t="s">
        <v>239</v>
      </c>
      <c r="B751" s="1">
        <v>45699</v>
      </c>
      <c r="C751" s="6" t="s">
        <v>343</v>
      </c>
      <c r="D751" s="6" t="s">
        <v>43</v>
      </c>
      <c r="E751" s="6" t="s">
        <v>46</v>
      </c>
      <c r="F751" s="6" t="s">
        <v>24</v>
      </c>
      <c r="G751" s="6" t="s">
        <v>61</v>
      </c>
      <c r="H751" s="6" t="s">
        <v>26</v>
      </c>
      <c r="I751" s="6" t="s">
        <v>27</v>
      </c>
      <c r="J751" s="6" t="s">
        <v>43</v>
      </c>
      <c r="K751" s="6" t="s">
        <v>48</v>
      </c>
      <c r="L751" s="6" t="s">
        <v>54</v>
      </c>
      <c r="M751" s="6" t="s">
        <v>29</v>
      </c>
      <c r="N751" s="6" t="s">
        <v>28</v>
      </c>
      <c r="O751" s="6" t="s">
        <v>26</v>
      </c>
      <c r="P751" s="6" t="s">
        <v>27</v>
      </c>
      <c r="Q751" s="6" t="s">
        <v>31</v>
      </c>
      <c r="R751" s="6" t="s">
        <v>22</v>
      </c>
      <c r="S751" s="6" t="s">
        <v>54</v>
      </c>
      <c r="T751" s="6" t="s">
        <v>29</v>
      </c>
      <c r="U751" s="6" t="s">
        <v>28</v>
      </c>
      <c r="V751" s="6" t="s">
        <v>82</v>
      </c>
      <c r="W751" t="s">
        <v>353</v>
      </c>
    </row>
    <row r="752" spans="1:23" x14ac:dyDescent="0.3">
      <c r="A752" s="6" t="s">
        <v>240</v>
      </c>
      <c r="B752" s="1">
        <v>45699</v>
      </c>
      <c r="C752" s="6" t="s">
        <v>343</v>
      </c>
      <c r="D752" s="6" t="s">
        <v>43</v>
      </c>
      <c r="E752" s="6" t="s">
        <v>46</v>
      </c>
      <c r="F752" s="6" t="s">
        <v>24</v>
      </c>
      <c r="G752" s="6" t="s">
        <v>68</v>
      </c>
      <c r="H752" s="6" t="s">
        <v>26</v>
      </c>
      <c r="I752" s="6" t="s">
        <v>27</v>
      </c>
      <c r="J752" s="6" t="s">
        <v>49</v>
      </c>
      <c r="K752" s="6" t="s">
        <v>48</v>
      </c>
      <c r="L752" s="6" t="s">
        <v>54</v>
      </c>
      <c r="M752" s="6" t="s">
        <v>48</v>
      </c>
      <c r="N752" s="6" t="s">
        <v>28</v>
      </c>
      <c r="O752" s="6" t="s">
        <v>48</v>
      </c>
      <c r="P752" s="6" t="s">
        <v>48</v>
      </c>
      <c r="Q752" s="6" t="s">
        <v>48</v>
      </c>
      <c r="R752" s="6" t="s">
        <v>49</v>
      </c>
      <c r="S752" s="6" t="s">
        <v>54</v>
      </c>
      <c r="T752" s="6" t="s">
        <v>48</v>
      </c>
      <c r="U752" s="6" t="s">
        <v>28</v>
      </c>
      <c r="V752" s="6" t="s">
        <v>146</v>
      </c>
      <c r="W752" t="s">
        <v>353</v>
      </c>
    </row>
    <row r="753" spans="1:23" x14ac:dyDescent="0.3">
      <c r="A753" s="6" t="s">
        <v>240</v>
      </c>
      <c r="B753" s="1">
        <v>45699</v>
      </c>
      <c r="C753" s="6" t="s">
        <v>343</v>
      </c>
      <c r="D753" s="6" t="s">
        <v>43</v>
      </c>
      <c r="E753" s="6" t="s">
        <v>46</v>
      </c>
      <c r="F753" s="6" t="s">
        <v>24</v>
      </c>
      <c r="G753" s="6" t="s">
        <v>68</v>
      </c>
      <c r="H753" s="6" t="s">
        <v>26</v>
      </c>
      <c r="I753" s="6" t="s">
        <v>27</v>
      </c>
      <c r="J753" s="6" t="s">
        <v>49</v>
      </c>
      <c r="K753" s="6" t="s">
        <v>48</v>
      </c>
      <c r="L753" s="6" t="s">
        <v>54</v>
      </c>
      <c r="M753" s="6" t="s">
        <v>48</v>
      </c>
      <c r="N753" s="6" t="s">
        <v>28</v>
      </c>
      <c r="O753" s="6" t="s">
        <v>48</v>
      </c>
      <c r="P753" s="6" t="s">
        <v>48</v>
      </c>
      <c r="Q753" s="6" t="s">
        <v>48</v>
      </c>
      <c r="R753" s="6" t="s">
        <v>49</v>
      </c>
      <c r="S753" s="6" t="s">
        <v>54</v>
      </c>
      <c r="T753" s="6" t="s">
        <v>48</v>
      </c>
      <c r="U753" s="6" t="s">
        <v>28</v>
      </c>
      <c r="V753" s="6" t="s">
        <v>82</v>
      </c>
      <c r="W753" t="s">
        <v>353</v>
      </c>
    </row>
    <row r="754" spans="1:23" x14ac:dyDescent="0.3">
      <c r="A754" s="6" t="s">
        <v>241</v>
      </c>
      <c r="B754" s="1">
        <v>45699</v>
      </c>
      <c r="C754" s="6" t="s">
        <v>343</v>
      </c>
      <c r="D754" s="6" t="s">
        <v>43</v>
      </c>
      <c r="E754" s="6" t="s">
        <v>46</v>
      </c>
      <c r="F754" s="6" t="s">
        <v>24</v>
      </c>
      <c r="G754" s="6" t="s">
        <v>46</v>
      </c>
      <c r="H754" s="6" t="s">
        <v>26</v>
      </c>
      <c r="I754" s="6" t="s">
        <v>37</v>
      </c>
      <c r="J754" s="6" t="s">
        <v>43</v>
      </c>
      <c r="K754" s="6" t="s">
        <v>48</v>
      </c>
      <c r="L754" s="6" t="s">
        <v>54</v>
      </c>
      <c r="M754" s="6" t="s">
        <v>48</v>
      </c>
      <c r="N754" s="6" t="s">
        <v>28</v>
      </c>
      <c r="O754" s="6" t="s">
        <v>26</v>
      </c>
      <c r="P754" s="6" t="s">
        <v>48</v>
      </c>
      <c r="Q754" s="6" t="s">
        <v>48</v>
      </c>
      <c r="R754" s="6" t="s">
        <v>49</v>
      </c>
      <c r="S754" s="6" t="s">
        <v>54</v>
      </c>
      <c r="T754" s="6" t="s">
        <v>29</v>
      </c>
      <c r="U754" s="6" t="s">
        <v>28</v>
      </c>
      <c r="V754" s="6" t="s">
        <v>82</v>
      </c>
      <c r="W754" t="s">
        <v>353</v>
      </c>
    </row>
    <row r="755" spans="1:23" x14ac:dyDescent="0.3">
      <c r="A755" s="6" t="s">
        <v>242</v>
      </c>
      <c r="B755" s="1">
        <v>45699</v>
      </c>
      <c r="C755" s="6" t="s">
        <v>343</v>
      </c>
      <c r="D755" s="6" t="s">
        <v>43</v>
      </c>
      <c r="E755" s="6" t="s">
        <v>46</v>
      </c>
      <c r="F755" s="6" t="s">
        <v>24</v>
      </c>
      <c r="G755" s="6" t="s">
        <v>68</v>
      </c>
      <c r="H755" s="6" t="s">
        <v>26</v>
      </c>
      <c r="I755" s="6" t="s">
        <v>27</v>
      </c>
      <c r="J755" s="6" t="s">
        <v>43</v>
      </c>
      <c r="K755" s="6" t="s">
        <v>48</v>
      </c>
      <c r="L755" s="6" t="s">
        <v>54</v>
      </c>
      <c r="M755" s="6" t="s">
        <v>29</v>
      </c>
      <c r="N755" s="6" t="s">
        <v>28</v>
      </c>
      <c r="O755" s="6" t="s">
        <v>26</v>
      </c>
      <c r="P755" s="6" t="s">
        <v>48</v>
      </c>
      <c r="Q755" s="6" t="s">
        <v>31</v>
      </c>
      <c r="R755" s="6" t="s">
        <v>49</v>
      </c>
      <c r="S755" s="6" t="s">
        <v>54</v>
      </c>
      <c r="T755" s="6" t="s">
        <v>48</v>
      </c>
      <c r="U755" s="6" t="s">
        <v>28</v>
      </c>
      <c r="V755" s="6" t="s">
        <v>137</v>
      </c>
      <c r="W755" t="s">
        <v>353</v>
      </c>
    </row>
    <row r="756" spans="1:23" x14ac:dyDescent="0.3">
      <c r="A756" s="6" t="s">
        <v>242</v>
      </c>
      <c r="B756" s="1">
        <v>45699</v>
      </c>
      <c r="C756" s="6" t="s">
        <v>343</v>
      </c>
      <c r="D756" s="6" t="s">
        <v>43</v>
      </c>
      <c r="E756" s="6" t="s">
        <v>46</v>
      </c>
      <c r="F756" s="6" t="s">
        <v>24</v>
      </c>
      <c r="G756" s="6" t="s">
        <v>68</v>
      </c>
      <c r="H756" s="6" t="s">
        <v>26</v>
      </c>
      <c r="I756" s="6" t="s">
        <v>27</v>
      </c>
      <c r="J756" s="6" t="s">
        <v>43</v>
      </c>
      <c r="K756" s="6" t="s">
        <v>48</v>
      </c>
      <c r="L756" s="6" t="s">
        <v>54</v>
      </c>
      <c r="M756" s="6" t="s">
        <v>29</v>
      </c>
      <c r="N756" s="6" t="s">
        <v>28</v>
      </c>
      <c r="O756" s="6" t="s">
        <v>26</v>
      </c>
      <c r="P756" s="6" t="s">
        <v>48</v>
      </c>
      <c r="Q756" s="6" t="s">
        <v>31</v>
      </c>
      <c r="R756" s="6" t="s">
        <v>49</v>
      </c>
      <c r="S756" s="6" t="s">
        <v>54</v>
      </c>
      <c r="T756" s="6" t="s">
        <v>48</v>
      </c>
      <c r="U756" s="6" t="s">
        <v>28</v>
      </c>
      <c r="V756" s="6" t="s">
        <v>146</v>
      </c>
      <c r="W756" t="s">
        <v>353</v>
      </c>
    </row>
    <row r="757" spans="1:23" x14ac:dyDescent="0.3">
      <c r="A757" s="6" t="s">
        <v>242</v>
      </c>
      <c r="B757" s="1">
        <v>45699</v>
      </c>
      <c r="C757" s="6" t="s">
        <v>343</v>
      </c>
      <c r="D757" s="6" t="s">
        <v>43</v>
      </c>
      <c r="E757" s="6" t="s">
        <v>46</v>
      </c>
      <c r="F757" s="6" t="s">
        <v>24</v>
      </c>
      <c r="G757" s="6" t="s">
        <v>68</v>
      </c>
      <c r="H757" s="6" t="s">
        <v>26</v>
      </c>
      <c r="I757" s="6" t="s">
        <v>27</v>
      </c>
      <c r="J757" s="6" t="s">
        <v>43</v>
      </c>
      <c r="K757" s="6" t="s">
        <v>48</v>
      </c>
      <c r="L757" s="6" t="s">
        <v>54</v>
      </c>
      <c r="M757" s="6" t="s">
        <v>29</v>
      </c>
      <c r="N757" s="6" t="s">
        <v>28</v>
      </c>
      <c r="O757" s="6" t="s">
        <v>26</v>
      </c>
      <c r="P757" s="6" t="s">
        <v>48</v>
      </c>
      <c r="Q757" s="6" t="s">
        <v>31</v>
      </c>
      <c r="R757" s="6" t="s">
        <v>49</v>
      </c>
      <c r="S757" s="6" t="s">
        <v>54</v>
      </c>
      <c r="T757" s="6" t="s">
        <v>48</v>
      </c>
      <c r="U757" s="6" t="s">
        <v>28</v>
      </c>
      <c r="V757" s="6" t="s">
        <v>82</v>
      </c>
      <c r="W757" t="s">
        <v>353</v>
      </c>
    </row>
    <row r="758" spans="1:23" x14ac:dyDescent="0.3">
      <c r="A758" s="6" t="s">
        <v>243</v>
      </c>
      <c r="B758" s="1">
        <v>45699</v>
      </c>
      <c r="C758" s="6" t="s">
        <v>343</v>
      </c>
      <c r="D758" s="6" t="s">
        <v>43</v>
      </c>
      <c r="E758" s="6" t="s">
        <v>68</v>
      </c>
      <c r="F758" s="6" t="s">
        <v>24</v>
      </c>
      <c r="G758" s="6" t="s">
        <v>97</v>
      </c>
      <c r="H758" s="6" t="s">
        <v>26</v>
      </c>
      <c r="I758" s="6" t="s">
        <v>27</v>
      </c>
      <c r="J758" s="6" t="s">
        <v>43</v>
      </c>
      <c r="K758" s="6" t="s">
        <v>48</v>
      </c>
      <c r="L758" s="6" t="s">
        <v>54</v>
      </c>
      <c r="M758" s="6" t="s">
        <v>48</v>
      </c>
      <c r="N758" s="6" t="s">
        <v>28</v>
      </c>
      <c r="O758" s="6" t="s">
        <v>26</v>
      </c>
      <c r="P758" s="6" t="s">
        <v>27</v>
      </c>
      <c r="Q758" s="6" t="s">
        <v>31</v>
      </c>
      <c r="R758" s="6" t="s">
        <v>22</v>
      </c>
      <c r="S758" s="6" t="s">
        <v>54</v>
      </c>
      <c r="T758" s="6" t="s">
        <v>29</v>
      </c>
      <c r="U758" s="6" t="s">
        <v>28</v>
      </c>
      <c r="V758" s="6" t="s">
        <v>82</v>
      </c>
      <c r="W758" t="s">
        <v>353</v>
      </c>
    </row>
    <row r="759" spans="1:23" x14ac:dyDescent="0.3">
      <c r="A759" s="6" t="s">
        <v>243</v>
      </c>
      <c r="B759" s="1">
        <v>45699</v>
      </c>
      <c r="C759" s="6" t="s">
        <v>343</v>
      </c>
      <c r="D759" s="6" t="s">
        <v>43</v>
      </c>
      <c r="E759" s="6" t="s">
        <v>68</v>
      </c>
      <c r="F759" s="6" t="s">
        <v>24</v>
      </c>
      <c r="G759" s="6" t="s">
        <v>97</v>
      </c>
      <c r="H759" s="6" t="s">
        <v>26</v>
      </c>
      <c r="I759" s="6" t="s">
        <v>27</v>
      </c>
      <c r="J759" s="6" t="s">
        <v>43</v>
      </c>
      <c r="K759" s="6" t="s">
        <v>48</v>
      </c>
      <c r="L759" s="6" t="s">
        <v>54</v>
      </c>
      <c r="M759" s="6" t="s">
        <v>48</v>
      </c>
      <c r="N759" s="6" t="s">
        <v>28</v>
      </c>
      <c r="O759" s="6" t="s">
        <v>26</v>
      </c>
      <c r="P759" s="6" t="s">
        <v>27</v>
      </c>
      <c r="Q759" s="6" t="s">
        <v>31</v>
      </c>
      <c r="R759" s="6" t="s">
        <v>22</v>
      </c>
      <c r="S759" s="6" t="s">
        <v>54</v>
      </c>
      <c r="T759" s="6" t="s">
        <v>29</v>
      </c>
      <c r="U759" s="6" t="s">
        <v>28</v>
      </c>
      <c r="V759" s="6" t="s">
        <v>146</v>
      </c>
      <c r="W759" t="s">
        <v>353</v>
      </c>
    </row>
    <row r="760" spans="1:23" x14ac:dyDescent="0.3">
      <c r="A760" s="6" t="s">
        <v>244</v>
      </c>
      <c r="B760" s="1">
        <v>45699</v>
      </c>
      <c r="C760" s="6" t="s">
        <v>343</v>
      </c>
      <c r="D760" s="6" t="s">
        <v>43</v>
      </c>
      <c r="E760" s="6" t="s">
        <v>68</v>
      </c>
      <c r="F760" s="6" t="s">
        <v>24</v>
      </c>
      <c r="G760" s="6" t="s">
        <v>97</v>
      </c>
      <c r="H760" s="6" t="s">
        <v>48</v>
      </c>
      <c r="I760" s="6" t="s">
        <v>100</v>
      </c>
      <c r="J760" s="6" t="s">
        <v>43</v>
      </c>
      <c r="K760" s="6" t="s">
        <v>48</v>
      </c>
      <c r="L760" s="6" t="s">
        <v>54</v>
      </c>
      <c r="M760" s="6" t="s">
        <v>48</v>
      </c>
      <c r="N760" s="6" t="s">
        <v>28</v>
      </c>
      <c r="O760" s="6" t="s">
        <v>26</v>
      </c>
      <c r="P760" s="6" t="s">
        <v>27</v>
      </c>
      <c r="Q760" s="6" t="s">
        <v>48</v>
      </c>
      <c r="R760" s="6" t="s">
        <v>43</v>
      </c>
      <c r="S760" s="6" t="s">
        <v>54</v>
      </c>
      <c r="T760" s="6" t="s">
        <v>32</v>
      </c>
      <c r="U760" s="6" t="s">
        <v>28</v>
      </c>
      <c r="V760" s="6" t="s">
        <v>146</v>
      </c>
      <c r="W760" t="s">
        <v>353</v>
      </c>
    </row>
    <row r="761" spans="1:23" x14ac:dyDescent="0.3">
      <c r="A761" s="6" t="s">
        <v>244</v>
      </c>
      <c r="B761" s="1">
        <v>45699</v>
      </c>
      <c r="C761" s="6" t="s">
        <v>343</v>
      </c>
      <c r="D761" s="6" t="s">
        <v>43</v>
      </c>
      <c r="E761" s="6" t="s">
        <v>68</v>
      </c>
      <c r="F761" s="6" t="s">
        <v>24</v>
      </c>
      <c r="G761" s="6" t="s">
        <v>97</v>
      </c>
      <c r="H761" s="6" t="s">
        <v>48</v>
      </c>
      <c r="I761" s="6" t="s">
        <v>100</v>
      </c>
      <c r="J761" s="6" t="s">
        <v>43</v>
      </c>
      <c r="K761" s="6" t="s">
        <v>48</v>
      </c>
      <c r="L761" s="6" t="s">
        <v>54</v>
      </c>
      <c r="M761" s="6" t="s">
        <v>48</v>
      </c>
      <c r="N761" s="6" t="s">
        <v>28</v>
      </c>
      <c r="O761" s="6" t="s">
        <v>26</v>
      </c>
      <c r="P761" s="6" t="s">
        <v>27</v>
      </c>
      <c r="Q761" s="6" t="s">
        <v>48</v>
      </c>
      <c r="R761" s="6" t="s">
        <v>43</v>
      </c>
      <c r="S761" s="6" t="s">
        <v>54</v>
      </c>
      <c r="T761" s="6" t="s">
        <v>32</v>
      </c>
      <c r="U761" s="6" t="s">
        <v>28</v>
      </c>
      <c r="V761" s="6" t="s">
        <v>137</v>
      </c>
      <c r="W761" t="s">
        <v>353</v>
      </c>
    </row>
    <row r="762" spans="1:23" x14ac:dyDescent="0.3">
      <c r="A762" s="6" t="s">
        <v>244</v>
      </c>
      <c r="B762" s="1">
        <v>45699</v>
      </c>
      <c r="C762" s="6" t="s">
        <v>343</v>
      </c>
      <c r="D762" s="6" t="s">
        <v>43</v>
      </c>
      <c r="E762" s="6" t="s">
        <v>68</v>
      </c>
      <c r="F762" s="6" t="s">
        <v>24</v>
      </c>
      <c r="G762" s="6" t="s">
        <v>97</v>
      </c>
      <c r="H762" s="6" t="s">
        <v>48</v>
      </c>
      <c r="I762" s="6" t="s">
        <v>100</v>
      </c>
      <c r="J762" s="6" t="s">
        <v>43</v>
      </c>
      <c r="K762" s="6" t="s">
        <v>48</v>
      </c>
      <c r="L762" s="6" t="s">
        <v>54</v>
      </c>
      <c r="M762" s="6" t="s">
        <v>48</v>
      </c>
      <c r="N762" s="6" t="s">
        <v>28</v>
      </c>
      <c r="O762" s="6" t="s">
        <v>26</v>
      </c>
      <c r="P762" s="6" t="s">
        <v>27</v>
      </c>
      <c r="Q762" s="6" t="s">
        <v>48</v>
      </c>
      <c r="R762" s="6" t="s">
        <v>43</v>
      </c>
      <c r="S762" s="6" t="s">
        <v>54</v>
      </c>
      <c r="T762" s="6" t="s">
        <v>32</v>
      </c>
      <c r="U762" s="6" t="s">
        <v>28</v>
      </c>
      <c r="V762" s="6" t="s">
        <v>82</v>
      </c>
      <c r="W762" t="s">
        <v>353</v>
      </c>
    </row>
    <row r="763" spans="1:23" x14ac:dyDescent="0.3">
      <c r="A763" s="6" t="s">
        <v>245</v>
      </c>
      <c r="B763" s="1">
        <v>45699</v>
      </c>
      <c r="C763" s="6" t="s">
        <v>343</v>
      </c>
      <c r="D763" s="6" t="s">
        <v>43</v>
      </c>
      <c r="E763" s="6" t="s">
        <v>68</v>
      </c>
      <c r="F763" s="6" t="s">
        <v>24</v>
      </c>
      <c r="G763" s="6" t="s">
        <v>97</v>
      </c>
      <c r="H763" s="6" t="s">
        <v>26</v>
      </c>
      <c r="I763" s="6" t="s">
        <v>27</v>
      </c>
      <c r="J763" s="6" t="s">
        <v>43</v>
      </c>
      <c r="K763" s="6" t="s">
        <v>48</v>
      </c>
      <c r="L763" s="6" t="s">
        <v>705</v>
      </c>
      <c r="M763" s="6" t="s">
        <v>29</v>
      </c>
      <c r="N763" s="6" t="s">
        <v>28</v>
      </c>
      <c r="O763" s="6" t="s">
        <v>26</v>
      </c>
      <c r="P763" s="6" t="s">
        <v>48</v>
      </c>
      <c r="Q763" s="6" t="s">
        <v>31</v>
      </c>
      <c r="R763" s="6" t="s">
        <v>49</v>
      </c>
      <c r="S763" s="6" t="s">
        <v>54</v>
      </c>
      <c r="T763" s="6" t="s">
        <v>55</v>
      </c>
      <c r="U763" s="6" t="s">
        <v>28</v>
      </c>
      <c r="V763" s="6" t="s">
        <v>82</v>
      </c>
      <c r="W763" t="s">
        <v>353</v>
      </c>
    </row>
    <row r="764" spans="1:23" x14ac:dyDescent="0.3">
      <c r="A764" s="6" t="s">
        <v>246</v>
      </c>
      <c r="B764" s="1">
        <v>45699</v>
      </c>
      <c r="C764" s="6" t="s">
        <v>343</v>
      </c>
      <c r="D764" s="6" t="s">
        <v>43</v>
      </c>
      <c r="E764" s="6" t="s">
        <v>68</v>
      </c>
      <c r="F764" s="6" t="s">
        <v>24</v>
      </c>
      <c r="G764" s="6" t="s">
        <v>61</v>
      </c>
      <c r="H764" s="6" t="s">
        <v>26</v>
      </c>
      <c r="I764" s="6" t="s">
        <v>27</v>
      </c>
      <c r="J764" s="6" t="s">
        <v>43</v>
      </c>
      <c r="K764" s="6" t="s">
        <v>48</v>
      </c>
      <c r="L764" s="6" t="s">
        <v>54</v>
      </c>
      <c r="M764" s="6" t="s">
        <v>29</v>
      </c>
      <c r="N764" s="6" t="s">
        <v>28</v>
      </c>
      <c r="O764" s="6" t="s">
        <v>26</v>
      </c>
      <c r="P764" s="6" t="s">
        <v>27</v>
      </c>
      <c r="Q764" s="6" t="s">
        <v>31</v>
      </c>
      <c r="R764" s="6" t="s">
        <v>49</v>
      </c>
      <c r="S764" s="6" t="s">
        <v>128</v>
      </c>
      <c r="T764" s="6" t="s">
        <v>29</v>
      </c>
      <c r="U764" s="6" t="s">
        <v>28</v>
      </c>
      <c r="V764" s="6" t="s">
        <v>146</v>
      </c>
      <c r="W764" t="s">
        <v>353</v>
      </c>
    </row>
    <row r="765" spans="1:23" x14ac:dyDescent="0.3">
      <c r="A765" s="6" t="s">
        <v>248</v>
      </c>
      <c r="B765" s="1">
        <v>45699</v>
      </c>
      <c r="C765" s="6" t="s">
        <v>343</v>
      </c>
      <c r="D765" s="6" t="s">
        <v>43</v>
      </c>
      <c r="E765" s="6" t="s">
        <v>68</v>
      </c>
      <c r="F765" s="6" t="s">
        <v>24</v>
      </c>
      <c r="G765" s="6" t="s">
        <v>61</v>
      </c>
      <c r="H765" s="6" t="s">
        <v>26</v>
      </c>
      <c r="I765" s="6" t="s">
        <v>27</v>
      </c>
      <c r="J765" s="6" t="s">
        <v>43</v>
      </c>
      <c r="K765" s="6" t="s">
        <v>48</v>
      </c>
      <c r="L765" s="6" t="s">
        <v>54</v>
      </c>
      <c r="M765" s="6" t="s">
        <v>29</v>
      </c>
      <c r="N765" s="6" t="s">
        <v>28</v>
      </c>
      <c r="O765" s="6" t="s">
        <v>48</v>
      </c>
      <c r="P765" s="6" t="s">
        <v>48</v>
      </c>
      <c r="Q765" s="6" t="s">
        <v>48</v>
      </c>
      <c r="R765" s="6" t="s">
        <v>43</v>
      </c>
      <c r="S765" s="6" t="s">
        <v>54</v>
      </c>
      <c r="T765" s="6" t="s">
        <v>48</v>
      </c>
      <c r="U765" s="6" t="s">
        <v>119</v>
      </c>
      <c r="V765" s="6" t="s">
        <v>82</v>
      </c>
      <c r="W765" t="s">
        <v>353</v>
      </c>
    </row>
    <row r="766" spans="1:23" x14ac:dyDescent="0.3">
      <c r="A766" s="6" t="s">
        <v>247</v>
      </c>
      <c r="B766" s="1">
        <v>45699</v>
      </c>
      <c r="C766" s="6" t="s">
        <v>343</v>
      </c>
      <c r="D766" s="6" t="s">
        <v>43</v>
      </c>
      <c r="E766" s="6" t="s">
        <v>68</v>
      </c>
      <c r="F766" s="6" t="s">
        <v>24</v>
      </c>
      <c r="G766" s="6" t="s">
        <v>61</v>
      </c>
      <c r="H766" s="6" t="s">
        <v>26</v>
      </c>
      <c r="I766" s="6" t="s">
        <v>27</v>
      </c>
      <c r="J766" s="6" t="s">
        <v>43</v>
      </c>
      <c r="K766" s="6" t="s">
        <v>48</v>
      </c>
      <c r="L766" s="6" t="s">
        <v>54</v>
      </c>
      <c r="M766" s="6" t="s">
        <v>29</v>
      </c>
      <c r="N766" s="6" t="s">
        <v>28</v>
      </c>
      <c r="O766" s="6" t="s">
        <v>26</v>
      </c>
      <c r="P766" s="6" t="s">
        <v>27</v>
      </c>
      <c r="Q766" s="6" t="s">
        <v>31</v>
      </c>
      <c r="R766" s="6" t="s">
        <v>49</v>
      </c>
      <c r="S766" s="6" t="s">
        <v>54</v>
      </c>
      <c r="T766" s="6" t="s">
        <v>29</v>
      </c>
      <c r="U766" s="6" t="s">
        <v>28</v>
      </c>
      <c r="V766" s="6" t="s">
        <v>82</v>
      </c>
      <c r="W766" t="s">
        <v>353</v>
      </c>
    </row>
    <row r="767" spans="1:23" x14ac:dyDescent="0.3">
      <c r="A767" s="6" t="s">
        <v>249</v>
      </c>
      <c r="B767" s="1">
        <v>45699</v>
      </c>
      <c r="C767" s="6" t="s">
        <v>33</v>
      </c>
      <c r="D767" s="6" t="s">
        <v>43</v>
      </c>
      <c r="E767" s="6" t="s">
        <v>68</v>
      </c>
      <c r="F767" s="6" t="s">
        <v>24</v>
      </c>
      <c r="G767" s="6" t="s">
        <v>97</v>
      </c>
      <c r="H767" s="6" t="s">
        <v>26</v>
      </c>
      <c r="I767" s="6" t="s">
        <v>27</v>
      </c>
      <c r="J767" s="6" t="s">
        <v>43</v>
      </c>
      <c r="K767" s="6" t="s">
        <v>48</v>
      </c>
      <c r="L767" s="6" t="s">
        <v>705</v>
      </c>
      <c r="M767" s="6" t="s">
        <v>29</v>
      </c>
      <c r="N767" s="6" t="s">
        <v>28</v>
      </c>
      <c r="O767" s="6" t="s">
        <v>26</v>
      </c>
      <c r="P767" s="6" t="s">
        <v>27</v>
      </c>
      <c r="Q767" s="6" t="s">
        <v>31</v>
      </c>
      <c r="R767" s="6" t="s">
        <v>49</v>
      </c>
      <c r="S767" s="6" t="s">
        <v>54</v>
      </c>
      <c r="T767" s="6" t="s">
        <v>29</v>
      </c>
      <c r="U767" s="6" t="s">
        <v>28</v>
      </c>
      <c r="V767" s="6" t="s">
        <v>82</v>
      </c>
      <c r="W767" t="s">
        <v>353</v>
      </c>
    </row>
    <row r="768" spans="1:23" x14ac:dyDescent="0.3">
      <c r="A768" s="6" t="s">
        <v>250</v>
      </c>
      <c r="B768" s="1">
        <v>45699</v>
      </c>
      <c r="C768" s="6" t="s">
        <v>343</v>
      </c>
      <c r="D768" s="6" t="s">
        <v>43</v>
      </c>
      <c r="E768" s="6" t="s">
        <v>68</v>
      </c>
      <c r="F768" s="6" t="s">
        <v>24</v>
      </c>
      <c r="G768" s="6" t="s">
        <v>97</v>
      </c>
      <c r="H768" s="6" t="s">
        <v>26</v>
      </c>
      <c r="I768" s="6" t="s">
        <v>27</v>
      </c>
      <c r="J768" s="6" t="s">
        <v>43</v>
      </c>
      <c r="K768" s="6" t="s">
        <v>48</v>
      </c>
      <c r="L768" s="6" t="s">
        <v>54</v>
      </c>
      <c r="M768" s="6" t="s">
        <v>29</v>
      </c>
      <c r="N768" s="6" t="s">
        <v>28</v>
      </c>
      <c r="O768" s="6" t="s">
        <v>26</v>
      </c>
      <c r="P768" s="6" t="s">
        <v>48</v>
      </c>
      <c r="Q768" s="6" t="s">
        <v>48</v>
      </c>
      <c r="R768" s="6" t="s">
        <v>49</v>
      </c>
      <c r="S768" s="6" t="s">
        <v>54</v>
      </c>
      <c r="T768" s="6" t="s">
        <v>48</v>
      </c>
      <c r="U768" s="6" t="s">
        <v>28</v>
      </c>
      <c r="V768" s="6" t="s">
        <v>82</v>
      </c>
      <c r="W768" t="s">
        <v>353</v>
      </c>
    </row>
    <row r="769" spans="1:23" x14ac:dyDescent="0.3">
      <c r="A769" s="6" t="s">
        <v>251</v>
      </c>
      <c r="B769" s="1">
        <v>45699</v>
      </c>
      <c r="C769" s="6" t="s">
        <v>33</v>
      </c>
      <c r="D769" s="6" t="s">
        <v>43</v>
      </c>
      <c r="E769" s="6" t="s">
        <v>46</v>
      </c>
      <c r="F769" s="6" t="s">
        <v>24</v>
      </c>
      <c r="G769" s="6" t="s">
        <v>97</v>
      </c>
      <c r="H769" s="6" t="s">
        <v>26</v>
      </c>
      <c r="I769" s="6" t="s">
        <v>27</v>
      </c>
      <c r="J769" s="6" t="s">
        <v>43</v>
      </c>
      <c r="K769" s="6" t="s">
        <v>48</v>
      </c>
      <c r="L769" s="6" t="s">
        <v>54</v>
      </c>
      <c r="M769" s="6" t="s">
        <v>29</v>
      </c>
      <c r="N769" s="6" t="s">
        <v>28</v>
      </c>
      <c r="O769" s="6" t="s">
        <v>26</v>
      </c>
      <c r="P769" s="6" t="s">
        <v>27</v>
      </c>
      <c r="Q769" s="6" t="s">
        <v>48</v>
      </c>
      <c r="R769" s="6" t="s">
        <v>49</v>
      </c>
      <c r="S769" s="6" t="s">
        <v>54</v>
      </c>
      <c r="T769" s="6" t="s">
        <v>29</v>
      </c>
      <c r="U769" s="6" t="s">
        <v>28</v>
      </c>
      <c r="V769" s="6" t="s">
        <v>82</v>
      </c>
      <c r="W769" t="s">
        <v>353</v>
      </c>
    </row>
    <row r="770" spans="1:23" x14ac:dyDescent="0.3">
      <c r="A770" s="6" t="s">
        <v>252</v>
      </c>
      <c r="B770" s="1">
        <v>45700</v>
      </c>
      <c r="C770" s="6" t="s">
        <v>33</v>
      </c>
      <c r="D770" s="6" t="s">
        <v>43</v>
      </c>
      <c r="E770" s="6" t="s">
        <v>68</v>
      </c>
      <c r="F770" s="6" t="s">
        <v>24</v>
      </c>
      <c r="G770" s="6" t="s">
        <v>97</v>
      </c>
      <c r="H770" s="6" t="s">
        <v>26</v>
      </c>
      <c r="I770" s="6" t="s">
        <v>27</v>
      </c>
      <c r="J770" s="6" t="s">
        <v>43</v>
      </c>
      <c r="K770" s="6" t="s">
        <v>48</v>
      </c>
      <c r="L770" s="6" t="s">
        <v>54</v>
      </c>
      <c r="M770" s="6" t="s">
        <v>29</v>
      </c>
      <c r="N770" s="6" t="s">
        <v>28</v>
      </c>
      <c r="O770" s="6" t="s">
        <v>26</v>
      </c>
      <c r="P770" s="6" t="s">
        <v>27</v>
      </c>
      <c r="Q770" s="6" t="s">
        <v>31</v>
      </c>
      <c r="R770" s="6" t="s">
        <v>49</v>
      </c>
      <c r="S770" s="6" t="s">
        <v>54</v>
      </c>
      <c r="T770" s="6" t="s">
        <v>29</v>
      </c>
      <c r="U770" s="6" t="s">
        <v>28</v>
      </c>
      <c r="V770" s="6" t="s">
        <v>146</v>
      </c>
      <c r="W770" t="s">
        <v>353</v>
      </c>
    </row>
    <row r="771" spans="1:23" x14ac:dyDescent="0.3">
      <c r="A771" s="6" t="s">
        <v>253</v>
      </c>
      <c r="B771" s="1">
        <v>45700</v>
      </c>
      <c r="C771" s="6" t="s">
        <v>21</v>
      </c>
      <c r="D771" s="6" t="s">
        <v>43</v>
      </c>
      <c r="E771" s="6" t="s">
        <v>68</v>
      </c>
      <c r="F771" s="6" t="s">
        <v>24</v>
      </c>
      <c r="G771" s="6" t="s">
        <v>61</v>
      </c>
      <c r="H771" s="6" t="s">
        <v>26</v>
      </c>
      <c r="I771" s="6" t="s">
        <v>27</v>
      </c>
      <c r="J771" s="6" t="s">
        <v>43</v>
      </c>
      <c r="K771" s="6" t="s">
        <v>48</v>
      </c>
      <c r="L771" s="6" t="s">
        <v>54</v>
      </c>
      <c r="M771" s="6" t="s">
        <v>29</v>
      </c>
      <c r="N771" s="6" t="s">
        <v>28</v>
      </c>
      <c r="O771" s="6" t="s">
        <v>26</v>
      </c>
      <c r="P771" s="6" t="s">
        <v>27</v>
      </c>
      <c r="Q771" s="6" t="s">
        <v>48</v>
      </c>
      <c r="R771" s="6" t="s">
        <v>43</v>
      </c>
      <c r="S771" s="6" t="s">
        <v>54</v>
      </c>
      <c r="T771" s="6" t="s">
        <v>29</v>
      </c>
      <c r="U771" s="6" t="s">
        <v>28</v>
      </c>
      <c r="V771" s="6" t="s">
        <v>137</v>
      </c>
      <c r="W771" t="s">
        <v>353</v>
      </c>
    </row>
    <row r="772" spans="1:23" x14ac:dyDescent="0.3">
      <c r="A772" s="6" t="s">
        <v>254</v>
      </c>
      <c r="B772" s="1">
        <v>45700</v>
      </c>
      <c r="C772" s="6" t="s">
        <v>21</v>
      </c>
      <c r="D772" s="6" t="s">
        <v>43</v>
      </c>
      <c r="E772" s="6" t="s">
        <v>68</v>
      </c>
      <c r="F772" s="6" t="s">
        <v>24</v>
      </c>
      <c r="G772" s="6" t="s">
        <v>61</v>
      </c>
      <c r="H772" s="6" t="s">
        <v>26</v>
      </c>
      <c r="I772" s="6" t="s">
        <v>27</v>
      </c>
      <c r="J772" s="6" t="s">
        <v>43</v>
      </c>
      <c r="K772" s="6" t="s">
        <v>48</v>
      </c>
      <c r="L772" s="6" t="s">
        <v>54</v>
      </c>
      <c r="M772" s="6" t="s">
        <v>29</v>
      </c>
      <c r="N772" s="6" t="s">
        <v>28</v>
      </c>
      <c r="O772" s="6" t="s">
        <v>26</v>
      </c>
      <c r="P772" s="6" t="s">
        <v>27</v>
      </c>
      <c r="Q772" s="6" t="s">
        <v>48</v>
      </c>
      <c r="R772" s="6" t="s">
        <v>43</v>
      </c>
      <c r="S772" s="6" t="s">
        <v>54</v>
      </c>
      <c r="T772" s="6" t="s">
        <v>29</v>
      </c>
      <c r="U772" s="6" t="s">
        <v>28</v>
      </c>
      <c r="V772" s="6" t="s">
        <v>82</v>
      </c>
      <c r="W772" t="s">
        <v>353</v>
      </c>
    </row>
    <row r="773" spans="1:23" x14ac:dyDescent="0.3">
      <c r="A773" s="6" t="s">
        <v>254</v>
      </c>
      <c r="B773" s="1">
        <v>45700</v>
      </c>
      <c r="C773" s="6" t="s">
        <v>21</v>
      </c>
      <c r="D773" s="6" t="s">
        <v>43</v>
      </c>
      <c r="E773" s="6" t="s">
        <v>68</v>
      </c>
      <c r="F773" s="6" t="s">
        <v>24</v>
      </c>
      <c r="G773" s="6" t="s">
        <v>61</v>
      </c>
      <c r="H773" s="6" t="s">
        <v>26</v>
      </c>
      <c r="I773" s="6" t="s">
        <v>27</v>
      </c>
      <c r="J773" s="6" t="s">
        <v>43</v>
      </c>
      <c r="K773" s="6" t="s">
        <v>48</v>
      </c>
      <c r="L773" s="6" t="s">
        <v>54</v>
      </c>
      <c r="M773" s="6" t="s">
        <v>29</v>
      </c>
      <c r="N773" s="6" t="s">
        <v>28</v>
      </c>
      <c r="O773" s="6" t="s">
        <v>26</v>
      </c>
      <c r="P773" s="6" t="s">
        <v>27</v>
      </c>
      <c r="Q773" s="6" t="s">
        <v>48</v>
      </c>
      <c r="R773" s="6" t="s">
        <v>43</v>
      </c>
      <c r="S773" s="6" t="s">
        <v>54</v>
      </c>
      <c r="T773" s="6" t="s">
        <v>29</v>
      </c>
      <c r="U773" s="6" t="s">
        <v>28</v>
      </c>
      <c r="V773" s="6" t="s">
        <v>146</v>
      </c>
      <c r="W773" t="s">
        <v>353</v>
      </c>
    </row>
    <row r="774" spans="1:23" x14ac:dyDescent="0.3">
      <c r="A774" s="6" t="s">
        <v>255</v>
      </c>
      <c r="B774" s="1">
        <v>45700</v>
      </c>
      <c r="C774" s="6" t="s">
        <v>343</v>
      </c>
      <c r="D774" s="6" t="s">
        <v>95</v>
      </c>
      <c r="E774" s="6" t="s">
        <v>73</v>
      </c>
      <c r="F774" s="6" t="s">
        <v>24</v>
      </c>
      <c r="G774" s="6" t="s">
        <v>97</v>
      </c>
      <c r="H774" s="6" t="s">
        <v>48</v>
      </c>
      <c r="I774" s="6" t="s">
        <v>58</v>
      </c>
      <c r="J774" s="6" t="s">
        <v>95</v>
      </c>
      <c r="K774" s="6" t="s">
        <v>48</v>
      </c>
      <c r="L774" s="6" t="s">
        <v>54</v>
      </c>
      <c r="M774" s="6" t="s">
        <v>55</v>
      </c>
      <c r="N774" s="6" t="s">
        <v>28</v>
      </c>
      <c r="O774" s="6" t="s">
        <v>26</v>
      </c>
      <c r="P774" s="6" t="s">
        <v>52</v>
      </c>
      <c r="Q774" s="6" t="s">
        <v>31</v>
      </c>
      <c r="R774" s="6" t="s">
        <v>95</v>
      </c>
      <c r="S774" s="6" t="s">
        <v>54</v>
      </c>
      <c r="T774" s="6" t="s">
        <v>48</v>
      </c>
      <c r="U774" s="6" t="s">
        <v>28</v>
      </c>
      <c r="V774" s="6" t="s">
        <v>82</v>
      </c>
      <c r="W774" t="s">
        <v>353</v>
      </c>
    </row>
    <row r="775" spans="1:23" x14ac:dyDescent="0.3">
      <c r="A775" s="6" t="s">
        <v>256</v>
      </c>
      <c r="B775" s="1">
        <v>45700</v>
      </c>
      <c r="C775" s="6" t="s">
        <v>33</v>
      </c>
      <c r="D775" s="6" t="s">
        <v>43</v>
      </c>
      <c r="E775" s="6" t="s">
        <v>68</v>
      </c>
      <c r="F775" s="6" t="s">
        <v>24</v>
      </c>
      <c r="G775" s="6" t="s">
        <v>61</v>
      </c>
      <c r="H775" s="6" t="s">
        <v>26</v>
      </c>
      <c r="I775" s="6" t="s">
        <v>27</v>
      </c>
      <c r="J775" s="6" t="s">
        <v>43</v>
      </c>
      <c r="K775" s="6" t="s">
        <v>48</v>
      </c>
      <c r="L775" s="6" t="s">
        <v>54</v>
      </c>
      <c r="M775" s="6" t="s">
        <v>32</v>
      </c>
      <c r="N775" s="6" t="s">
        <v>28</v>
      </c>
      <c r="O775" s="6" t="s">
        <v>26</v>
      </c>
      <c r="P775" s="6" t="s">
        <v>27</v>
      </c>
      <c r="Q775" s="6" t="s">
        <v>31</v>
      </c>
      <c r="R775" s="6" t="s">
        <v>22</v>
      </c>
      <c r="S775" s="6" t="s">
        <v>54</v>
      </c>
      <c r="T775" s="6" t="s">
        <v>29</v>
      </c>
      <c r="U775" s="6" t="s">
        <v>28</v>
      </c>
      <c r="V775" s="6" t="s">
        <v>146</v>
      </c>
      <c r="W775" t="s">
        <v>353</v>
      </c>
    </row>
    <row r="776" spans="1:23" x14ac:dyDescent="0.3">
      <c r="A776" s="6" t="s">
        <v>256</v>
      </c>
      <c r="B776" s="1">
        <v>45700</v>
      </c>
      <c r="C776" s="6" t="s">
        <v>33</v>
      </c>
      <c r="D776" s="6" t="s">
        <v>43</v>
      </c>
      <c r="E776" s="6" t="s">
        <v>68</v>
      </c>
      <c r="F776" s="6" t="s">
        <v>24</v>
      </c>
      <c r="G776" s="6" t="s">
        <v>61</v>
      </c>
      <c r="H776" s="6" t="s">
        <v>26</v>
      </c>
      <c r="I776" s="6" t="s">
        <v>27</v>
      </c>
      <c r="J776" s="6" t="s">
        <v>43</v>
      </c>
      <c r="K776" s="6" t="s">
        <v>48</v>
      </c>
      <c r="L776" s="6" t="s">
        <v>54</v>
      </c>
      <c r="M776" s="6" t="s">
        <v>32</v>
      </c>
      <c r="N776" s="6" t="s">
        <v>28</v>
      </c>
      <c r="O776" s="6" t="s">
        <v>26</v>
      </c>
      <c r="P776" s="6" t="s">
        <v>27</v>
      </c>
      <c r="Q776" s="6" t="s">
        <v>31</v>
      </c>
      <c r="R776" s="6" t="s">
        <v>22</v>
      </c>
      <c r="S776" s="6" t="s">
        <v>54</v>
      </c>
      <c r="T776" s="6" t="s">
        <v>29</v>
      </c>
      <c r="U776" s="6" t="s">
        <v>28</v>
      </c>
      <c r="V776" s="6" t="s">
        <v>82</v>
      </c>
      <c r="W776" t="s">
        <v>353</v>
      </c>
    </row>
    <row r="777" spans="1:23" x14ac:dyDescent="0.3">
      <c r="A777" s="6" t="s">
        <v>257</v>
      </c>
      <c r="B777" s="1">
        <v>45700</v>
      </c>
      <c r="C777" s="6" t="s">
        <v>33</v>
      </c>
      <c r="D777" s="6" t="s">
        <v>43</v>
      </c>
      <c r="E777" s="6" t="s">
        <v>68</v>
      </c>
      <c r="F777" s="6" t="s">
        <v>24</v>
      </c>
      <c r="G777" s="6" t="s">
        <v>61</v>
      </c>
      <c r="H777" s="6" t="s">
        <v>26</v>
      </c>
      <c r="I777" s="6" t="s">
        <v>27</v>
      </c>
      <c r="J777" s="6" t="s">
        <v>43</v>
      </c>
      <c r="K777" s="6" t="s">
        <v>48</v>
      </c>
      <c r="L777" s="6" t="s">
        <v>54</v>
      </c>
      <c r="M777" s="6" t="s">
        <v>29</v>
      </c>
      <c r="N777" s="6" t="s">
        <v>28</v>
      </c>
      <c r="O777" s="6" t="s">
        <v>26</v>
      </c>
      <c r="P777" s="6" t="s">
        <v>48</v>
      </c>
      <c r="Q777" s="6" t="s">
        <v>48</v>
      </c>
      <c r="R777" s="6" t="s">
        <v>49</v>
      </c>
      <c r="S777" s="6" t="s">
        <v>54</v>
      </c>
      <c r="T777" s="6" t="s">
        <v>29</v>
      </c>
      <c r="U777" s="6" t="s">
        <v>28</v>
      </c>
      <c r="V777" s="6" t="s">
        <v>137</v>
      </c>
      <c r="W777" t="s">
        <v>353</v>
      </c>
    </row>
    <row r="778" spans="1:23" x14ac:dyDescent="0.3">
      <c r="A778" s="6" t="s">
        <v>258</v>
      </c>
      <c r="B778" s="1">
        <v>45700</v>
      </c>
      <c r="C778" s="6" t="s">
        <v>33</v>
      </c>
      <c r="D778" s="6" t="s">
        <v>22</v>
      </c>
      <c r="E778" s="6" t="s">
        <v>64</v>
      </c>
      <c r="F778" s="6" t="s">
        <v>24</v>
      </c>
      <c r="G778" s="6" t="s">
        <v>69</v>
      </c>
      <c r="H778" s="6" t="s">
        <v>26</v>
      </c>
      <c r="I778" s="6" t="s">
        <v>42</v>
      </c>
      <c r="J778" s="6" t="s">
        <v>22</v>
      </c>
      <c r="K778" s="6" t="s">
        <v>48</v>
      </c>
      <c r="L778" s="6" t="s">
        <v>54</v>
      </c>
      <c r="M778" s="6" t="s">
        <v>32</v>
      </c>
      <c r="N778" s="6" t="s">
        <v>28</v>
      </c>
      <c r="O778" s="6" t="s">
        <v>30</v>
      </c>
      <c r="P778" s="6" t="s">
        <v>788</v>
      </c>
      <c r="Q778" s="6" t="s">
        <v>48</v>
      </c>
      <c r="R778" s="6" t="s">
        <v>22</v>
      </c>
      <c r="S778" s="6" t="s">
        <v>54</v>
      </c>
      <c r="T778" s="6" t="s">
        <v>48</v>
      </c>
      <c r="U778" s="6" t="s">
        <v>28</v>
      </c>
      <c r="V778" s="6" t="s">
        <v>82</v>
      </c>
      <c r="W778" t="s">
        <v>353</v>
      </c>
    </row>
    <row r="779" spans="1:23" x14ac:dyDescent="0.3">
      <c r="A779" s="6" t="s">
        <v>259</v>
      </c>
      <c r="B779" s="1">
        <v>45700</v>
      </c>
      <c r="C779" s="6" t="s">
        <v>33</v>
      </c>
      <c r="D779" s="6" t="s">
        <v>43</v>
      </c>
      <c r="E779" s="6" t="s">
        <v>64</v>
      </c>
      <c r="F779" s="6" t="s">
        <v>24</v>
      </c>
      <c r="G779" s="6" t="s">
        <v>97</v>
      </c>
      <c r="H779" s="6" t="s">
        <v>26</v>
      </c>
      <c r="I779" s="6" t="s">
        <v>27</v>
      </c>
      <c r="J779" s="6" t="s">
        <v>43</v>
      </c>
      <c r="K779" s="6" t="s">
        <v>48</v>
      </c>
      <c r="L779" s="6" t="s">
        <v>54</v>
      </c>
      <c r="M779" s="6" t="s">
        <v>29</v>
      </c>
      <c r="N779" s="6" t="s">
        <v>28</v>
      </c>
      <c r="O779" s="6" t="s">
        <v>26</v>
      </c>
      <c r="P779" s="6" t="s">
        <v>48</v>
      </c>
      <c r="Q779" s="6" t="s">
        <v>48</v>
      </c>
      <c r="R779" s="6" t="s">
        <v>49</v>
      </c>
      <c r="S779" s="6" t="s">
        <v>54</v>
      </c>
      <c r="T779" s="6" t="s">
        <v>29</v>
      </c>
      <c r="U779" s="6" t="s">
        <v>28</v>
      </c>
      <c r="V779" s="6" t="s">
        <v>146</v>
      </c>
      <c r="W779" t="s">
        <v>353</v>
      </c>
    </row>
    <row r="780" spans="1:23" x14ac:dyDescent="0.3">
      <c r="A780" s="6" t="s">
        <v>260</v>
      </c>
      <c r="B780" s="1">
        <v>45700</v>
      </c>
      <c r="C780" s="6" t="s">
        <v>33</v>
      </c>
      <c r="D780" s="6" t="s">
        <v>43</v>
      </c>
      <c r="E780" s="6" t="s">
        <v>68</v>
      </c>
      <c r="F780" s="6" t="s">
        <v>24</v>
      </c>
      <c r="G780" s="6" t="s">
        <v>97</v>
      </c>
      <c r="H780" s="6" t="s">
        <v>26</v>
      </c>
      <c r="I780" s="6" t="s">
        <v>27</v>
      </c>
      <c r="J780" s="6" t="s">
        <v>43</v>
      </c>
      <c r="K780" s="6" t="s">
        <v>48</v>
      </c>
      <c r="L780" s="6" t="s">
        <v>152</v>
      </c>
      <c r="M780" s="6" t="s">
        <v>29</v>
      </c>
      <c r="N780" s="6" t="s">
        <v>28</v>
      </c>
      <c r="O780" s="6" t="s">
        <v>26</v>
      </c>
      <c r="P780" s="6" t="s">
        <v>27</v>
      </c>
      <c r="Q780" s="6" t="s">
        <v>31</v>
      </c>
      <c r="R780" s="6" t="s">
        <v>22</v>
      </c>
      <c r="S780" s="6" t="s">
        <v>54</v>
      </c>
      <c r="T780" s="6" t="s">
        <v>29</v>
      </c>
      <c r="U780" s="6" t="s">
        <v>28</v>
      </c>
      <c r="V780" s="6" t="s">
        <v>82</v>
      </c>
      <c r="W780" t="s">
        <v>353</v>
      </c>
    </row>
    <row r="781" spans="1:23" x14ac:dyDescent="0.3">
      <c r="A781" s="6" t="s">
        <v>261</v>
      </c>
      <c r="B781" s="1">
        <v>45701</v>
      </c>
      <c r="C781" s="6" t="s">
        <v>343</v>
      </c>
      <c r="D781" s="6" t="s">
        <v>43</v>
      </c>
      <c r="E781" s="6" t="s">
        <v>68</v>
      </c>
      <c r="F781" s="6" t="s">
        <v>24</v>
      </c>
      <c r="G781" s="6" t="s">
        <v>97</v>
      </c>
      <c r="H781" s="6" t="s">
        <v>26</v>
      </c>
      <c r="I781" s="6" t="s">
        <v>27</v>
      </c>
      <c r="J781" s="6" t="s">
        <v>49</v>
      </c>
      <c r="K781" s="6" t="s">
        <v>48</v>
      </c>
      <c r="L781" s="6" t="s">
        <v>54</v>
      </c>
      <c r="M781" s="6" t="s">
        <v>48</v>
      </c>
      <c r="N781" s="6" t="s">
        <v>28</v>
      </c>
      <c r="O781" s="6" t="s">
        <v>26</v>
      </c>
      <c r="P781" s="6" t="s">
        <v>27</v>
      </c>
      <c r="Q781" s="6" t="s">
        <v>48</v>
      </c>
      <c r="R781" s="6" t="s">
        <v>49</v>
      </c>
      <c r="S781" s="6" t="s">
        <v>54</v>
      </c>
      <c r="T781" s="6" t="s">
        <v>32</v>
      </c>
      <c r="U781" s="6" t="s">
        <v>28</v>
      </c>
      <c r="V781" s="6" t="s">
        <v>82</v>
      </c>
      <c r="W781" t="s">
        <v>353</v>
      </c>
    </row>
    <row r="782" spans="1:23" x14ac:dyDescent="0.3">
      <c r="A782" s="6" t="s">
        <v>261</v>
      </c>
      <c r="B782" s="1">
        <v>45701</v>
      </c>
      <c r="C782" s="6" t="s">
        <v>343</v>
      </c>
      <c r="D782" s="6" t="s">
        <v>43</v>
      </c>
      <c r="E782" s="6" t="s">
        <v>68</v>
      </c>
      <c r="F782" s="6" t="s">
        <v>24</v>
      </c>
      <c r="G782" s="6" t="s">
        <v>97</v>
      </c>
      <c r="H782" s="6" t="s">
        <v>26</v>
      </c>
      <c r="I782" s="6" t="s">
        <v>27</v>
      </c>
      <c r="J782" s="6" t="s">
        <v>49</v>
      </c>
      <c r="K782" s="6" t="s">
        <v>48</v>
      </c>
      <c r="L782" s="6" t="s">
        <v>54</v>
      </c>
      <c r="M782" s="6" t="s">
        <v>48</v>
      </c>
      <c r="N782" s="6" t="s">
        <v>28</v>
      </c>
      <c r="O782" s="6" t="s">
        <v>26</v>
      </c>
      <c r="P782" s="6" t="s">
        <v>27</v>
      </c>
      <c r="Q782" s="6" t="s">
        <v>48</v>
      </c>
      <c r="R782" s="6" t="s">
        <v>49</v>
      </c>
      <c r="S782" s="6" t="s">
        <v>54</v>
      </c>
      <c r="T782" s="6" t="s">
        <v>32</v>
      </c>
      <c r="U782" s="6" t="s">
        <v>28</v>
      </c>
      <c r="V782" s="6" t="s">
        <v>146</v>
      </c>
      <c r="W782" t="s">
        <v>353</v>
      </c>
    </row>
    <row r="783" spans="1:23" x14ac:dyDescent="0.3">
      <c r="A783" s="6" t="s">
        <v>262</v>
      </c>
      <c r="B783" s="1">
        <v>45701</v>
      </c>
      <c r="C783" s="6" t="s">
        <v>33</v>
      </c>
      <c r="D783" s="6" t="s">
        <v>43</v>
      </c>
      <c r="E783" s="6" t="s">
        <v>73</v>
      </c>
      <c r="F783" s="6" t="s">
        <v>24</v>
      </c>
      <c r="G783" s="6" t="s">
        <v>97</v>
      </c>
      <c r="H783" s="6" t="s">
        <v>26</v>
      </c>
      <c r="I783" s="6" t="s">
        <v>27</v>
      </c>
      <c r="J783" s="6" t="s">
        <v>43</v>
      </c>
      <c r="K783" s="6" t="s">
        <v>48</v>
      </c>
      <c r="L783" s="6" t="s">
        <v>103</v>
      </c>
      <c r="M783" s="6" t="s">
        <v>29</v>
      </c>
      <c r="N783" s="6" t="s">
        <v>28</v>
      </c>
      <c r="O783" s="6" t="s">
        <v>26</v>
      </c>
      <c r="P783" s="6" t="s">
        <v>48</v>
      </c>
      <c r="Q783" s="6" t="s">
        <v>31</v>
      </c>
      <c r="R783" s="6" t="s">
        <v>49</v>
      </c>
      <c r="S783" s="6" t="s">
        <v>54</v>
      </c>
      <c r="T783" s="6" t="s">
        <v>29</v>
      </c>
      <c r="U783" s="6" t="s">
        <v>28</v>
      </c>
      <c r="V783" s="6" t="s">
        <v>146</v>
      </c>
      <c r="W783" t="s">
        <v>353</v>
      </c>
    </row>
    <row r="784" spans="1:23" x14ac:dyDescent="0.3">
      <c r="A784" s="6" t="s">
        <v>263</v>
      </c>
      <c r="B784" s="1">
        <v>45701</v>
      </c>
      <c r="C784" s="6" t="s">
        <v>343</v>
      </c>
      <c r="D784" s="6" t="s">
        <v>43</v>
      </c>
      <c r="E784" s="6" t="s">
        <v>35</v>
      </c>
      <c r="F784" s="6" t="s">
        <v>24</v>
      </c>
      <c r="G784" s="6" t="s">
        <v>47</v>
      </c>
      <c r="H784" s="6" t="s">
        <v>48</v>
      </c>
      <c r="I784" s="6" t="s">
        <v>58</v>
      </c>
      <c r="J784" s="6" t="s">
        <v>43</v>
      </c>
      <c r="K784" s="6" t="s">
        <v>48</v>
      </c>
      <c r="L784" s="6" t="s">
        <v>54</v>
      </c>
      <c r="M784" s="6" t="s">
        <v>48</v>
      </c>
      <c r="N784" s="6" t="s">
        <v>28</v>
      </c>
      <c r="O784" s="6" t="s">
        <v>48</v>
      </c>
      <c r="P784" s="6" t="s">
        <v>48</v>
      </c>
      <c r="Q784" s="6" t="s">
        <v>48</v>
      </c>
      <c r="R784" s="6" t="s">
        <v>43</v>
      </c>
      <c r="S784" s="6" t="s">
        <v>54</v>
      </c>
      <c r="T784" s="6" t="s">
        <v>48</v>
      </c>
      <c r="U784" s="6" t="s">
        <v>94</v>
      </c>
      <c r="V784" s="6" t="s">
        <v>82</v>
      </c>
      <c r="W784" t="s">
        <v>353</v>
      </c>
    </row>
    <row r="785" spans="1:23" x14ac:dyDescent="0.3">
      <c r="A785" s="6" t="s">
        <v>264</v>
      </c>
      <c r="B785" s="1">
        <v>45703</v>
      </c>
      <c r="C785" s="6" t="s">
        <v>21</v>
      </c>
      <c r="D785" s="6" t="s">
        <v>60</v>
      </c>
      <c r="E785" s="6" t="s">
        <v>64</v>
      </c>
      <c r="F785" s="6" t="s">
        <v>24</v>
      </c>
      <c r="G785" s="6" t="s">
        <v>69</v>
      </c>
      <c r="H785" s="6" t="s">
        <v>26</v>
      </c>
      <c r="I785" s="6" t="s">
        <v>42</v>
      </c>
      <c r="J785" s="6" t="s">
        <v>60</v>
      </c>
      <c r="K785" s="6" t="s">
        <v>48</v>
      </c>
      <c r="L785" s="6" t="s">
        <v>54</v>
      </c>
      <c r="M785" s="6" t="s">
        <v>55</v>
      </c>
      <c r="N785" s="6" t="s">
        <v>28</v>
      </c>
      <c r="O785" s="6" t="s">
        <v>30</v>
      </c>
      <c r="P785" s="6" t="s">
        <v>788</v>
      </c>
      <c r="Q785" s="6" t="s">
        <v>31</v>
      </c>
      <c r="R785" s="6" t="s">
        <v>60</v>
      </c>
      <c r="S785" s="6" t="s">
        <v>54</v>
      </c>
      <c r="T785" s="6" t="s">
        <v>55</v>
      </c>
      <c r="U785" s="6" t="s">
        <v>28</v>
      </c>
      <c r="V785" s="6" t="s">
        <v>82</v>
      </c>
      <c r="W785" t="s">
        <v>353</v>
      </c>
    </row>
    <row r="786" spans="1:23" x14ac:dyDescent="0.3">
      <c r="A786" s="6" t="s">
        <v>265</v>
      </c>
      <c r="B786" s="1">
        <v>45704</v>
      </c>
      <c r="C786" s="6" t="s">
        <v>33</v>
      </c>
      <c r="D786" s="6" t="s">
        <v>22</v>
      </c>
      <c r="E786" s="6" t="s">
        <v>23</v>
      </c>
      <c r="F786" s="6" t="s">
        <v>24</v>
      </c>
      <c r="G786" s="6" t="s">
        <v>69</v>
      </c>
      <c r="H786" s="6" t="s">
        <v>26</v>
      </c>
      <c r="I786" s="6" t="s">
        <v>38</v>
      </c>
      <c r="J786" s="6" t="s">
        <v>22</v>
      </c>
      <c r="K786" s="6" t="s">
        <v>133</v>
      </c>
      <c r="L786" s="6" t="s">
        <v>152</v>
      </c>
      <c r="M786" s="6" t="s">
        <v>32</v>
      </c>
      <c r="N786" s="6" t="s">
        <v>28</v>
      </c>
      <c r="O786" s="6" t="s">
        <v>48</v>
      </c>
      <c r="P786" s="6" t="s">
        <v>48</v>
      </c>
      <c r="Q786" s="6" t="s">
        <v>48</v>
      </c>
      <c r="R786" s="6" t="s">
        <v>22</v>
      </c>
      <c r="S786" s="6" t="s">
        <v>54</v>
      </c>
      <c r="T786" s="6" t="s">
        <v>48</v>
      </c>
      <c r="U786" s="6" t="s">
        <v>28</v>
      </c>
      <c r="V786" s="6" t="s">
        <v>137</v>
      </c>
      <c r="W786" t="s">
        <v>353</v>
      </c>
    </row>
    <row r="787" spans="1:23" x14ac:dyDescent="0.3">
      <c r="A787" s="6" t="s">
        <v>265</v>
      </c>
      <c r="B787" s="1">
        <v>45704</v>
      </c>
      <c r="C787" s="6" t="s">
        <v>33</v>
      </c>
      <c r="D787" s="6" t="s">
        <v>22</v>
      </c>
      <c r="E787" s="6" t="s">
        <v>23</v>
      </c>
      <c r="F787" s="6" t="s">
        <v>24</v>
      </c>
      <c r="G787" s="6" t="s">
        <v>69</v>
      </c>
      <c r="H787" s="6" t="s">
        <v>26</v>
      </c>
      <c r="I787" s="6" t="s">
        <v>38</v>
      </c>
      <c r="J787" s="6" t="s">
        <v>22</v>
      </c>
      <c r="K787" s="6" t="s">
        <v>133</v>
      </c>
      <c r="L787" s="6" t="s">
        <v>152</v>
      </c>
      <c r="M787" s="6" t="s">
        <v>32</v>
      </c>
      <c r="N787" s="6" t="s">
        <v>28</v>
      </c>
      <c r="O787" s="6" t="s">
        <v>48</v>
      </c>
      <c r="P787" s="6" t="s">
        <v>48</v>
      </c>
      <c r="Q787" s="6" t="s">
        <v>48</v>
      </c>
      <c r="R787" s="6" t="s">
        <v>22</v>
      </c>
      <c r="S787" s="6" t="s">
        <v>54</v>
      </c>
      <c r="T787" s="6" t="s">
        <v>48</v>
      </c>
      <c r="U787" s="6" t="s">
        <v>28</v>
      </c>
      <c r="V787" s="6" t="s">
        <v>82</v>
      </c>
      <c r="W787" t="s">
        <v>353</v>
      </c>
    </row>
    <row r="788" spans="1:23" x14ac:dyDescent="0.3">
      <c r="A788" s="6" t="s">
        <v>265</v>
      </c>
      <c r="B788" s="1">
        <v>45704</v>
      </c>
      <c r="C788" s="6" t="s">
        <v>33</v>
      </c>
      <c r="D788" s="6" t="s">
        <v>22</v>
      </c>
      <c r="E788" s="6" t="s">
        <v>23</v>
      </c>
      <c r="F788" s="6" t="s">
        <v>24</v>
      </c>
      <c r="G788" s="6" t="s">
        <v>69</v>
      </c>
      <c r="H788" s="6" t="s">
        <v>26</v>
      </c>
      <c r="I788" s="6" t="s">
        <v>38</v>
      </c>
      <c r="J788" s="6" t="s">
        <v>22</v>
      </c>
      <c r="K788" s="6" t="s">
        <v>133</v>
      </c>
      <c r="L788" s="6" t="s">
        <v>152</v>
      </c>
      <c r="M788" s="6" t="s">
        <v>32</v>
      </c>
      <c r="N788" s="6" t="s">
        <v>28</v>
      </c>
      <c r="O788" s="6" t="s">
        <v>48</v>
      </c>
      <c r="P788" s="6" t="s">
        <v>48</v>
      </c>
      <c r="Q788" s="6" t="s">
        <v>48</v>
      </c>
      <c r="R788" s="6" t="s">
        <v>22</v>
      </c>
      <c r="S788" s="6" t="s">
        <v>54</v>
      </c>
      <c r="T788" s="6" t="s">
        <v>48</v>
      </c>
      <c r="U788" s="6" t="s">
        <v>28</v>
      </c>
      <c r="V788" s="6" t="s">
        <v>146</v>
      </c>
      <c r="W788" t="s">
        <v>353</v>
      </c>
    </row>
    <row r="789" spans="1:23" x14ac:dyDescent="0.3">
      <c r="A789" s="6" t="s">
        <v>266</v>
      </c>
      <c r="B789" s="1">
        <v>45704</v>
      </c>
      <c r="C789" s="6" t="s">
        <v>343</v>
      </c>
      <c r="D789" s="6" t="s">
        <v>22</v>
      </c>
      <c r="E789" s="6" t="s">
        <v>35</v>
      </c>
      <c r="F789" s="6" t="s">
        <v>24</v>
      </c>
      <c r="G789" s="6" t="s">
        <v>86</v>
      </c>
      <c r="H789" s="6" t="s">
        <v>48</v>
      </c>
      <c r="I789" s="6" t="s">
        <v>100</v>
      </c>
      <c r="J789" s="6" t="s">
        <v>49</v>
      </c>
      <c r="K789" s="6" t="s">
        <v>48</v>
      </c>
      <c r="L789" s="6" t="s">
        <v>54</v>
      </c>
      <c r="M789" s="6" t="s">
        <v>48</v>
      </c>
      <c r="N789" s="6" t="s">
        <v>28</v>
      </c>
      <c r="O789" s="6" t="s">
        <v>48</v>
      </c>
      <c r="P789" s="6" t="s">
        <v>48</v>
      </c>
      <c r="Q789" s="6" t="s">
        <v>48</v>
      </c>
      <c r="R789" s="6" t="s">
        <v>22</v>
      </c>
      <c r="S789" s="6" t="s">
        <v>54</v>
      </c>
      <c r="T789" s="6" t="s">
        <v>48</v>
      </c>
      <c r="U789" s="6" t="s">
        <v>94</v>
      </c>
      <c r="V789" s="6" t="s">
        <v>82</v>
      </c>
      <c r="W789" t="s">
        <v>353</v>
      </c>
    </row>
    <row r="790" spans="1:23" x14ac:dyDescent="0.3">
      <c r="A790" s="6" t="s">
        <v>267</v>
      </c>
      <c r="B790" s="1">
        <v>45706</v>
      </c>
      <c r="C790" s="6" t="s">
        <v>343</v>
      </c>
      <c r="D790" s="6" t="s">
        <v>40</v>
      </c>
      <c r="E790" s="6" t="s">
        <v>64</v>
      </c>
      <c r="F790" s="6" t="s">
        <v>24</v>
      </c>
      <c r="G790" s="6" t="s">
        <v>51</v>
      </c>
      <c r="H790" s="6" t="s">
        <v>48</v>
      </c>
      <c r="I790" s="6" t="s">
        <v>38</v>
      </c>
      <c r="J790" s="6" t="s">
        <v>40</v>
      </c>
      <c r="K790" s="6" t="s">
        <v>48</v>
      </c>
      <c r="L790" s="6" t="s">
        <v>54</v>
      </c>
      <c r="M790" s="6" t="s">
        <v>48</v>
      </c>
      <c r="N790" s="6" t="s">
        <v>28</v>
      </c>
      <c r="O790" s="6" t="s">
        <v>48</v>
      </c>
      <c r="P790" s="6" t="s">
        <v>48</v>
      </c>
      <c r="Q790" s="6" t="s">
        <v>48</v>
      </c>
      <c r="R790" s="6" t="s">
        <v>40</v>
      </c>
      <c r="S790" s="6" t="s">
        <v>54</v>
      </c>
      <c r="T790" s="6" t="s">
        <v>48</v>
      </c>
      <c r="U790" s="6" t="s">
        <v>119</v>
      </c>
      <c r="V790" s="6" t="s">
        <v>82</v>
      </c>
      <c r="W790" t="s">
        <v>353</v>
      </c>
    </row>
    <row r="791" spans="1:23" x14ac:dyDescent="0.3">
      <c r="A791" s="6" t="s">
        <v>267</v>
      </c>
      <c r="B791" s="1">
        <v>45706</v>
      </c>
      <c r="C791" s="6" t="s">
        <v>343</v>
      </c>
      <c r="D791" s="6" t="s">
        <v>40</v>
      </c>
      <c r="E791" s="6" t="s">
        <v>64</v>
      </c>
      <c r="F791" s="6" t="s">
        <v>24</v>
      </c>
      <c r="G791" s="6" t="s">
        <v>51</v>
      </c>
      <c r="H791" s="6" t="s">
        <v>48</v>
      </c>
      <c r="I791" s="6" t="s">
        <v>38</v>
      </c>
      <c r="J791" s="6" t="s">
        <v>40</v>
      </c>
      <c r="K791" s="6" t="s">
        <v>48</v>
      </c>
      <c r="L791" s="6" t="s">
        <v>54</v>
      </c>
      <c r="M791" s="6" t="s">
        <v>48</v>
      </c>
      <c r="N791" s="6" t="s">
        <v>28</v>
      </c>
      <c r="O791" s="6" t="s">
        <v>48</v>
      </c>
      <c r="P791" s="6" t="s">
        <v>48</v>
      </c>
      <c r="Q791" s="6" t="s">
        <v>48</v>
      </c>
      <c r="R791" s="6" t="s">
        <v>40</v>
      </c>
      <c r="S791" s="6" t="s">
        <v>54</v>
      </c>
      <c r="T791" s="6" t="s">
        <v>48</v>
      </c>
      <c r="U791" s="6" t="s">
        <v>119</v>
      </c>
      <c r="V791" s="6" t="s">
        <v>146</v>
      </c>
      <c r="W791" t="s">
        <v>353</v>
      </c>
    </row>
    <row r="792" spans="1:23" x14ac:dyDescent="0.3">
      <c r="A792" s="6" t="s">
        <v>268</v>
      </c>
      <c r="B792" s="1">
        <v>45706</v>
      </c>
      <c r="C792" s="6" t="s">
        <v>343</v>
      </c>
      <c r="D792" s="6" t="s">
        <v>40</v>
      </c>
      <c r="E792" s="6" t="s">
        <v>64</v>
      </c>
      <c r="F792" s="6" t="s">
        <v>24</v>
      </c>
      <c r="G792" s="6" t="s">
        <v>51</v>
      </c>
      <c r="H792" s="6" t="s">
        <v>48</v>
      </c>
      <c r="I792" s="6" t="s">
        <v>38</v>
      </c>
      <c r="J792" s="6" t="s">
        <v>40</v>
      </c>
      <c r="K792" s="6" t="s">
        <v>48</v>
      </c>
      <c r="L792" s="6" t="s">
        <v>54</v>
      </c>
      <c r="M792" s="6" t="s">
        <v>48</v>
      </c>
      <c r="N792" s="6" t="s">
        <v>28</v>
      </c>
      <c r="O792" s="6" t="s">
        <v>48</v>
      </c>
      <c r="P792" s="6" t="s">
        <v>48</v>
      </c>
      <c r="Q792" s="6" t="s">
        <v>48</v>
      </c>
      <c r="R792" s="6" t="s">
        <v>40</v>
      </c>
      <c r="S792" s="6" t="s">
        <v>54</v>
      </c>
      <c r="T792" s="6" t="s">
        <v>48</v>
      </c>
      <c r="U792" s="6" t="s">
        <v>119</v>
      </c>
      <c r="V792" s="6" t="s">
        <v>82</v>
      </c>
      <c r="W792" t="s">
        <v>353</v>
      </c>
    </row>
    <row r="793" spans="1:23" x14ac:dyDescent="0.3">
      <c r="A793" s="6" t="s">
        <v>268</v>
      </c>
      <c r="B793" s="1">
        <v>45706</v>
      </c>
      <c r="C793" s="6" t="s">
        <v>343</v>
      </c>
      <c r="D793" s="6" t="s">
        <v>40</v>
      </c>
      <c r="E793" s="6" t="s">
        <v>64</v>
      </c>
      <c r="F793" s="6" t="s">
        <v>24</v>
      </c>
      <c r="G793" s="6" t="s">
        <v>51</v>
      </c>
      <c r="H793" s="6" t="s">
        <v>48</v>
      </c>
      <c r="I793" s="6" t="s">
        <v>38</v>
      </c>
      <c r="J793" s="6" t="s">
        <v>40</v>
      </c>
      <c r="K793" s="6" t="s">
        <v>48</v>
      </c>
      <c r="L793" s="6" t="s">
        <v>54</v>
      </c>
      <c r="M793" s="6" t="s">
        <v>48</v>
      </c>
      <c r="N793" s="6" t="s">
        <v>28</v>
      </c>
      <c r="O793" s="6" t="s">
        <v>48</v>
      </c>
      <c r="P793" s="6" t="s">
        <v>48</v>
      </c>
      <c r="Q793" s="6" t="s">
        <v>48</v>
      </c>
      <c r="R793" s="6" t="s">
        <v>40</v>
      </c>
      <c r="S793" s="6" t="s">
        <v>54</v>
      </c>
      <c r="T793" s="6" t="s">
        <v>48</v>
      </c>
      <c r="U793" s="6" t="s">
        <v>119</v>
      </c>
      <c r="V793" s="6" t="s">
        <v>146</v>
      </c>
      <c r="W793" t="s">
        <v>353</v>
      </c>
    </row>
    <row r="794" spans="1:23" x14ac:dyDescent="0.3">
      <c r="A794" s="6" t="s">
        <v>269</v>
      </c>
      <c r="B794" s="1">
        <v>45707</v>
      </c>
      <c r="C794" s="6" t="s">
        <v>343</v>
      </c>
      <c r="D794" s="6" t="s">
        <v>48</v>
      </c>
      <c r="E794" s="6" t="s">
        <v>68</v>
      </c>
      <c r="F794" s="6" t="s">
        <v>24</v>
      </c>
      <c r="G794" s="6" t="s">
        <v>61</v>
      </c>
      <c r="H794" s="6" t="s">
        <v>48</v>
      </c>
      <c r="I794" s="6" t="s">
        <v>48</v>
      </c>
      <c r="J794" s="6" t="s">
        <v>49</v>
      </c>
      <c r="K794" s="6" t="s">
        <v>48</v>
      </c>
      <c r="L794" s="6" t="s">
        <v>54</v>
      </c>
      <c r="M794" s="6" t="s">
        <v>48</v>
      </c>
      <c r="N794" s="6" t="s">
        <v>28</v>
      </c>
      <c r="O794" s="6" t="s">
        <v>26</v>
      </c>
      <c r="P794" s="6" t="s">
        <v>42</v>
      </c>
      <c r="Q794" s="6" t="s">
        <v>31</v>
      </c>
      <c r="R794" s="6" t="s">
        <v>70</v>
      </c>
      <c r="S794" s="6" t="s">
        <v>54</v>
      </c>
      <c r="T794" s="6" t="s">
        <v>32</v>
      </c>
      <c r="U794" s="6" t="s">
        <v>28</v>
      </c>
      <c r="V794" s="6" t="s">
        <v>82</v>
      </c>
      <c r="W794" t="s">
        <v>353</v>
      </c>
    </row>
    <row r="795" spans="1:23" x14ac:dyDescent="0.3">
      <c r="A795" s="6" t="s">
        <v>270</v>
      </c>
      <c r="B795" s="1">
        <v>45708</v>
      </c>
      <c r="C795" s="6" t="s">
        <v>21</v>
      </c>
      <c r="D795" s="6" t="s">
        <v>117</v>
      </c>
      <c r="E795" s="6" t="s">
        <v>46</v>
      </c>
      <c r="F795" s="6" t="s">
        <v>24</v>
      </c>
      <c r="G795" s="6" t="s">
        <v>111</v>
      </c>
      <c r="H795" s="6" t="s">
        <v>26</v>
      </c>
      <c r="I795" s="6" t="s">
        <v>100</v>
      </c>
      <c r="J795" s="6" t="s">
        <v>117</v>
      </c>
      <c r="K795" s="6" t="s">
        <v>48</v>
      </c>
      <c r="L795" s="6" t="s">
        <v>54</v>
      </c>
      <c r="M795" s="6" t="s">
        <v>48</v>
      </c>
      <c r="N795" s="6" t="s">
        <v>28</v>
      </c>
      <c r="O795" s="6" t="s">
        <v>30</v>
      </c>
      <c r="P795" s="6" t="s">
        <v>48</v>
      </c>
      <c r="Q795" s="6" t="s">
        <v>48</v>
      </c>
      <c r="R795" s="6" t="s">
        <v>117</v>
      </c>
      <c r="S795" s="6" t="s">
        <v>54</v>
      </c>
      <c r="T795" s="6" t="s">
        <v>48</v>
      </c>
      <c r="U795" s="6" t="s">
        <v>28</v>
      </c>
      <c r="V795" s="6" t="s">
        <v>137</v>
      </c>
      <c r="W795" t="s">
        <v>353</v>
      </c>
    </row>
    <row r="796" spans="1:23" x14ac:dyDescent="0.3">
      <c r="A796" s="6" t="s">
        <v>271</v>
      </c>
      <c r="B796" s="1">
        <v>45708</v>
      </c>
      <c r="C796" s="6" t="s">
        <v>21</v>
      </c>
      <c r="D796" s="6" t="s">
        <v>117</v>
      </c>
      <c r="E796" s="6" t="s">
        <v>46</v>
      </c>
      <c r="F796" s="6" t="s">
        <v>24</v>
      </c>
      <c r="G796" s="6" t="s">
        <v>111</v>
      </c>
      <c r="H796" s="6" t="s">
        <v>26</v>
      </c>
      <c r="I796" s="6" t="s">
        <v>100</v>
      </c>
      <c r="J796" s="6" t="s">
        <v>117</v>
      </c>
      <c r="K796" s="6" t="s">
        <v>48</v>
      </c>
      <c r="L796" s="6" t="s">
        <v>54</v>
      </c>
      <c r="M796" s="6" t="s">
        <v>48</v>
      </c>
      <c r="N796" s="6" t="s">
        <v>28</v>
      </c>
      <c r="O796" s="6" t="s">
        <v>26</v>
      </c>
      <c r="P796" s="6" t="s">
        <v>48</v>
      </c>
      <c r="Q796" s="6" t="s">
        <v>48</v>
      </c>
      <c r="R796" s="6" t="s">
        <v>117</v>
      </c>
      <c r="S796" s="6" t="s">
        <v>54</v>
      </c>
      <c r="T796" s="6" t="s">
        <v>48</v>
      </c>
      <c r="U796" s="6" t="s">
        <v>28</v>
      </c>
      <c r="V796" s="6" t="s">
        <v>137</v>
      </c>
      <c r="W796" t="s">
        <v>353</v>
      </c>
    </row>
    <row r="797" spans="1:23" x14ac:dyDescent="0.3">
      <c r="A797" s="6" t="s">
        <v>272</v>
      </c>
      <c r="B797" s="1">
        <v>45709</v>
      </c>
      <c r="C797" s="6" t="s">
        <v>343</v>
      </c>
      <c r="D797" s="6" t="s">
        <v>22</v>
      </c>
      <c r="E797" s="6" t="s">
        <v>44</v>
      </c>
      <c r="F797" s="6" t="s">
        <v>24</v>
      </c>
      <c r="G797" s="6" t="s">
        <v>69</v>
      </c>
      <c r="H797" s="6" t="s">
        <v>26</v>
      </c>
      <c r="I797" s="6" t="s">
        <v>52</v>
      </c>
      <c r="J797" s="6" t="s">
        <v>22</v>
      </c>
      <c r="K797" s="6" t="s">
        <v>76</v>
      </c>
      <c r="L797" s="6" t="s">
        <v>54</v>
      </c>
      <c r="M797" s="6" t="s">
        <v>55</v>
      </c>
      <c r="N797" s="6" t="s">
        <v>28</v>
      </c>
      <c r="O797" s="6" t="s">
        <v>30</v>
      </c>
      <c r="P797" s="6" t="s">
        <v>788</v>
      </c>
      <c r="Q797" s="6" t="s">
        <v>31</v>
      </c>
      <c r="R797" s="6" t="s">
        <v>22</v>
      </c>
      <c r="S797" s="6" t="s">
        <v>54</v>
      </c>
      <c r="T797" s="6" t="s">
        <v>32</v>
      </c>
      <c r="U797" s="6" t="s">
        <v>28</v>
      </c>
      <c r="V797" s="6" t="s">
        <v>82</v>
      </c>
      <c r="W797" t="s">
        <v>353</v>
      </c>
    </row>
    <row r="798" spans="1:23" x14ac:dyDescent="0.3">
      <c r="A798" s="6" t="s">
        <v>273</v>
      </c>
      <c r="B798" s="1">
        <v>45711</v>
      </c>
      <c r="C798" s="6" t="s">
        <v>33</v>
      </c>
      <c r="D798" s="6" t="s">
        <v>22</v>
      </c>
      <c r="E798" s="6" t="s">
        <v>68</v>
      </c>
      <c r="F798" s="6" t="s">
        <v>24</v>
      </c>
      <c r="G798" s="6" t="s">
        <v>61</v>
      </c>
      <c r="H798" s="6" t="s">
        <v>26</v>
      </c>
      <c r="I798" s="6" t="s">
        <v>52</v>
      </c>
      <c r="J798" s="6" t="s">
        <v>22</v>
      </c>
      <c r="K798" s="6" t="s">
        <v>48</v>
      </c>
      <c r="L798" s="6" t="s">
        <v>54</v>
      </c>
      <c r="M798" s="6" t="s">
        <v>48</v>
      </c>
      <c r="N798" s="6" t="s">
        <v>28</v>
      </c>
      <c r="O798" s="6" t="s">
        <v>26</v>
      </c>
      <c r="P798" s="6" t="s">
        <v>27</v>
      </c>
      <c r="Q798" s="6" t="s">
        <v>31</v>
      </c>
      <c r="R798" s="6" t="s">
        <v>22</v>
      </c>
      <c r="S798" s="6" t="s">
        <v>54</v>
      </c>
      <c r="T798" s="6" t="s">
        <v>32</v>
      </c>
      <c r="U798" s="6" t="s">
        <v>28</v>
      </c>
      <c r="V798" s="6" t="s">
        <v>82</v>
      </c>
      <c r="W798" t="s">
        <v>353</v>
      </c>
    </row>
    <row r="799" spans="1:23" x14ac:dyDescent="0.3">
      <c r="A799" s="6" t="s">
        <v>274</v>
      </c>
      <c r="B799" s="1">
        <v>45712</v>
      </c>
      <c r="C799" s="6" t="s">
        <v>21</v>
      </c>
      <c r="D799" s="6" t="s">
        <v>22</v>
      </c>
      <c r="E799" s="6" t="s">
        <v>35</v>
      </c>
      <c r="F799" s="6" t="s">
        <v>24</v>
      </c>
      <c r="G799" s="6" t="s">
        <v>36</v>
      </c>
      <c r="H799" s="6" t="s">
        <v>26</v>
      </c>
      <c r="I799" s="6" t="s">
        <v>42</v>
      </c>
      <c r="J799" s="6" t="s">
        <v>22</v>
      </c>
      <c r="K799" s="6" t="s">
        <v>48</v>
      </c>
      <c r="L799" s="6" t="s">
        <v>54</v>
      </c>
      <c r="M799" s="6" t="s">
        <v>55</v>
      </c>
      <c r="N799" s="6" t="s">
        <v>28</v>
      </c>
      <c r="O799" s="6" t="s">
        <v>30</v>
      </c>
      <c r="P799" s="6" t="s">
        <v>52</v>
      </c>
      <c r="Q799" s="6" t="s">
        <v>31</v>
      </c>
      <c r="R799" s="6" t="s">
        <v>22</v>
      </c>
      <c r="S799" s="6" t="s">
        <v>54</v>
      </c>
      <c r="T799" s="6" t="s">
        <v>32</v>
      </c>
      <c r="U799" s="6" t="s">
        <v>28</v>
      </c>
      <c r="V799" s="6" t="s">
        <v>82</v>
      </c>
      <c r="W799" t="s">
        <v>353</v>
      </c>
    </row>
    <row r="800" spans="1:23" x14ac:dyDescent="0.3">
      <c r="A800" s="6" t="s">
        <v>274</v>
      </c>
      <c r="B800" s="1">
        <v>45712</v>
      </c>
      <c r="C800" s="6" t="s">
        <v>21</v>
      </c>
      <c r="D800" s="6" t="s">
        <v>22</v>
      </c>
      <c r="E800" s="6" t="s">
        <v>35</v>
      </c>
      <c r="F800" s="6" t="s">
        <v>24</v>
      </c>
      <c r="G800" s="6" t="s">
        <v>36</v>
      </c>
      <c r="H800" s="6" t="s">
        <v>26</v>
      </c>
      <c r="I800" s="6" t="s">
        <v>42</v>
      </c>
      <c r="J800" s="6" t="s">
        <v>22</v>
      </c>
      <c r="K800" s="6" t="s">
        <v>48</v>
      </c>
      <c r="L800" s="6" t="s">
        <v>54</v>
      </c>
      <c r="M800" s="6" t="s">
        <v>55</v>
      </c>
      <c r="N800" s="6" t="s">
        <v>28</v>
      </c>
      <c r="O800" s="6" t="s">
        <v>30</v>
      </c>
      <c r="P800" s="6" t="s">
        <v>52</v>
      </c>
      <c r="Q800" s="6" t="s">
        <v>31</v>
      </c>
      <c r="R800" s="6" t="s">
        <v>22</v>
      </c>
      <c r="S800" s="6" t="s">
        <v>54</v>
      </c>
      <c r="T800" s="6" t="s">
        <v>32</v>
      </c>
      <c r="U800" s="6" t="s">
        <v>28</v>
      </c>
      <c r="V800" s="6" t="s">
        <v>146</v>
      </c>
      <c r="W800" t="s">
        <v>353</v>
      </c>
    </row>
    <row r="801" spans="1:23" x14ac:dyDescent="0.3">
      <c r="A801" s="6" t="s">
        <v>275</v>
      </c>
      <c r="B801" s="1">
        <v>45712</v>
      </c>
      <c r="C801" s="6" t="s">
        <v>33</v>
      </c>
      <c r="D801" s="6" t="s">
        <v>22</v>
      </c>
      <c r="E801" s="6" t="s">
        <v>35</v>
      </c>
      <c r="F801" s="6" t="s">
        <v>24</v>
      </c>
      <c r="G801" s="6" t="s">
        <v>61</v>
      </c>
      <c r="H801" s="6" t="s">
        <v>26</v>
      </c>
      <c r="I801" s="6" t="s">
        <v>52</v>
      </c>
      <c r="J801" s="6" t="s">
        <v>22</v>
      </c>
      <c r="K801" s="6" t="s">
        <v>48</v>
      </c>
      <c r="L801" s="6" t="s">
        <v>54</v>
      </c>
      <c r="M801" s="6" t="s">
        <v>29</v>
      </c>
      <c r="N801" s="6" t="s">
        <v>28</v>
      </c>
      <c r="O801" s="6" t="s">
        <v>48</v>
      </c>
      <c r="P801" s="6" t="s">
        <v>48</v>
      </c>
      <c r="Q801" s="6" t="s">
        <v>48</v>
      </c>
      <c r="R801" s="6" t="s">
        <v>49</v>
      </c>
      <c r="S801" s="6" t="s">
        <v>54</v>
      </c>
      <c r="T801" s="6" t="s">
        <v>48</v>
      </c>
      <c r="U801" s="6" t="s">
        <v>99</v>
      </c>
      <c r="V801" s="6" t="s">
        <v>82</v>
      </c>
      <c r="W801" t="s">
        <v>353</v>
      </c>
    </row>
    <row r="802" spans="1:23" x14ac:dyDescent="0.3">
      <c r="A802" s="6" t="s">
        <v>277</v>
      </c>
      <c r="B802" s="1">
        <v>45712</v>
      </c>
      <c r="C802" s="6" t="s">
        <v>343</v>
      </c>
      <c r="D802" s="6" t="s">
        <v>48</v>
      </c>
      <c r="E802" s="6" t="s">
        <v>68</v>
      </c>
      <c r="F802" s="6" t="s">
        <v>24</v>
      </c>
      <c r="G802" s="6" t="s">
        <v>72</v>
      </c>
      <c r="H802" s="6" t="s">
        <v>26</v>
      </c>
      <c r="I802" s="6" t="s">
        <v>37</v>
      </c>
      <c r="J802" s="6" t="s">
        <v>43</v>
      </c>
      <c r="K802" s="6" t="s">
        <v>48</v>
      </c>
      <c r="L802" s="6" t="s">
        <v>54</v>
      </c>
      <c r="M802" s="6" t="s">
        <v>32</v>
      </c>
      <c r="N802" s="6" t="s">
        <v>28</v>
      </c>
      <c r="O802" s="6" t="s">
        <v>30</v>
      </c>
      <c r="P802" s="6" t="s">
        <v>52</v>
      </c>
      <c r="Q802" s="6" t="s">
        <v>31</v>
      </c>
      <c r="R802" s="6" t="s">
        <v>43</v>
      </c>
      <c r="S802" s="6" t="s">
        <v>152</v>
      </c>
      <c r="T802" s="6" t="s">
        <v>32</v>
      </c>
      <c r="U802" s="6" t="s">
        <v>28</v>
      </c>
      <c r="V802" s="6" t="s">
        <v>82</v>
      </c>
      <c r="W802" t="s">
        <v>353</v>
      </c>
    </row>
    <row r="803" spans="1:23" x14ac:dyDescent="0.3">
      <c r="A803" s="6" t="s">
        <v>276</v>
      </c>
      <c r="B803" s="1">
        <v>45712</v>
      </c>
      <c r="C803" s="6" t="s">
        <v>343</v>
      </c>
      <c r="D803" s="6" t="s">
        <v>48</v>
      </c>
      <c r="E803" s="6" t="s">
        <v>68</v>
      </c>
      <c r="F803" s="6" t="s">
        <v>24</v>
      </c>
      <c r="G803" s="6" t="s">
        <v>72</v>
      </c>
      <c r="H803" s="6" t="s">
        <v>26</v>
      </c>
      <c r="I803" s="6" t="s">
        <v>37</v>
      </c>
      <c r="J803" s="6" t="s">
        <v>43</v>
      </c>
      <c r="K803" s="6" t="s">
        <v>48</v>
      </c>
      <c r="L803" s="6" t="s">
        <v>54</v>
      </c>
      <c r="M803" s="6" t="s">
        <v>32</v>
      </c>
      <c r="N803" s="6" t="s">
        <v>28</v>
      </c>
      <c r="O803" s="6" t="s">
        <v>26</v>
      </c>
      <c r="P803" s="6" t="s">
        <v>788</v>
      </c>
      <c r="Q803" s="6" t="s">
        <v>31</v>
      </c>
      <c r="R803" s="6" t="s">
        <v>43</v>
      </c>
      <c r="S803" s="6" t="s">
        <v>152</v>
      </c>
      <c r="T803" s="6" t="s">
        <v>29</v>
      </c>
      <c r="U803" s="6" t="s">
        <v>28</v>
      </c>
      <c r="V803" s="6" t="s">
        <v>82</v>
      </c>
      <c r="W803" t="s">
        <v>353</v>
      </c>
    </row>
    <row r="804" spans="1:23" x14ac:dyDescent="0.3">
      <c r="A804" s="6" t="s">
        <v>280</v>
      </c>
      <c r="B804" s="1">
        <v>45712</v>
      </c>
      <c r="C804" s="6" t="s">
        <v>343</v>
      </c>
      <c r="D804" s="6" t="s">
        <v>48</v>
      </c>
      <c r="E804" s="6" t="s">
        <v>68</v>
      </c>
      <c r="F804" s="6" t="s">
        <v>24</v>
      </c>
      <c r="G804" s="6" t="s">
        <v>72</v>
      </c>
      <c r="H804" s="6" t="s">
        <v>26</v>
      </c>
      <c r="I804" s="6" t="s">
        <v>37</v>
      </c>
      <c r="J804" s="6" t="s">
        <v>43</v>
      </c>
      <c r="K804" s="6" t="s">
        <v>48</v>
      </c>
      <c r="L804" s="6" t="s">
        <v>54</v>
      </c>
      <c r="M804" s="6" t="s">
        <v>32</v>
      </c>
      <c r="N804" s="6" t="s">
        <v>28</v>
      </c>
      <c r="O804" s="6" t="s">
        <v>30</v>
      </c>
      <c r="P804" s="6" t="s">
        <v>108</v>
      </c>
      <c r="Q804" s="6" t="s">
        <v>31</v>
      </c>
      <c r="R804" s="6" t="s">
        <v>43</v>
      </c>
      <c r="S804" s="6" t="s">
        <v>152</v>
      </c>
      <c r="T804" s="6" t="s">
        <v>32</v>
      </c>
      <c r="U804" s="6" t="s">
        <v>28</v>
      </c>
      <c r="V804" s="6" t="s">
        <v>82</v>
      </c>
      <c r="W804" t="s">
        <v>353</v>
      </c>
    </row>
    <row r="805" spans="1:23" x14ac:dyDescent="0.3">
      <c r="A805" s="6" t="s">
        <v>281</v>
      </c>
      <c r="B805" s="1">
        <v>45712</v>
      </c>
      <c r="C805" s="6" t="s">
        <v>343</v>
      </c>
      <c r="D805" s="6" t="s">
        <v>48</v>
      </c>
      <c r="E805" s="6" t="s">
        <v>68</v>
      </c>
      <c r="F805" s="6" t="s">
        <v>24</v>
      </c>
      <c r="G805" s="6" t="s">
        <v>61</v>
      </c>
      <c r="H805" s="6" t="s">
        <v>48</v>
      </c>
      <c r="I805" s="6" t="s">
        <v>100</v>
      </c>
      <c r="J805" s="6" t="s">
        <v>49</v>
      </c>
      <c r="K805" s="6" t="s">
        <v>48</v>
      </c>
      <c r="L805" s="6" t="s">
        <v>54</v>
      </c>
      <c r="M805" s="6" t="s">
        <v>48</v>
      </c>
      <c r="N805" s="6" t="s">
        <v>28</v>
      </c>
      <c r="O805" s="6" t="s">
        <v>30</v>
      </c>
      <c r="P805" s="6" t="s">
        <v>108</v>
      </c>
      <c r="Q805" s="6" t="s">
        <v>31</v>
      </c>
      <c r="R805" s="6" t="s">
        <v>43</v>
      </c>
      <c r="S805" s="6" t="s">
        <v>152</v>
      </c>
      <c r="T805" s="6" t="s">
        <v>32</v>
      </c>
      <c r="U805" s="6" t="s">
        <v>28</v>
      </c>
      <c r="V805" s="6" t="s">
        <v>137</v>
      </c>
      <c r="W805" t="s">
        <v>353</v>
      </c>
    </row>
    <row r="806" spans="1:23" x14ac:dyDescent="0.3">
      <c r="A806" s="6" t="s">
        <v>278</v>
      </c>
      <c r="B806" s="1">
        <v>45712</v>
      </c>
      <c r="C806" s="6" t="s">
        <v>343</v>
      </c>
      <c r="D806" s="6" t="s">
        <v>48</v>
      </c>
      <c r="E806" s="6" t="s">
        <v>68</v>
      </c>
      <c r="F806" s="6" t="s">
        <v>24</v>
      </c>
      <c r="G806" s="6" t="s">
        <v>61</v>
      </c>
      <c r="H806" s="6" t="s">
        <v>48</v>
      </c>
      <c r="I806" s="6" t="s">
        <v>100</v>
      </c>
      <c r="J806" s="6" t="s">
        <v>49</v>
      </c>
      <c r="K806" s="6" t="s">
        <v>48</v>
      </c>
      <c r="L806" s="6" t="s">
        <v>54</v>
      </c>
      <c r="M806" s="6" t="s">
        <v>48</v>
      </c>
      <c r="N806" s="6" t="s">
        <v>28</v>
      </c>
      <c r="O806" s="6" t="s">
        <v>30</v>
      </c>
      <c r="P806" s="6" t="s">
        <v>52</v>
      </c>
      <c r="Q806" s="6" t="s">
        <v>31</v>
      </c>
      <c r="R806" s="6" t="s">
        <v>43</v>
      </c>
      <c r="S806" s="6" t="s">
        <v>152</v>
      </c>
      <c r="T806" s="6" t="s">
        <v>32</v>
      </c>
      <c r="U806" s="6" t="s">
        <v>28</v>
      </c>
      <c r="V806" s="6" t="s">
        <v>137</v>
      </c>
      <c r="W806" t="s">
        <v>353</v>
      </c>
    </row>
    <row r="807" spans="1:23" x14ac:dyDescent="0.3">
      <c r="A807" s="6" t="s">
        <v>279</v>
      </c>
      <c r="B807" s="1">
        <v>45712</v>
      </c>
      <c r="C807" s="6" t="s">
        <v>343</v>
      </c>
      <c r="D807" s="6" t="s">
        <v>48</v>
      </c>
      <c r="E807" s="6" t="s">
        <v>68</v>
      </c>
      <c r="F807" s="6" t="s">
        <v>24</v>
      </c>
      <c r="G807" s="6" t="s">
        <v>61</v>
      </c>
      <c r="H807" s="6" t="s">
        <v>48</v>
      </c>
      <c r="I807" s="6" t="s">
        <v>100</v>
      </c>
      <c r="J807" s="6" t="s">
        <v>49</v>
      </c>
      <c r="K807" s="6" t="s">
        <v>48</v>
      </c>
      <c r="L807" s="6" t="s">
        <v>54</v>
      </c>
      <c r="M807" s="6" t="s">
        <v>48</v>
      </c>
      <c r="N807" s="6" t="s">
        <v>28</v>
      </c>
      <c r="O807" s="6" t="s">
        <v>26</v>
      </c>
      <c r="P807" s="6" t="s">
        <v>788</v>
      </c>
      <c r="Q807" s="6" t="s">
        <v>31</v>
      </c>
      <c r="R807" s="6" t="s">
        <v>43</v>
      </c>
      <c r="S807" s="6" t="s">
        <v>152</v>
      </c>
      <c r="T807" s="6" t="s">
        <v>29</v>
      </c>
      <c r="U807" s="6" t="s">
        <v>28</v>
      </c>
      <c r="V807" s="6" t="s">
        <v>137</v>
      </c>
      <c r="W807" t="s">
        <v>353</v>
      </c>
    </row>
    <row r="808" spans="1:23" x14ac:dyDescent="0.3">
      <c r="A808" s="6" t="s">
        <v>282</v>
      </c>
      <c r="B808" s="1">
        <v>45713</v>
      </c>
      <c r="C808" s="6" t="s">
        <v>33</v>
      </c>
      <c r="D808" s="6" t="s">
        <v>22</v>
      </c>
      <c r="E808" s="6" t="s">
        <v>35</v>
      </c>
      <c r="F808" s="6" t="s">
        <v>24</v>
      </c>
      <c r="G808" s="6" t="s">
        <v>69</v>
      </c>
      <c r="H808" s="6" t="s">
        <v>48</v>
      </c>
      <c r="I808" s="6" t="s">
        <v>48</v>
      </c>
      <c r="J808" s="6" t="s">
        <v>22</v>
      </c>
      <c r="K808" s="6" t="s">
        <v>48</v>
      </c>
      <c r="L808" s="6" t="s">
        <v>54</v>
      </c>
      <c r="M808" s="6" t="s">
        <v>48</v>
      </c>
      <c r="N808" s="6" t="s">
        <v>28</v>
      </c>
      <c r="O808" s="6" t="s">
        <v>30</v>
      </c>
      <c r="P808" s="6" t="s">
        <v>52</v>
      </c>
      <c r="Q808" s="6" t="s">
        <v>31</v>
      </c>
      <c r="R808" s="6" t="s">
        <v>22</v>
      </c>
      <c r="S808" s="6" t="s">
        <v>54</v>
      </c>
      <c r="T808" s="6" t="s">
        <v>32</v>
      </c>
      <c r="U808" s="6" t="s">
        <v>28</v>
      </c>
      <c r="V808" s="6" t="s">
        <v>146</v>
      </c>
      <c r="W808" t="s">
        <v>353</v>
      </c>
    </row>
    <row r="809" spans="1:23" x14ac:dyDescent="0.3">
      <c r="A809" s="6" t="s">
        <v>284</v>
      </c>
      <c r="B809" s="1">
        <v>45713</v>
      </c>
      <c r="C809" s="6" t="s">
        <v>21</v>
      </c>
      <c r="D809" s="6" t="s">
        <v>22</v>
      </c>
      <c r="E809" s="6" t="s">
        <v>35</v>
      </c>
      <c r="F809" s="6" t="s">
        <v>24</v>
      </c>
      <c r="G809" s="6" t="s">
        <v>69</v>
      </c>
      <c r="H809" s="6" t="s">
        <v>26</v>
      </c>
      <c r="I809" s="6" t="s">
        <v>38</v>
      </c>
      <c r="J809" s="6" t="s">
        <v>22</v>
      </c>
      <c r="K809" s="6" t="s">
        <v>76</v>
      </c>
      <c r="L809" s="6" t="s">
        <v>54</v>
      </c>
      <c r="M809" s="6" t="s">
        <v>55</v>
      </c>
      <c r="N809" s="6" t="s">
        <v>28</v>
      </c>
      <c r="O809" s="6" t="s">
        <v>30</v>
      </c>
      <c r="P809" s="6" t="s">
        <v>48</v>
      </c>
      <c r="Q809" s="6" t="s">
        <v>48</v>
      </c>
      <c r="R809" s="6" t="s">
        <v>22</v>
      </c>
      <c r="S809" s="6" t="s">
        <v>54</v>
      </c>
      <c r="T809" s="6" t="s">
        <v>48</v>
      </c>
      <c r="U809" s="6" t="s">
        <v>28</v>
      </c>
      <c r="V809" s="6" t="s">
        <v>82</v>
      </c>
      <c r="W809" t="s">
        <v>353</v>
      </c>
    </row>
    <row r="810" spans="1:23" x14ac:dyDescent="0.3">
      <c r="A810" s="6" t="s">
        <v>283</v>
      </c>
      <c r="B810" s="1">
        <v>45713</v>
      </c>
      <c r="C810" s="6" t="s">
        <v>21</v>
      </c>
      <c r="D810" s="6" t="s">
        <v>22</v>
      </c>
      <c r="E810" s="6" t="s">
        <v>35</v>
      </c>
      <c r="F810" s="6" t="s">
        <v>24</v>
      </c>
      <c r="G810" s="6" t="s">
        <v>69</v>
      </c>
      <c r="H810" s="6" t="s">
        <v>26</v>
      </c>
      <c r="I810" s="6" t="s">
        <v>38</v>
      </c>
      <c r="J810" s="6" t="s">
        <v>22</v>
      </c>
      <c r="K810" s="6" t="s">
        <v>76</v>
      </c>
      <c r="L810" s="6" t="s">
        <v>54</v>
      </c>
      <c r="M810" s="6" t="s">
        <v>55</v>
      </c>
      <c r="N810" s="6" t="s">
        <v>28</v>
      </c>
      <c r="O810" s="6" t="s">
        <v>26</v>
      </c>
      <c r="P810" s="6" t="s">
        <v>48</v>
      </c>
      <c r="Q810" s="6" t="s">
        <v>48</v>
      </c>
      <c r="R810" s="6" t="s">
        <v>22</v>
      </c>
      <c r="S810" s="6" t="s">
        <v>54</v>
      </c>
      <c r="T810" s="6" t="s">
        <v>48</v>
      </c>
      <c r="U810" s="6" t="s">
        <v>28</v>
      </c>
      <c r="V810" s="6" t="s">
        <v>82</v>
      </c>
      <c r="W810" t="s">
        <v>353</v>
      </c>
    </row>
    <row r="811" spans="1:23" x14ac:dyDescent="0.3">
      <c r="A811" s="6" t="s">
        <v>285</v>
      </c>
      <c r="B811" s="1">
        <v>45713</v>
      </c>
      <c r="C811" s="6" t="s">
        <v>343</v>
      </c>
      <c r="D811" s="6" t="s">
        <v>22</v>
      </c>
      <c r="E811" s="6" t="s">
        <v>35</v>
      </c>
      <c r="F811" s="6" t="s">
        <v>24</v>
      </c>
      <c r="G811" s="6" t="s">
        <v>97</v>
      </c>
      <c r="H811" s="6" t="s">
        <v>26</v>
      </c>
      <c r="I811" s="6" t="s">
        <v>27</v>
      </c>
      <c r="J811" s="6" t="s">
        <v>22</v>
      </c>
      <c r="K811" s="6" t="s">
        <v>48</v>
      </c>
      <c r="L811" s="6" t="s">
        <v>54</v>
      </c>
      <c r="M811" s="6" t="s">
        <v>32</v>
      </c>
      <c r="N811" s="6" t="s">
        <v>28</v>
      </c>
      <c r="O811" s="6" t="s">
        <v>48</v>
      </c>
      <c r="P811" s="6" t="s">
        <v>48</v>
      </c>
      <c r="Q811" s="6" t="s">
        <v>31</v>
      </c>
      <c r="R811" s="6" t="s">
        <v>49</v>
      </c>
      <c r="S811" s="6" t="s">
        <v>157</v>
      </c>
      <c r="T811" s="6" t="s">
        <v>48</v>
      </c>
      <c r="U811" s="6" t="s">
        <v>28</v>
      </c>
      <c r="V811" s="6" t="s">
        <v>82</v>
      </c>
      <c r="W811" t="s">
        <v>353</v>
      </c>
    </row>
    <row r="812" spans="1:23" x14ac:dyDescent="0.3">
      <c r="A812" s="6" t="s">
        <v>286</v>
      </c>
      <c r="B812" s="1">
        <v>45713</v>
      </c>
      <c r="C812" s="6" t="s">
        <v>343</v>
      </c>
      <c r="D812" s="6" t="s">
        <v>93</v>
      </c>
      <c r="E812" s="6" t="s">
        <v>44</v>
      </c>
      <c r="F812" s="6" t="s">
        <v>24</v>
      </c>
      <c r="G812" s="6" t="s">
        <v>71</v>
      </c>
      <c r="H812" s="6" t="s">
        <v>48</v>
      </c>
      <c r="I812" s="6" t="s">
        <v>100</v>
      </c>
      <c r="J812" s="6" t="s">
        <v>93</v>
      </c>
      <c r="K812" s="6" t="s">
        <v>48</v>
      </c>
      <c r="L812" s="6" t="s">
        <v>54</v>
      </c>
      <c r="M812" s="6" t="s">
        <v>29</v>
      </c>
      <c r="N812" s="6" t="s">
        <v>28</v>
      </c>
      <c r="O812" s="6" t="s">
        <v>48</v>
      </c>
      <c r="P812" s="6" t="s">
        <v>48</v>
      </c>
      <c r="Q812" s="6" t="s">
        <v>48</v>
      </c>
      <c r="R812" s="6" t="s">
        <v>93</v>
      </c>
      <c r="S812" s="6" t="s">
        <v>54</v>
      </c>
      <c r="T812" s="6" t="s">
        <v>48</v>
      </c>
      <c r="U812" s="6" t="s">
        <v>59</v>
      </c>
      <c r="V812" s="6" t="s">
        <v>137</v>
      </c>
      <c r="W812" t="s">
        <v>353</v>
      </c>
    </row>
    <row r="813" spans="1:23" x14ac:dyDescent="0.3">
      <c r="A813" s="6" t="s">
        <v>287</v>
      </c>
      <c r="B813" s="1">
        <v>45713</v>
      </c>
      <c r="C813" s="6" t="s">
        <v>343</v>
      </c>
      <c r="D813" s="6" t="s">
        <v>93</v>
      </c>
      <c r="E813" s="6" t="s">
        <v>44</v>
      </c>
      <c r="F813" s="6" t="s">
        <v>24</v>
      </c>
      <c r="G813" s="6" t="s">
        <v>71</v>
      </c>
      <c r="H813" s="6" t="s">
        <v>48</v>
      </c>
      <c r="I813" s="6" t="s">
        <v>100</v>
      </c>
      <c r="J813" s="6" t="s">
        <v>93</v>
      </c>
      <c r="K813" s="6" t="s">
        <v>48</v>
      </c>
      <c r="L813" s="6" t="s">
        <v>54</v>
      </c>
      <c r="M813" s="6" t="s">
        <v>29</v>
      </c>
      <c r="N813" s="6" t="s">
        <v>28</v>
      </c>
      <c r="O813" s="6" t="s">
        <v>48</v>
      </c>
      <c r="P813" s="6" t="s">
        <v>48</v>
      </c>
      <c r="Q813" s="6" t="s">
        <v>48</v>
      </c>
      <c r="R813" s="6" t="s">
        <v>93</v>
      </c>
      <c r="S813" s="6" t="s">
        <v>54</v>
      </c>
      <c r="T813" s="6" t="s">
        <v>48</v>
      </c>
      <c r="U813" s="6" t="s">
        <v>59</v>
      </c>
      <c r="V813" s="6" t="s">
        <v>137</v>
      </c>
      <c r="W813" t="s">
        <v>353</v>
      </c>
    </row>
    <row r="814" spans="1:23" x14ac:dyDescent="0.3">
      <c r="A814" s="6" t="s">
        <v>288</v>
      </c>
      <c r="B814" s="1">
        <v>45713</v>
      </c>
      <c r="C814" s="6" t="s">
        <v>57</v>
      </c>
      <c r="D814" s="6" t="s">
        <v>60</v>
      </c>
      <c r="E814" s="6" t="s">
        <v>68</v>
      </c>
      <c r="F814" s="6" t="s">
        <v>24</v>
      </c>
      <c r="G814" s="6" t="s">
        <v>104</v>
      </c>
      <c r="H814" s="6" t="s">
        <v>26</v>
      </c>
      <c r="I814" s="6" t="s">
        <v>27</v>
      </c>
      <c r="J814" s="6" t="s">
        <v>60</v>
      </c>
      <c r="K814" s="6" t="s">
        <v>133</v>
      </c>
      <c r="L814" s="6" t="s">
        <v>152</v>
      </c>
      <c r="M814" s="6" t="s">
        <v>29</v>
      </c>
      <c r="N814" s="6" t="s">
        <v>28</v>
      </c>
      <c r="O814" s="6" t="s">
        <v>26</v>
      </c>
      <c r="P814" s="6" t="s">
        <v>37</v>
      </c>
      <c r="Q814" s="6" t="s">
        <v>31</v>
      </c>
      <c r="R814" s="6" t="s">
        <v>60</v>
      </c>
      <c r="S814" s="6" t="s">
        <v>128</v>
      </c>
      <c r="T814" s="6" t="s">
        <v>29</v>
      </c>
      <c r="U814" s="6" t="s">
        <v>28</v>
      </c>
      <c r="V814" s="6" t="s">
        <v>82</v>
      </c>
      <c r="W814" t="s">
        <v>353</v>
      </c>
    </row>
    <row r="815" spans="1:23" x14ac:dyDescent="0.3">
      <c r="A815" s="6" t="s">
        <v>289</v>
      </c>
      <c r="B815" s="1">
        <v>45714</v>
      </c>
      <c r="C815" s="6" t="s">
        <v>343</v>
      </c>
      <c r="D815" s="6" t="s">
        <v>50</v>
      </c>
      <c r="E815" s="6" t="s">
        <v>46</v>
      </c>
      <c r="F815" s="6" t="s">
        <v>24</v>
      </c>
      <c r="G815" s="6" t="s">
        <v>46</v>
      </c>
      <c r="H815" s="6" t="s">
        <v>48</v>
      </c>
      <c r="I815" s="6" t="s">
        <v>27</v>
      </c>
      <c r="J815" s="6" t="s">
        <v>50</v>
      </c>
      <c r="K815" s="6" t="s">
        <v>48</v>
      </c>
      <c r="L815" s="6" t="s">
        <v>54</v>
      </c>
      <c r="M815" s="6" t="s">
        <v>48</v>
      </c>
      <c r="N815" s="6" t="s">
        <v>28</v>
      </c>
      <c r="O815" s="6" t="s">
        <v>48</v>
      </c>
      <c r="P815" s="6" t="s">
        <v>48</v>
      </c>
      <c r="Q815" s="6" t="s">
        <v>48</v>
      </c>
      <c r="R815" s="6" t="s">
        <v>50</v>
      </c>
      <c r="S815" s="6" t="s">
        <v>54</v>
      </c>
      <c r="T815" s="6" t="s">
        <v>48</v>
      </c>
      <c r="U815" s="6" t="s">
        <v>28</v>
      </c>
      <c r="V815" s="6" t="s">
        <v>82</v>
      </c>
      <c r="W815" t="s">
        <v>353</v>
      </c>
    </row>
    <row r="816" spans="1:23" x14ac:dyDescent="0.3">
      <c r="A816" s="6" t="s">
        <v>290</v>
      </c>
      <c r="B816" s="1">
        <v>45718</v>
      </c>
      <c r="C816" s="6" t="s">
        <v>343</v>
      </c>
      <c r="D816" s="6" t="s">
        <v>40</v>
      </c>
      <c r="E816" s="6" t="s">
        <v>35</v>
      </c>
      <c r="F816" s="6" t="s">
        <v>24</v>
      </c>
      <c r="G816" s="6" t="s">
        <v>97</v>
      </c>
      <c r="H816" s="6" t="s">
        <v>26</v>
      </c>
      <c r="I816" s="6" t="s">
        <v>38</v>
      </c>
      <c r="J816" s="6" t="s">
        <v>40</v>
      </c>
      <c r="K816" s="6" t="s">
        <v>48</v>
      </c>
      <c r="L816" s="6" t="s">
        <v>54</v>
      </c>
      <c r="M816" s="6" t="s">
        <v>32</v>
      </c>
      <c r="N816" s="6" t="s">
        <v>28</v>
      </c>
      <c r="O816" s="6" t="s">
        <v>30</v>
      </c>
      <c r="P816" s="6" t="s">
        <v>66</v>
      </c>
      <c r="Q816" s="6" t="s">
        <v>31</v>
      </c>
      <c r="R816" s="6" t="s">
        <v>40</v>
      </c>
      <c r="S816" s="6" t="s">
        <v>128</v>
      </c>
      <c r="T816" s="6" t="s">
        <v>32</v>
      </c>
      <c r="U816" s="6" t="s">
        <v>28</v>
      </c>
      <c r="V816" s="6" t="s">
        <v>146</v>
      </c>
      <c r="W816" t="s">
        <v>354</v>
      </c>
    </row>
    <row r="817" spans="1:23" x14ac:dyDescent="0.3">
      <c r="A817" s="6" t="s">
        <v>291</v>
      </c>
      <c r="B817" s="1">
        <v>45718</v>
      </c>
      <c r="C817" s="6" t="s">
        <v>33</v>
      </c>
      <c r="D817" s="6" t="s">
        <v>40</v>
      </c>
      <c r="E817" s="6" t="s">
        <v>35</v>
      </c>
      <c r="F817" s="6" t="s">
        <v>24</v>
      </c>
      <c r="G817" s="6" t="s">
        <v>97</v>
      </c>
      <c r="H817" s="6" t="s">
        <v>26</v>
      </c>
      <c r="I817" s="6" t="s">
        <v>42</v>
      </c>
      <c r="J817" s="6" t="s">
        <v>40</v>
      </c>
      <c r="K817" s="6" t="s">
        <v>48</v>
      </c>
      <c r="L817" s="6" t="s">
        <v>54</v>
      </c>
      <c r="M817" s="6" t="s">
        <v>29</v>
      </c>
      <c r="N817" s="6" t="s">
        <v>28</v>
      </c>
      <c r="O817" s="6" t="s">
        <v>30</v>
      </c>
      <c r="P817" s="6" t="s">
        <v>66</v>
      </c>
      <c r="Q817" s="6" t="s">
        <v>31</v>
      </c>
      <c r="R817" s="6" t="s">
        <v>40</v>
      </c>
      <c r="S817" s="6" t="s">
        <v>128</v>
      </c>
      <c r="T817" s="6" t="s">
        <v>32</v>
      </c>
      <c r="U817" s="6" t="s">
        <v>28</v>
      </c>
      <c r="V817" s="6" t="s">
        <v>146</v>
      </c>
      <c r="W817" t="s">
        <v>354</v>
      </c>
    </row>
    <row r="818" spans="1:23" x14ac:dyDescent="0.3">
      <c r="A818" s="6" t="s">
        <v>291</v>
      </c>
      <c r="B818" s="1">
        <v>45718</v>
      </c>
      <c r="C818" s="6" t="s">
        <v>33</v>
      </c>
      <c r="D818" s="6" t="s">
        <v>40</v>
      </c>
      <c r="E818" s="6" t="s">
        <v>35</v>
      </c>
      <c r="F818" s="6" t="s">
        <v>24</v>
      </c>
      <c r="G818" s="6" t="s">
        <v>97</v>
      </c>
      <c r="H818" s="6" t="s">
        <v>26</v>
      </c>
      <c r="I818" s="6" t="s">
        <v>42</v>
      </c>
      <c r="J818" s="6" t="s">
        <v>40</v>
      </c>
      <c r="K818" s="6" t="s">
        <v>48</v>
      </c>
      <c r="L818" s="6" t="s">
        <v>54</v>
      </c>
      <c r="M818" s="6" t="s">
        <v>29</v>
      </c>
      <c r="N818" s="6" t="s">
        <v>28</v>
      </c>
      <c r="O818" s="6" t="s">
        <v>30</v>
      </c>
      <c r="P818" s="6" t="s">
        <v>66</v>
      </c>
      <c r="Q818" s="6" t="s">
        <v>31</v>
      </c>
      <c r="R818" s="6" t="s">
        <v>40</v>
      </c>
      <c r="S818" s="6" t="s">
        <v>128</v>
      </c>
      <c r="T818" s="6" t="s">
        <v>32</v>
      </c>
      <c r="U818" s="6" t="s">
        <v>28</v>
      </c>
      <c r="V818" s="6" t="s">
        <v>82</v>
      </c>
      <c r="W818" t="s">
        <v>354</v>
      </c>
    </row>
    <row r="819" spans="1:23" x14ac:dyDescent="0.3">
      <c r="A819" s="6" t="s">
        <v>290</v>
      </c>
      <c r="B819" s="1">
        <v>45718</v>
      </c>
      <c r="C819" s="6" t="s">
        <v>343</v>
      </c>
      <c r="D819" s="6" t="s">
        <v>40</v>
      </c>
      <c r="E819" s="6" t="s">
        <v>35</v>
      </c>
      <c r="F819" s="6" t="s">
        <v>24</v>
      </c>
      <c r="G819" s="6" t="s">
        <v>97</v>
      </c>
      <c r="H819" s="6" t="s">
        <v>26</v>
      </c>
      <c r="I819" s="6" t="s">
        <v>38</v>
      </c>
      <c r="J819" s="6" t="s">
        <v>40</v>
      </c>
      <c r="K819" s="6" t="s">
        <v>48</v>
      </c>
      <c r="L819" s="6" t="s">
        <v>54</v>
      </c>
      <c r="M819" s="6" t="s">
        <v>32</v>
      </c>
      <c r="N819" s="6" t="s">
        <v>28</v>
      </c>
      <c r="O819" s="6" t="s">
        <v>30</v>
      </c>
      <c r="P819" s="6" t="s">
        <v>66</v>
      </c>
      <c r="Q819" s="6" t="s">
        <v>31</v>
      </c>
      <c r="R819" s="6" t="s">
        <v>40</v>
      </c>
      <c r="S819" s="6" t="s">
        <v>128</v>
      </c>
      <c r="T819" s="6" t="s">
        <v>32</v>
      </c>
      <c r="U819" s="6" t="s">
        <v>28</v>
      </c>
      <c r="V819" s="6" t="s">
        <v>82</v>
      </c>
      <c r="W819" t="s">
        <v>354</v>
      </c>
    </row>
    <row r="820" spans="1:23" x14ac:dyDescent="0.3">
      <c r="A820" s="6" t="s">
        <v>292</v>
      </c>
      <c r="B820" s="1">
        <v>45719</v>
      </c>
      <c r="C820" s="6" t="s">
        <v>84</v>
      </c>
      <c r="D820" s="6" t="s">
        <v>40</v>
      </c>
      <c r="E820" s="6" t="s">
        <v>46</v>
      </c>
      <c r="F820" s="6" t="s">
        <v>24</v>
      </c>
      <c r="G820" s="6" t="s">
        <v>97</v>
      </c>
      <c r="H820" s="6" t="s">
        <v>26</v>
      </c>
      <c r="I820" s="6" t="s">
        <v>27</v>
      </c>
      <c r="J820" s="6" t="s">
        <v>22</v>
      </c>
      <c r="K820" s="6" t="s">
        <v>48</v>
      </c>
      <c r="L820" s="6" t="s">
        <v>54</v>
      </c>
      <c r="M820" s="6" t="s">
        <v>32</v>
      </c>
      <c r="N820" s="6" t="s">
        <v>28</v>
      </c>
      <c r="O820" s="6" t="s">
        <v>26</v>
      </c>
      <c r="P820" s="6" t="s">
        <v>48</v>
      </c>
      <c r="Q820" s="6" t="s">
        <v>31</v>
      </c>
      <c r="R820" s="6" t="s">
        <v>40</v>
      </c>
      <c r="S820" s="6" t="s">
        <v>54</v>
      </c>
      <c r="T820" s="6" t="s">
        <v>48</v>
      </c>
      <c r="U820" s="6" t="s">
        <v>28</v>
      </c>
      <c r="V820" s="6" t="s">
        <v>82</v>
      </c>
      <c r="W820" t="s">
        <v>354</v>
      </c>
    </row>
    <row r="821" spans="1:23" x14ac:dyDescent="0.3">
      <c r="A821" s="6" t="s">
        <v>292</v>
      </c>
      <c r="B821" s="1">
        <v>45719</v>
      </c>
      <c r="C821" s="6" t="s">
        <v>84</v>
      </c>
      <c r="D821" s="6" t="s">
        <v>40</v>
      </c>
      <c r="E821" s="6" t="s">
        <v>46</v>
      </c>
      <c r="F821" s="6" t="s">
        <v>24</v>
      </c>
      <c r="G821" s="6" t="s">
        <v>97</v>
      </c>
      <c r="H821" s="6" t="s">
        <v>26</v>
      </c>
      <c r="I821" s="6" t="s">
        <v>27</v>
      </c>
      <c r="J821" s="6" t="s">
        <v>22</v>
      </c>
      <c r="K821" s="6" t="s">
        <v>48</v>
      </c>
      <c r="L821" s="6" t="s">
        <v>54</v>
      </c>
      <c r="M821" s="6" t="s">
        <v>32</v>
      </c>
      <c r="N821" s="6" t="s">
        <v>28</v>
      </c>
      <c r="O821" s="6" t="s">
        <v>26</v>
      </c>
      <c r="P821" s="6" t="s">
        <v>48</v>
      </c>
      <c r="Q821" s="6" t="s">
        <v>31</v>
      </c>
      <c r="R821" s="6" t="s">
        <v>40</v>
      </c>
      <c r="S821" s="6" t="s">
        <v>54</v>
      </c>
      <c r="T821" s="6" t="s">
        <v>48</v>
      </c>
      <c r="U821" s="6" t="s">
        <v>28</v>
      </c>
      <c r="V821" s="6" t="s">
        <v>146</v>
      </c>
      <c r="W821" t="s">
        <v>354</v>
      </c>
    </row>
    <row r="822" spans="1:23" x14ac:dyDescent="0.3">
      <c r="A822" s="6" t="s">
        <v>292</v>
      </c>
      <c r="B822" s="1">
        <v>45719</v>
      </c>
      <c r="C822" s="6" t="s">
        <v>84</v>
      </c>
      <c r="D822" s="6" t="s">
        <v>40</v>
      </c>
      <c r="E822" s="6" t="s">
        <v>46</v>
      </c>
      <c r="F822" s="6" t="s">
        <v>24</v>
      </c>
      <c r="G822" s="6" t="s">
        <v>97</v>
      </c>
      <c r="H822" s="6" t="s">
        <v>26</v>
      </c>
      <c r="I822" s="6" t="s">
        <v>27</v>
      </c>
      <c r="J822" s="6" t="s">
        <v>22</v>
      </c>
      <c r="K822" s="6" t="s">
        <v>48</v>
      </c>
      <c r="L822" s="6" t="s">
        <v>54</v>
      </c>
      <c r="M822" s="6" t="s">
        <v>32</v>
      </c>
      <c r="N822" s="6" t="s">
        <v>28</v>
      </c>
      <c r="O822" s="6" t="s">
        <v>26</v>
      </c>
      <c r="P822" s="6" t="s">
        <v>48</v>
      </c>
      <c r="Q822" s="6" t="s">
        <v>31</v>
      </c>
      <c r="R822" s="6" t="s">
        <v>40</v>
      </c>
      <c r="S822" s="6" t="s">
        <v>54</v>
      </c>
      <c r="T822" s="6" t="s">
        <v>48</v>
      </c>
      <c r="U822" s="6" t="s">
        <v>28</v>
      </c>
      <c r="V822" s="6" t="s">
        <v>137</v>
      </c>
      <c r="W822" t="s">
        <v>354</v>
      </c>
    </row>
    <row r="823" spans="1:23" x14ac:dyDescent="0.3">
      <c r="A823" s="6" t="s">
        <v>293</v>
      </c>
      <c r="B823" s="1">
        <v>45719</v>
      </c>
      <c r="C823" s="6" t="s">
        <v>84</v>
      </c>
      <c r="D823" s="6" t="s">
        <v>60</v>
      </c>
      <c r="E823" s="6" t="s">
        <v>46</v>
      </c>
      <c r="F823" s="6" t="s">
        <v>24</v>
      </c>
      <c r="G823" s="6" t="s">
        <v>69</v>
      </c>
      <c r="H823" s="6" t="s">
        <v>48</v>
      </c>
      <c r="I823" s="6" t="s">
        <v>48</v>
      </c>
      <c r="J823" s="6" t="s">
        <v>60</v>
      </c>
      <c r="K823" s="6" t="s">
        <v>48</v>
      </c>
      <c r="L823" s="6" t="s">
        <v>54</v>
      </c>
      <c r="M823" s="6" t="s">
        <v>48</v>
      </c>
      <c r="N823" s="6" t="s">
        <v>28</v>
      </c>
      <c r="O823" s="6" t="s">
        <v>30</v>
      </c>
      <c r="P823" s="6" t="s">
        <v>788</v>
      </c>
      <c r="Q823" s="6" t="s">
        <v>31</v>
      </c>
      <c r="R823" s="6" t="s">
        <v>60</v>
      </c>
      <c r="S823" s="6" t="s">
        <v>54</v>
      </c>
      <c r="T823" s="6" t="s">
        <v>29</v>
      </c>
      <c r="U823" s="6" t="s">
        <v>28</v>
      </c>
      <c r="V823" s="6" t="s">
        <v>82</v>
      </c>
      <c r="W823" t="s">
        <v>354</v>
      </c>
    </row>
    <row r="824" spans="1:23" x14ac:dyDescent="0.3">
      <c r="A824" s="6" t="s">
        <v>294</v>
      </c>
      <c r="B824" s="1">
        <v>45719</v>
      </c>
      <c r="C824" s="6" t="s">
        <v>90</v>
      </c>
      <c r="D824" s="6" t="s">
        <v>22</v>
      </c>
      <c r="E824" s="6" t="s">
        <v>35</v>
      </c>
      <c r="F824" s="6" t="s">
        <v>24</v>
      </c>
      <c r="G824" s="6" t="s">
        <v>112</v>
      </c>
      <c r="H824" s="6" t="s">
        <v>26</v>
      </c>
      <c r="I824" s="6" t="s">
        <v>38</v>
      </c>
      <c r="J824" s="6" t="s">
        <v>22</v>
      </c>
      <c r="K824" s="6" t="s">
        <v>76</v>
      </c>
      <c r="L824" s="6" t="s">
        <v>54</v>
      </c>
      <c r="M824" s="6" t="s">
        <v>32</v>
      </c>
      <c r="N824" s="6" t="s">
        <v>28</v>
      </c>
      <c r="O824" s="6" t="s">
        <v>30</v>
      </c>
      <c r="P824" s="6" t="s">
        <v>38</v>
      </c>
      <c r="Q824" s="6" t="s">
        <v>31</v>
      </c>
      <c r="R824" s="6" t="s">
        <v>22</v>
      </c>
      <c r="S824" s="6" t="s">
        <v>54</v>
      </c>
      <c r="T824" s="6" t="s">
        <v>32</v>
      </c>
      <c r="U824" s="6" t="s">
        <v>28</v>
      </c>
      <c r="V824" s="6" t="s">
        <v>82</v>
      </c>
      <c r="W824" t="s">
        <v>354</v>
      </c>
    </row>
    <row r="825" spans="1:23" x14ac:dyDescent="0.3">
      <c r="A825" s="6" t="s">
        <v>295</v>
      </c>
      <c r="B825" s="1">
        <v>45722</v>
      </c>
      <c r="C825" s="6" t="s">
        <v>343</v>
      </c>
      <c r="D825" s="6" t="s">
        <v>43</v>
      </c>
      <c r="E825" s="6" t="s">
        <v>68</v>
      </c>
      <c r="F825" s="6" t="s">
        <v>24</v>
      </c>
      <c r="G825" s="6" t="s">
        <v>97</v>
      </c>
      <c r="H825" s="6" t="s">
        <v>48</v>
      </c>
      <c r="I825" s="6" t="s">
        <v>100</v>
      </c>
      <c r="J825" s="6" t="s">
        <v>49</v>
      </c>
      <c r="K825" s="6" t="s">
        <v>48</v>
      </c>
      <c r="L825" s="6" t="s">
        <v>54</v>
      </c>
      <c r="M825" s="6" t="s">
        <v>48</v>
      </c>
      <c r="N825" s="6" t="s">
        <v>28</v>
      </c>
      <c r="O825" s="6" t="s">
        <v>30</v>
      </c>
      <c r="P825" s="6" t="s">
        <v>788</v>
      </c>
      <c r="Q825" s="6" t="s">
        <v>31</v>
      </c>
      <c r="R825" s="6" t="s">
        <v>49</v>
      </c>
      <c r="S825" s="6" t="s">
        <v>54</v>
      </c>
      <c r="T825" s="6" t="s">
        <v>32</v>
      </c>
      <c r="U825" s="6" t="s">
        <v>28</v>
      </c>
      <c r="V825" s="6" t="s">
        <v>146</v>
      </c>
      <c r="W825" t="s">
        <v>354</v>
      </c>
    </row>
    <row r="826" spans="1:23" x14ac:dyDescent="0.3">
      <c r="A826" s="6" t="s">
        <v>295</v>
      </c>
      <c r="B826" s="1">
        <v>45722</v>
      </c>
      <c r="C826" s="6" t="s">
        <v>343</v>
      </c>
      <c r="D826" s="6" t="s">
        <v>43</v>
      </c>
      <c r="E826" s="6" t="s">
        <v>68</v>
      </c>
      <c r="F826" s="6" t="s">
        <v>24</v>
      </c>
      <c r="G826" s="6" t="s">
        <v>97</v>
      </c>
      <c r="H826" s="6" t="s">
        <v>48</v>
      </c>
      <c r="I826" s="6" t="s">
        <v>100</v>
      </c>
      <c r="J826" s="6" t="s">
        <v>49</v>
      </c>
      <c r="K826" s="6" t="s">
        <v>48</v>
      </c>
      <c r="L826" s="6" t="s">
        <v>54</v>
      </c>
      <c r="M826" s="6" t="s">
        <v>48</v>
      </c>
      <c r="N826" s="6" t="s">
        <v>28</v>
      </c>
      <c r="O826" s="6" t="s">
        <v>30</v>
      </c>
      <c r="P826" s="6" t="s">
        <v>788</v>
      </c>
      <c r="Q826" s="6" t="s">
        <v>31</v>
      </c>
      <c r="R826" s="6" t="s">
        <v>49</v>
      </c>
      <c r="S826" s="6" t="s">
        <v>54</v>
      </c>
      <c r="T826" s="6" t="s">
        <v>32</v>
      </c>
      <c r="U826" s="6" t="s">
        <v>28</v>
      </c>
      <c r="V826" s="6" t="s">
        <v>82</v>
      </c>
      <c r="W826" t="s">
        <v>354</v>
      </c>
    </row>
    <row r="827" spans="1:23" x14ac:dyDescent="0.3">
      <c r="A827" s="6" t="s">
        <v>296</v>
      </c>
      <c r="B827" s="1">
        <v>45722</v>
      </c>
      <c r="C827" s="6" t="s">
        <v>62</v>
      </c>
      <c r="D827" s="6" t="s">
        <v>125</v>
      </c>
      <c r="E827" s="6" t="s">
        <v>68</v>
      </c>
      <c r="F827" s="6" t="s">
        <v>24</v>
      </c>
      <c r="G827" s="6" t="s">
        <v>156</v>
      </c>
      <c r="H827" s="6" t="s">
        <v>26</v>
      </c>
      <c r="I827" s="6" t="s">
        <v>37</v>
      </c>
      <c r="J827" s="6" t="s">
        <v>125</v>
      </c>
      <c r="K827" s="6" t="s">
        <v>48</v>
      </c>
      <c r="L827" s="6" t="s">
        <v>128</v>
      </c>
      <c r="M827" s="6" t="s">
        <v>32</v>
      </c>
      <c r="N827" s="6" t="s">
        <v>28</v>
      </c>
      <c r="O827" s="6" t="s">
        <v>48</v>
      </c>
      <c r="P827" s="6" t="s">
        <v>48</v>
      </c>
      <c r="Q827" s="6" t="s">
        <v>48</v>
      </c>
      <c r="R827" s="6" t="s">
        <v>125</v>
      </c>
      <c r="S827" s="6" t="s">
        <v>54</v>
      </c>
      <c r="T827" s="6" t="s">
        <v>48</v>
      </c>
      <c r="U827" s="6" t="s">
        <v>131</v>
      </c>
      <c r="V827" s="6" t="s">
        <v>82</v>
      </c>
      <c r="W827" t="s">
        <v>354</v>
      </c>
    </row>
    <row r="828" spans="1:23" x14ac:dyDescent="0.3">
      <c r="A828" s="6" t="s">
        <v>297</v>
      </c>
      <c r="B828" s="1">
        <v>45722</v>
      </c>
      <c r="C828" s="6" t="s">
        <v>39</v>
      </c>
      <c r="D828" s="6" t="s">
        <v>70</v>
      </c>
      <c r="E828" s="6" t="s">
        <v>68</v>
      </c>
      <c r="F828" s="6" t="s">
        <v>24</v>
      </c>
      <c r="G828" s="6" t="s">
        <v>72</v>
      </c>
      <c r="H828" s="6" t="s">
        <v>26</v>
      </c>
      <c r="I828" s="6" t="s">
        <v>38</v>
      </c>
      <c r="J828" s="6" t="s">
        <v>70</v>
      </c>
      <c r="K828" s="6" t="s">
        <v>48</v>
      </c>
      <c r="L828" s="6" t="s">
        <v>152</v>
      </c>
      <c r="M828" s="6" t="s">
        <v>32</v>
      </c>
      <c r="N828" s="6" t="s">
        <v>28</v>
      </c>
      <c r="O828" s="6" t="s">
        <v>30</v>
      </c>
      <c r="P828" s="6" t="s">
        <v>37</v>
      </c>
      <c r="Q828" s="6" t="s">
        <v>31</v>
      </c>
      <c r="R828" s="6" t="s">
        <v>70</v>
      </c>
      <c r="S828" s="6" t="s">
        <v>54</v>
      </c>
      <c r="T828" s="6" t="s">
        <v>32</v>
      </c>
      <c r="U828" s="6" t="s">
        <v>28</v>
      </c>
      <c r="V828" s="6" t="s">
        <v>137</v>
      </c>
      <c r="W828" t="s">
        <v>354</v>
      </c>
    </row>
    <row r="829" spans="1:23" x14ac:dyDescent="0.3">
      <c r="A829" s="6" t="s">
        <v>297</v>
      </c>
      <c r="B829" s="1">
        <v>45722</v>
      </c>
      <c r="C829" s="6" t="s">
        <v>39</v>
      </c>
      <c r="D829" s="6" t="s">
        <v>70</v>
      </c>
      <c r="E829" s="6" t="s">
        <v>68</v>
      </c>
      <c r="F829" s="6" t="s">
        <v>24</v>
      </c>
      <c r="G829" s="6" t="s">
        <v>72</v>
      </c>
      <c r="H829" s="6" t="s">
        <v>26</v>
      </c>
      <c r="I829" s="6" t="s">
        <v>38</v>
      </c>
      <c r="J829" s="6" t="s">
        <v>70</v>
      </c>
      <c r="K829" s="6" t="s">
        <v>48</v>
      </c>
      <c r="L829" s="6" t="s">
        <v>152</v>
      </c>
      <c r="M829" s="6" t="s">
        <v>32</v>
      </c>
      <c r="N829" s="6" t="s">
        <v>28</v>
      </c>
      <c r="O829" s="6" t="s">
        <v>30</v>
      </c>
      <c r="P829" s="6" t="s">
        <v>37</v>
      </c>
      <c r="Q829" s="6" t="s">
        <v>31</v>
      </c>
      <c r="R829" s="6" t="s">
        <v>70</v>
      </c>
      <c r="S829" s="6" t="s">
        <v>54</v>
      </c>
      <c r="T829" s="6" t="s">
        <v>32</v>
      </c>
      <c r="U829" s="6" t="s">
        <v>28</v>
      </c>
      <c r="V829" s="6" t="s">
        <v>146</v>
      </c>
      <c r="W829" t="s">
        <v>354</v>
      </c>
    </row>
    <row r="830" spans="1:23" x14ac:dyDescent="0.3">
      <c r="A830" s="6" t="s">
        <v>298</v>
      </c>
      <c r="B830" s="1">
        <v>45723</v>
      </c>
      <c r="C830" s="6" t="s">
        <v>343</v>
      </c>
      <c r="D830" s="6" t="s">
        <v>50</v>
      </c>
      <c r="E830" s="6" t="s">
        <v>68</v>
      </c>
      <c r="F830" s="6" t="s">
        <v>24</v>
      </c>
      <c r="G830" s="6" t="s">
        <v>61</v>
      </c>
      <c r="H830" s="6" t="s">
        <v>48</v>
      </c>
      <c r="I830" s="6" t="s">
        <v>27</v>
      </c>
      <c r="J830" s="6" t="s">
        <v>50</v>
      </c>
      <c r="K830" s="6" t="s">
        <v>48</v>
      </c>
      <c r="L830" s="6" t="s">
        <v>705</v>
      </c>
      <c r="M830" s="6" t="s">
        <v>48</v>
      </c>
      <c r="N830" s="6" t="s">
        <v>28</v>
      </c>
      <c r="O830" s="6" t="s">
        <v>26</v>
      </c>
      <c r="P830" s="6" t="s">
        <v>48</v>
      </c>
      <c r="Q830" s="6" t="s">
        <v>31</v>
      </c>
      <c r="R830" s="6" t="s">
        <v>50</v>
      </c>
      <c r="S830" s="6" t="s">
        <v>54</v>
      </c>
      <c r="T830" s="6" t="s">
        <v>32</v>
      </c>
      <c r="U830" s="6" t="s">
        <v>28</v>
      </c>
      <c r="V830" s="6" t="s">
        <v>82</v>
      </c>
      <c r="W830" t="s">
        <v>354</v>
      </c>
    </row>
    <row r="831" spans="1:23" x14ac:dyDescent="0.3">
      <c r="A831" s="6" t="s">
        <v>298</v>
      </c>
      <c r="B831" s="1">
        <v>45723</v>
      </c>
      <c r="C831" s="6" t="s">
        <v>343</v>
      </c>
      <c r="D831" s="6" t="s">
        <v>50</v>
      </c>
      <c r="E831" s="6" t="s">
        <v>68</v>
      </c>
      <c r="F831" s="6" t="s">
        <v>24</v>
      </c>
      <c r="G831" s="6" t="s">
        <v>61</v>
      </c>
      <c r="H831" s="6" t="s">
        <v>48</v>
      </c>
      <c r="I831" s="6" t="s">
        <v>27</v>
      </c>
      <c r="J831" s="6" t="s">
        <v>50</v>
      </c>
      <c r="K831" s="6" t="s">
        <v>48</v>
      </c>
      <c r="L831" s="6" t="s">
        <v>705</v>
      </c>
      <c r="M831" s="6" t="s">
        <v>48</v>
      </c>
      <c r="N831" s="6" t="s">
        <v>28</v>
      </c>
      <c r="O831" s="6" t="s">
        <v>26</v>
      </c>
      <c r="P831" s="6" t="s">
        <v>48</v>
      </c>
      <c r="Q831" s="6" t="s">
        <v>31</v>
      </c>
      <c r="R831" s="6" t="s">
        <v>50</v>
      </c>
      <c r="S831" s="6" t="s">
        <v>54</v>
      </c>
      <c r="T831" s="6" t="s">
        <v>32</v>
      </c>
      <c r="U831" s="6" t="s">
        <v>28</v>
      </c>
      <c r="V831" s="6" t="s">
        <v>146</v>
      </c>
      <c r="W831" t="s">
        <v>354</v>
      </c>
    </row>
    <row r="832" spans="1:23" x14ac:dyDescent="0.3">
      <c r="A832" s="6" t="s">
        <v>299</v>
      </c>
      <c r="B832" s="1">
        <v>45723</v>
      </c>
      <c r="C832" s="6" t="s">
        <v>84</v>
      </c>
      <c r="D832" s="6" t="s">
        <v>60</v>
      </c>
      <c r="E832" s="6" t="s">
        <v>35</v>
      </c>
      <c r="F832" s="6" t="s">
        <v>24</v>
      </c>
      <c r="G832" s="6" t="s">
        <v>97</v>
      </c>
      <c r="H832" s="6" t="s">
        <v>26</v>
      </c>
      <c r="I832" s="6" t="s">
        <v>52</v>
      </c>
      <c r="J832" s="6" t="s">
        <v>60</v>
      </c>
      <c r="K832" s="6" t="s">
        <v>106</v>
      </c>
      <c r="L832" s="6" t="s">
        <v>54</v>
      </c>
      <c r="M832" s="6" t="s">
        <v>29</v>
      </c>
      <c r="N832" s="6" t="s">
        <v>28</v>
      </c>
      <c r="O832" s="6" t="s">
        <v>48</v>
      </c>
      <c r="P832" s="6" t="s">
        <v>48</v>
      </c>
      <c r="Q832" s="6" t="s">
        <v>48</v>
      </c>
      <c r="R832" s="6" t="s">
        <v>49</v>
      </c>
      <c r="S832" s="6" t="s">
        <v>54</v>
      </c>
      <c r="T832" s="6" t="s">
        <v>48</v>
      </c>
      <c r="U832" s="6" t="s">
        <v>28</v>
      </c>
      <c r="V832" s="6" t="s">
        <v>146</v>
      </c>
      <c r="W832" t="s">
        <v>354</v>
      </c>
    </row>
    <row r="833" spans="1:23" x14ac:dyDescent="0.3">
      <c r="A833" s="6" t="s">
        <v>299</v>
      </c>
      <c r="B833" s="1">
        <v>45723</v>
      </c>
      <c r="C833" s="6" t="s">
        <v>84</v>
      </c>
      <c r="D833" s="6" t="s">
        <v>60</v>
      </c>
      <c r="E833" s="6" t="s">
        <v>35</v>
      </c>
      <c r="F833" s="6" t="s">
        <v>24</v>
      </c>
      <c r="G833" s="6" t="s">
        <v>97</v>
      </c>
      <c r="H833" s="6" t="s">
        <v>26</v>
      </c>
      <c r="I833" s="6" t="s">
        <v>52</v>
      </c>
      <c r="J833" s="6" t="s">
        <v>60</v>
      </c>
      <c r="K833" s="6" t="s">
        <v>106</v>
      </c>
      <c r="L833" s="6" t="s">
        <v>54</v>
      </c>
      <c r="M833" s="6" t="s">
        <v>29</v>
      </c>
      <c r="N833" s="6" t="s">
        <v>28</v>
      </c>
      <c r="O833" s="6" t="s">
        <v>48</v>
      </c>
      <c r="P833" s="6" t="s">
        <v>48</v>
      </c>
      <c r="Q833" s="6" t="s">
        <v>48</v>
      </c>
      <c r="R833" s="6" t="s">
        <v>49</v>
      </c>
      <c r="S833" s="6" t="s">
        <v>54</v>
      </c>
      <c r="T833" s="6" t="s">
        <v>48</v>
      </c>
      <c r="U833" s="6" t="s">
        <v>28</v>
      </c>
      <c r="V833" s="6" t="s">
        <v>82</v>
      </c>
      <c r="W833" t="s">
        <v>354</v>
      </c>
    </row>
    <row r="834" spans="1:23" x14ac:dyDescent="0.3">
      <c r="A834" s="6" t="s">
        <v>299</v>
      </c>
      <c r="B834" s="1">
        <v>45723</v>
      </c>
      <c r="C834" s="6" t="s">
        <v>84</v>
      </c>
      <c r="D834" s="6" t="s">
        <v>60</v>
      </c>
      <c r="E834" s="6" t="s">
        <v>35</v>
      </c>
      <c r="F834" s="6" t="s">
        <v>24</v>
      </c>
      <c r="G834" s="6" t="s">
        <v>97</v>
      </c>
      <c r="H834" s="6" t="s">
        <v>26</v>
      </c>
      <c r="I834" s="6" t="s">
        <v>52</v>
      </c>
      <c r="J834" s="6" t="s">
        <v>60</v>
      </c>
      <c r="K834" s="6" t="s">
        <v>106</v>
      </c>
      <c r="L834" s="6" t="s">
        <v>54</v>
      </c>
      <c r="M834" s="6" t="s">
        <v>29</v>
      </c>
      <c r="N834" s="6" t="s">
        <v>28</v>
      </c>
      <c r="O834" s="6" t="s">
        <v>48</v>
      </c>
      <c r="P834" s="6" t="s">
        <v>48</v>
      </c>
      <c r="Q834" s="6" t="s">
        <v>48</v>
      </c>
      <c r="R834" s="6" t="s">
        <v>49</v>
      </c>
      <c r="S834" s="6" t="s">
        <v>54</v>
      </c>
      <c r="T834" s="6" t="s">
        <v>48</v>
      </c>
      <c r="U834" s="6" t="s">
        <v>28</v>
      </c>
      <c r="V834" s="6" t="s">
        <v>137</v>
      </c>
      <c r="W834" t="s">
        <v>354</v>
      </c>
    </row>
    <row r="835" spans="1:23" x14ac:dyDescent="0.3">
      <c r="A835" s="6" t="s">
        <v>300</v>
      </c>
      <c r="B835" s="1">
        <v>45727</v>
      </c>
      <c r="C835" s="6" t="s">
        <v>343</v>
      </c>
      <c r="D835" s="6" t="s">
        <v>81</v>
      </c>
      <c r="E835" s="6" t="s">
        <v>23</v>
      </c>
      <c r="F835" s="6" t="s">
        <v>24</v>
      </c>
      <c r="G835" s="6" t="s">
        <v>61</v>
      </c>
      <c r="H835" s="6" t="s">
        <v>26</v>
      </c>
      <c r="I835" s="6" t="s">
        <v>27</v>
      </c>
      <c r="J835" s="6" t="s">
        <v>81</v>
      </c>
      <c r="K835" s="6" t="s">
        <v>48</v>
      </c>
      <c r="L835" s="6" t="s">
        <v>54</v>
      </c>
      <c r="M835" s="6" t="s">
        <v>48</v>
      </c>
      <c r="N835" s="6" t="s">
        <v>28</v>
      </c>
      <c r="O835" s="6" t="s">
        <v>30</v>
      </c>
      <c r="P835" s="6" t="s">
        <v>48</v>
      </c>
      <c r="Q835" s="6" t="s">
        <v>48</v>
      </c>
      <c r="R835" s="6" t="s">
        <v>81</v>
      </c>
      <c r="S835" s="6" t="s">
        <v>54</v>
      </c>
      <c r="T835" s="6" t="s">
        <v>48</v>
      </c>
      <c r="U835" s="6" t="s">
        <v>28</v>
      </c>
      <c r="V835" s="6" t="s">
        <v>82</v>
      </c>
      <c r="W835" t="s">
        <v>354</v>
      </c>
    </row>
    <row r="836" spans="1:23" x14ac:dyDescent="0.3">
      <c r="A836" s="6" t="s">
        <v>301</v>
      </c>
      <c r="B836" s="1">
        <v>45727</v>
      </c>
      <c r="C836" s="6" t="s">
        <v>84</v>
      </c>
      <c r="D836" s="6" t="s">
        <v>43</v>
      </c>
      <c r="E836" s="6" t="s">
        <v>23</v>
      </c>
      <c r="F836" s="6" t="s">
        <v>24</v>
      </c>
      <c r="G836" s="6" t="s">
        <v>61</v>
      </c>
      <c r="H836" s="6" t="s">
        <v>26</v>
      </c>
      <c r="I836" s="6" t="s">
        <v>42</v>
      </c>
      <c r="J836" s="6" t="s">
        <v>43</v>
      </c>
      <c r="K836" s="6" t="s">
        <v>48</v>
      </c>
      <c r="L836" s="6" t="s">
        <v>54</v>
      </c>
      <c r="M836" s="6" t="s">
        <v>55</v>
      </c>
      <c r="N836" s="6" t="s">
        <v>28</v>
      </c>
      <c r="O836" s="6" t="s">
        <v>26</v>
      </c>
      <c r="P836" s="6" t="s">
        <v>37</v>
      </c>
      <c r="Q836" s="6" t="s">
        <v>31</v>
      </c>
      <c r="R836" s="6" t="s">
        <v>43</v>
      </c>
      <c r="S836" s="6" t="s">
        <v>54</v>
      </c>
      <c r="T836" s="6" t="s">
        <v>32</v>
      </c>
      <c r="U836" s="6" t="s">
        <v>28</v>
      </c>
      <c r="V836" s="6" t="s">
        <v>82</v>
      </c>
      <c r="W836" t="s">
        <v>354</v>
      </c>
    </row>
    <row r="837" spans="1:23" x14ac:dyDescent="0.3">
      <c r="A837" s="6" t="s">
        <v>302</v>
      </c>
      <c r="B837" s="1">
        <v>45730</v>
      </c>
      <c r="C837" s="6" t="s">
        <v>84</v>
      </c>
      <c r="D837" s="6" t="s">
        <v>117</v>
      </c>
      <c r="E837" s="6" t="s">
        <v>46</v>
      </c>
      <c r="F837" s="6" t="s">
        <v>24</v>
      </c>
      <c r="G837" s="6" t="s">
        <v>104</v>
      </c>
      <c r="H837" s="6" t="s">
        <v>26</v>
      </c>
      <c r="I837" s="6" t="s">
        <v>58</v>
      </c>
      <c r="J837" s="6" t="s">
        <v>117</v>
      </c>
      <c r="K837" s="6" t="s">
        <v>48</v>
      </c>
      <c r="L837" s="6" t="s">
        <v>152</v>
      </c>
      <c r="M837" s="6" t="s">
        <v>55</v>
      </c>
      <c r="N837" s="6" t="s">
        <v>28</v>
      </c>
      <c r="O837" s="6" t="s">
        <v>26</v>
      </c>
      <c r="P837" s="6" t="s">
        <v>42</v>
      </c>
      <c r="Q837" s="6" t="s">
        <v>31</v>
      </c>
      <c r="R837" s="6" t="s">
        <v>49</v>
      </c>
      <c r="S837" s="6" t="s">
        <v>128</v>
      </c>
      <c r="T837" s="6" t="s">
        <v>32</v>
      </c>
      <c r="U837" s="6" t="s">
        <v>28</v>
      </c>
      <c r="V837" s="6" t="s">
        <v>82</v>
      </c>
      <c r="W837" t="s">
        <v>354</v>
      </c>
    </row>
    <row r="838" spans="1:23" x14ac:dyDescent="0.3">
      <c r="A838" s="6" t="s">
        <v>303</v>
      </c>
      <c r="B838" s="1">
        <v>45731</v>
      </c>
      <c r="C838" s="6" t="s">
        <v>39</v>
      </c>
      <c r="D838" s="6" t="s">
        <v>81</v>
      </c>
      <c r="E838" s="6" t="s">
        <v>64</v>
      </c>
      <c r="F838" s="6" t="s">
        <v>24</v>
      </c>
      <c r="G838" s="6" t="s">
        <v>69</v>
      </c>
      <c r="H838" s="6" t="s">
        <v>26</v>
      </c>
      <c r="I838" s="6" t="s">
        <v>38</v>
      </c>
      <c r="J838" s="6" t="s">
        <v>81</v>
      </c>
      <c r="K838" s="6" t="s">
        <v>48</v>
      </c>
      <c r="L838" s="6" t="s">
        <v>54</v>
      </c>
      <c r="M838" s="6" t="s">
        <v>29</v>
      </c>
      <c r="N838" s="6" t="s">
        <v>28</v>
      </c>
      <c r="O838" s="6" t="s">
        <v>26</v>
      </c>
      <c r="P838" s="6" t="s">
        <v>58</v>
      </c>
      <c r="Q838" s="6" t="s">
        <v>31</v>
      </c>
      <c r="R838" s="6" t="s">
        <v>81</v>
      </c>
      <c r="S838" s="6" t="s">
        <v>54</v>
      </c>
      <c r="T838" s="6" t="s">
        <v>29</v>
      </c>
      <c r="U838" s="6" t="s">
        <v>28</v>
      </c>
      <c r="V838" s="6" t="s">
        <v>146</v>
      </c>
      <c r="W838" t="s">
        <v>354</v>
      </c>
    </row>
    <row r="839" spans="1:23" x14ac:dyDescent="0.3">
      <c r="A839" s="6" t="s">
        <v>304</v>
      </c>
      <c r="B839" s="1">
        <v>45733</v>
      </c>
      <c r="C839" s="6" t="s">
        <v>33</v>
      </c>
      <c r="D839" s="6" t="s">
        <v>95</v>
      </c>
      <c r="E839" s="6" t="s">
        <v>46</v>
      </c>
      <c r="F839" s="6" t="s">
        <v>24</v>
      </c>
      <c r="G839" s="6" t="s">
        <v>69</v>
      </c>
      <c r="H839" s="6" t="s">
        <v>48</v>
      </c>
      <c r="I839" s="6" t="s">
        <v>48</v>
      </c>
      <c r="J839" s="6" t="s">
        <v>95</v>
      </c>
      <c r="K839" s="6" t="s">
        <v>48</v>
      </c>
      <c r="L839" s="6" t="s">
        <v>54</v>
      </c>
      <c r="M839" s="6" t="s">
        <v>48</v>
      </c>
      <c r="N839" s="6" t="s">
        <v>28</v>
      </c>
      <c r="O839" s="6" t="s">
        <v>26</v>
      </c>
      <c r="P839" s="6" t="s">
        <v>37</v>
      </c>
      <c r="Q839" s="6" t="s">
        <v>31</v>
      </c>
      <c r="R839" s="6" t="s">
        <v>95</v>
      </c>
      <c r="S839" s="6" t="s">
        <v>54</v>
      </c>
      <c r="T839" s="6" t="s">
        <v>48</v>
      </c>
      <c r="U839" s="6" t="s">
        <v>28</v>
      </c>
      <c r="V839" s="6" t="s">
        <v>82</v>
      </c>
      <c r="W839" t="s">
        <v>354</v>
      </c>
    </row>
    <row r="840" spans="1:23" x14ac:dyDescent="0.3">
      <c r="A840" s="6" t="s">
        <v>304</v>
      </c>
      <c r="B840" s="1">
        <v>45733</v>
      </c>
      <c r="C840" s="6" t="s">
        <v>33</v>
      </c>
      <c r="D840" s="6" t="s">
        <v>95</v>
      </c>
      <c r="E840" s="6" t="s">
        <v>46</v>
      </c>
      <c r="F840" s="6" t="s">
        <v>24</v>
      </c>
      <c r="G840" s="6" t="s">
        <v>69</v>
      </c>
      <c r="H840" s="6" t="s">
        <v>48</v>
      </c>
      <c r="I840" s="6" t="s">
        <v>48</v>
      </c>
      <c r="J840" s="6" t="s">
        <v>95</v>
      </c>
      <c r="K840" s="6" t="s">
        <v>48</v>
      </c>
      <c r="L840" s="6" t="s">
        <v>54</v>
      </c>
      <c r="M840" s="6" t="s">
        <v>48</v>
      </c>
      <c r="N840" s="6" t="s">
        <v>28</v>
      </c>
      <c r="O840" s="6" t="s">
        <v>26</v>
      </c>
      <c r="P840" s="6" t="s">
        <v>37</v>
      </c>
      <c r="Q840" s="6" t="s">
        <v>31</v>
      </c>
      <c r="R840" s="6" t="s">
        <v>95</v>
      </c>
      <c r="S840" s="6" t="s">
        <v>54</v>
      </c>
      <c r="T840" s="6" t="s">
        <v>48</v>
      </c>
      <c r="U840" s="6" t="s">
        <v>28</v>
      </c>
      <c r="V840" s="6" t="s">
        <v>146</v>
      </c>
      <c r="W840" t="s">
        <v>354</v>
      </c>
    </row>
    <row r="841" spans="1:23" x14ac:dyDescent="0.3">
      <c r="A841" s="6" t="s">
        <v>305</v>
      </c>
      <c r="B841" s="1">
        <v>45733</v>
      </c>
      <c r="C841" s="6" t="s">
        <v>343</v>
      </c>
      <c r="D841" s="6" t="s">
        <v>40</v>
      </c>
      <c r="E841" s="6" t="s">
        <v>35</v>
      </c>
      <c r="F841" s="6" t="s">
        <v>24</v>
      </c>
      <c r="G841" s="6" t="s">
        <v>98</v>
      </c>
      <c r="H841" s="6" t="s">
        <v>48</v>
      </c>
      <c r="I841" s="6" t="s">
        <v>27</v>
      </c>
      <c r="J841" s="6" t="s">
        <v>40</v>
      </c>
      <c r="K841" s="6" t="s">
        <v>48</v>
      </c>
      <c r="L841" s="6" t="s">
        <v>54</v>
      </c>
      <c r="M841" s="6" t="s">
        <v>48</v>
      </c>
      <c r="N841" s="6" t="s">
        <v>28</v>
      </c>
      <c r="O841" s="6" t="s">
        <v>48</v>
      </c>
      <c r="P841" s="6" t="s">
        <v>48</v>
      </c>
      <c r="Q841" s="6" t="s">
        <v>48</v>
      </c>
      <c r="R841" s="6" t="s">
        <v>40</v>
      </c>
      <c r="S841" s="6" t="s">
        <v>54</v>
      </c>
      <c r="T841" s="6" t="s">
        <v>48</v>
      </c>
      <c r="U841" s="6" t="s">
        <v>94</v>
      </c>
      <c r="V841" s="6" t="s">
        <v>82</v>
      </c>
      <c r="W841" t="s">
        <v>354</v>
      </c>
    </row>
    <row r="842" spans="1:23" x14ac:dyDescent="0.3">
      <c r="A842" s="6" t="s">
        <v>305</v>
      </c>
      <c r="B842" s="1">
        <v>45733</v>
      </c>
      <c r="C842" s="6" t="s">
        <v>343</v>
      </c>
      <c r="D842" s="6" t="s">
        <v>40</v>
      </c>
      <c r="E842" s="6" t="s">
        <v>35</v>
      </c>
      <c r="F842" s="6" t="s">
        <v>24</v>
      </c>
      <c r="G842" s="6" t="s">
        <v>98</v>
      </c>
      <c r="H842" s="6" t="s">
        <v>48</v>
      </c>
      <c r="I842" s="6" t="s">
        <v>27</v>
      </c>
      <c r="J842" s="6" t="s">
        <v>40</v>
      </c>
      <c r="K842" s="6" t="s">
        <v>48</v>
      </c>
      <c r="L842" s="6" t="s">
        <v>54</v>
      </c>
      <c r="M842" s="6" t="s">
        <v>48</v>
      </c>
      <c r="N842" s="6" t="s">
        <v>28</v>
      </c>
      <c r="O842" s="6" t="s">
        <v>48</v>
      </c>
      <c r="P842" s="6" t="s">
        <v>48</v>
      </c>
      <c r="Q842" s="6" t="s">
        <v>48</v>
      </c>
      <c r="R842" s="6" t="s">
        <v>40</v>
      </c>
      <c r="S842" s="6" t="s">
        <v>54</v>
      </c>
      <c r="T842" s="6" t="s">
        <v>48</v>
      </c>
      <c r="U842" s="6" t="s">
        <v>94</v>
      </c>
      <c r="V842" s="6" t="s">
        <v>146</v>
      </c>
      <c r="W842" t="s">
        <v>354</v>
      </c>
    </row>
    <row r="843" spans="1:23" x14ac:dyDescent="0.3">
      <c r="A843" s="6" t="s">
        <v>306</v>
      </c>
      <c r="B843" s="1">
        <v>45733</v>
      </c>
      <c r="C843" s="6" t="s">
        <v>343</v>
      </c>
      <c r="D843" s="6" t="s">
        <v>40</v>
      </c>
      <c r="E843" s="6" t="s">
        <v>35</v>
      </c>
      <c r="F843" s="6" t="s">
        <v>24</v>
      </c>
      <c r="G843" s="6" t="s">
        <v>46</v>
      </c>
      <c r="H843" s="6" t="s">
        <v>26</v>
      </c>
      <c r="I843" s="6" t="s">
        <v>37</v>
      </c>
      <c r="J843" s="6" t="s">
        <v>40</v>
      </c>
      <c r="K843" s="6" t="s">
        <v>48</v>
      </c>
      <c r="L843" s="6" t="s">
        <v>54</v>
      </c>
      <c r="M843" s="6" t="s">
        <v>32</v>
      </c>
      <c r="N843" s="6" t="s">
        <v>28</v>
      </c>
      <c r="O843" s="6" t="s">
        <v>48</v>
      </c>
      <c r="P843" s="6" t="s">
        <v>48</v>
      </c>
      <c r="Q843" s="6" t="s">
        <v>48</v>
      </c>
      <c r="R843" s="6" t="s">
        <v>49</v>
      </c>
      <c r="S843" s="6" t="s">
        <v>54</v>
      </c>
      <c r="T843" s="6" t="s">
        <v>48</v>
      </c>
      <c r="U843" s="6" t="s">
        <v>28</v>
      </c>
      <c r="V843" s="6" t="s">
        <v>82</v>
      </c>
      <c r="W843" t="s">
        <v>354</v>
      </c>
    </row>
    <row r="844" spans="1:23" x14ac:dyDescent="0.3">
      <c r="A844" s="6" t="s">
        <v>307</v>
      </c>
      <c r="B844" s="1">
        <v>45733</v>
      </c>
      <c r="C844" s="6" t="s">
        <v>84</v>
      </c>
      <c r="D844" s="6" t="s">
        <v>40</v>
      </c>
      <c r="E844" s="6" t="s">
        <v>46</v>
      </c>
      <c r="F844" s="6" t="s">
        <v>24</v>
      </c>
      <c r="G844" s="6" t="s">
        <v>145</v>
      </c>
      <c r="H844" s="6" t="s">
        <v>26</v>
      </c>
      <c r="I844" s="6" t="s">
        <v>52</v>
      </c>
      <c r="J844" s="6" t="s">
        <v>40</v>
      </c>
      <c r="K844" s="6" t="s">
        <v>48</v>
      </c>
      <c r="L844" s="6" t="s">
        <v>152</v>
      </c>
      <c r="M844" s="6" t="s">
        <v>55</v>
      </c>
      <c r="N844" s="6" t="s">
        <v>28</v>
      </c>
      <c r="O844" s="6" t="s">
        <v>26</v>
      </c>
      <c r="P844" s="6" t="s">
        <v>788</v>
      </c>
      <c r="Q844" s="6" t="s">
        <v>31</v>
      </c>
      <c r="R844" s="6" t="s">
        <v>40</v>
      </c>
      <c r="S844" s="6" t="s">
        <v>54</v>
      </c>
      <c r="T844" s="6" t="s">
        <v>32</v>
      </c>
      <c r="U844" s="6" t="s">
        <v>28</v>
      </c>
      <c r="V844" s="6" t="s">
        <v>146</v>
      </c>
      <c r="W844" t="s">
        <v>354</v>
      </c>
    </row>
    <row r="845" spans="1:23" x14ac:dyDescent="0.3">
      <c r="A845" s="6" t="s">
        <v>308</v>
      </c>
      <c r="B845" s="1">
        <v>45733</v>
      </c>
      <c r="C845" s="6" t="s">
        <v>343</v>
      </c>
      <c r="D845" s="6" t="s">
        <v>22</v>
      </c>
      <c r="E845" s="6" t="s">
        <v>68</v>
      </c>
      <c r="F845" s="6" t="s">
        <v>24</v>
      </c>
      <c r="G845" s="6" t="s">
        <v>98</v>
      </c>
      <c r="H845" s="6" t="s">
        <v>26</v>
      </c>
      <c r="I845" s="6" t="s">
        <v>52</v>
      </c>
      <c r="J845" s="6" t="s">
        <v>22</v>
      </c>
      <c r="K845" s="6" t="s">
        <v>106</v>
      </c>
      <c r="L845" s="6" t="s">
        <v>54</v>
      </c>
      <c r="M845" s="6" t="s">
        <v>29</v>
      </c>
      <c r="N845" s="6" t="s">
        <v>28</v>
      </c>
      <c r="O845" s="6" t="s">
        <v>48</v>
      </c>
      <c r="P845" s="6" t="s">
        <v>48</v>
      </c>
      <c r="Q845" s="6" t="s">
        <v>48</v>
      </c>
      <c r="R845" s="6" t="s">
        <v>22</v>
      </c>
      <c r="S845" s="6" t="s">
        <v>54</v>
      </c>
      <c r="T845" s="6" t="s">
        <v>48</v>
      </c>
      <c r="U845" s="6" t="s">
        <v>149</v>
      </c>
      <c r="V845" s="6" t="s">
        <v>146</v>
      </c>
      <c r="W845" t="s">
        <v>354</v>
      </c>
    </row>
    <row r="846" spans="1:23" x14ac:dyDescent="0.3">
      <c r="A846" s="6" t="s">
        <v>308</v>
      </c>
      <c r="B846" s="1">
        <v>45733</v>
      </c>
      <c r="C846" s="6" t="s">
        <v>343</v>
      </c>
      <c r="D846" s="6" t="s">
        <v>22</v>
      </c>
      <c r="E846" s="6" t="s">
        <v>68</v>
      </c>
      <c r="F846" s="6" t="s">
        <v>24</v>
      </c>
      <c r="G846" s="6" t="s">
        <v>98</v>
      </c>
      <c r="H846" s="6" t="s">
        <v>26</v>
      </c>
      <c r="I846" s="6" t="s">
        <v>52</v>
      </c>
      <c r="J846" s="6" t="s">
        <v>22</v>
      </c>
      <c r="K846" s="6" t="s">
        <v>106</v>
      </c>
      <c r="L846" s="6" t="s">
        <v>54</v>
      </c>
      <c r="M846" s="6" t="s">
        <v>29</v>
      </c>
      <c r="N846" s="6" t="s">
        <v>28</v>
      </c>
      <c r="O846" s="6" t="s">
        <v>48</v>
      </c>
      <c r="P846" s="6" t="s">
        <v>48</v>
      </c>
      <c r="Q846" s="6" t="s">
        <v>48</v>
      </c>
      <c r="R846" s="6" t="s">
        <v>22</v>
      </c>
      <c r="S846" s="6" t="s">
        <v>54</v>
      </c>
      <c r="T846" s="6" t="s">
        <v>48</v>
      </c>
      <c r="U846" s="6" t="s">
        <v>149</v>
      </c>
      <c r="V846" s="6" t="s">
        <v>82</v>
      </c>
      <c r="W846" t="s">
        <v>354</v>
      </c>
    </row>
    <row r="847" spans="1:23" x14ac:dyDescent="0.3">
      <c r="A847" s="6" t="s">
        <v>309</v>
      </c>
      <c r="B847" s="1">
        <v>45733</v>
      </c>
      <c r="C847" s="6" t="s">
        <v>84</v>
      </c>
      <c r="D847" s="6" t="s">
        <v>48</v>
      </c>
      <c r="E847" s="6" t="s">
        <v>23</v>
      </c>
      <c r="F847" s="6" t="s">
        <v>24</v>
      </c>
      <c r="G847" s="6" t="s">
        <v>61</v>
      </c>
      <c r="H847" s="6" t="s">
        <v>26</v>
      </c>
      <c r="I847" s="6" t="s">
        <v>52</v>
      </c>
      <c r="J847" s="6" t="s">
        <v>83</v>
      </c>
      <c r="K847" s="6" t="s">
        <v>48</v>
      </c>
      <c r="L847" s="6" t="s">
        <v>54</v>
      </c>
      <c r="M847" s="6" t="s">
        <v>55</v>
      </c>
      <c r="N847" s="6" t="s">
        <v>28</v>
      </c>
      <c r="O847" s="6" t="s">
        <v>26</v>
      </c>
      <c r="P847" s="6" t="s">
        <v>48</v>
      </c>
      <c r="Q847" s="6" t="s">
        <v>48</v>
      </c>
      <c r="R847" s="6" t="s">
        <v>93</v>
      </c>
      <c r="S847" s="6" t="s">
        <v>54</v>
      </c>
      <c r="T847" s="6" t="s">
        <v>32</v>
      </c>
      <c r="U847" s="6" t="s">
        <v>28</v>
      </c>
      <c r="V847" s="6" t="s">
        <v>82</v>
      </c>
      <c r="W847" t="s">
        <v>354</v>
      </c>
    </row>
    <row r="848" spans="1:23" x14ac:dyDescent="0.3">
      <c r="A848" s="6" t="s">
        <v>310</v>
      </c>
      <c r="B848" s="1">
        <v>45734</v>
      </c>
      <c r="C848" s="6" t="s">
        <v>343</v>
      </c>
      <c r="D848" s="6" t="s">
        <v>40</v>
      </c>
      <c r="E848" s="6" t="s">
        <v>64</v>
      </c>
      <c r="F848" s="6" t="s">
        <v>24</v>
      </c>
      <c r="G848" s="6" t="s">
        <v>69</v>
      </c>
      <c r="H848" s="6" t="s">
        <v>48</v>
      </c>
      <c r="I848" s="6" t="s">
        <v>52</v>
      </c>
      <c r="J848" s="6" t="s">
        <v>40</v>
      </c>
      <c r="K848" s="6" t="s">
        <v>48</v>
      </c>
      <c r="L848" s="6" t="s">
        <v>152</v>
      </c>
      <c r="M848" s="6" t="s">
        <v>48</v>
      </c>
      <c r="N848" s="6" t="s">
        <v>159</v>
      </c>
      <c r="O848" s="6" t="s">
        <v>26</v>
      </c>
      <c r="P848" s="6" t="s">
        <v>48</v>
      </c>
      <c r="Q848" s="6" t="s">
        <v>31</v>
      </c>
      <c r="R848" s="6" t="s">
        <v>40</v>
      </c>
      <c r="S848" s="6" t="s">
        <v>54</v>
      </c>
      <c r="T848" s="6" t="s">
        <v>48</v>
      </c>
      <c r="U848" s="6" t="s">
        <v>28</v>
      </c>
      <c r="V848" s="6" t="s">
        <v>82</v>
      </c>
      <c r="W848" t="s">
        <v>354</v>
      </c>
    </row>
    <row r="849" spans="1:23" x14ac:dyDescent="0.3">
      <c r="A849" s="6" t="s">
        <v>310</v>
      </c>
      <c r="B849" s="1">
        <v>45734</v>
      </c>
      <c r="C849" s="6" t="s">
        <v>343</v>
      </c>
      <c r="D849" s="6" t="s">
        <v>40</v>
      </c>
      <c r="E849" s="6" t="s">
        <v>64</v>
      </c>
      <c r="F849" s="6" t="s">
        <v>24</v>
      </c>
      <c r="G849" s="6" t="s">
        <v>69</v>
      </c>
      <c r="H849" s="6" t="s">
        <v>48</v>
      </c>
      <c r="I849" s="6" t="s">
        <v>52</v>
      </c>
      <c r="J849" s="6" t="s">
        <v>40</v>
      </c>
      <c r="K849" s="6" t="s">
        <v>48</v>
      </c>
      <c r="L849" s="6" t="s">
        <v>152</v>
      </c>
      <c r="M849" s="6" t="s">
        <v>48</v>
      </c>
      <c r="N849" s="6" t="s">
        <v>159</v>
      </c>
      <c r="O849" s="6" t="s">
        <v>26</v>
      </c>
      <c r="P849" s="6" t="s">
        <v>48</v>
      </c>
      <c r="Q849" s="6" t="s">
        <v>31</v>
      </c>
      <c r="R849" s="6" t="s">
        <v>40</v>
      </c>
      <c r="S849" s="6" t="s">
        <v>54</v>
      </c>
      <c r="T849" s="6" t="s">
        <v>48</v>
      </c>
      <c r="U849" s="6" t="s">
        <v>28</v>
      </c>
      <c r="V849" s="6" t="s">
        <v>146</v>
      </c>
      <c r="W849" t="s">
        <v>354</v>
      </c>
    </row>
    <row r="850" spans="1:23" x14ac:dyDescent="0.3">
      <c r="A850" s="6" t="s">
        <v>311</v>
      </c>
      <c r="B850" s="1">
        <v>45734</v>
      </c>
      <c r="C850" s="6" t="s">
        <v>343</v>
      </c>
      <c r="D850" s="6" t="s">
        <v>40</v>
      </c>
      <c r="E850" s="6" t="s">
        <v>46</v>
      </c>
      <c r="F850" s="6" t="s">
        <v>24</v>
      </c>
      <c r="G850" s="6" t="s">
        <v>69</v>
      </c>
      <c r="H850" s="6" t="s">
        <v>26</v>
      </c>
      <c r="I850" s="6" t="s">
        <v>27</v>
      </c>
      <c r="J850" s="6" t="s">
        <v>40</v>
      </c>
      <c r="K850" s="6" t="s">
        <v>48</v>
      </c>
      <c r="L850" s="6" t="s">
        <v>54</v>
      </c>
      <c r="M850" s="6" t="s">
        <v>55</v>
      </c>
      <c r="N850" s="6" t="s">
        <v>28</v>
      </c>
      <c r="O850" s="6" t="s">
        <v>26</v>
      </c>
      <c r="P850" s="6" t="s">
        <v>48</v>
      </c>
      <c r="Q850" s="6" t="s">
        <v>31</v>
      </c>
      <c r="R850" s="6" t="s">
        <v>40</v>
      </c>
      <c r="S850" s="6" t="s">
        <v>54</v>
      </c>
      <c r="T850" s="6" t="s">
        <v>32</v>
      </c>
      <c r="U850" s="6" t="s">
        <v>28</v>
      </c>
      <c r="V850" s="6" t="s">
        <v>82</v>
      </c>
      <c r="W850" t="s">
        <v>354</v>
      </c>
    </row>
    <row r="851" spans="1:23" x14ac:dyDescent="0.3">
      <c r="A851" s="6" t="s">
        <v>312</v>
      </c>
      <c r="B851" s="1">
        <v>45734</v>
      </c>
      <c r="C851" s="6" t="s">
        <v>33</v>
      </c>
      <c r="D851" s="6" t="s">
        <v>40</v>
      </c>
      <c r="E851" s="6" t="s">
        <v>46</v>
      </c>
      <c r="F851" s="6" t="s">
        <v>24</v>
      </c>
      <c r="G851" s="6" t="s">
        <v>69</v>
      </c>
      <c r="H851" s="6" t="s">
        <v>26</v>
      </c>
      <c r="I851" s="6" t="s">
        <v>27</v>
      </c>
      <c r="J851" s="6" t="s">
        <v>40</v>
      </c>
      <c r="K851" s="6" t="s">
        <v>120</v>
      </c>
      <c r="L851" s="6" t="s">
        <v>54</v>
      </c>
      <c r="M851" s="6" t="s">
        <v>55</v>
      </c>
      <c r="N851" s="6" t="s">
        <v>28</v>
      </c>
      <c r="O851" s="6" t="s">
        <v>26</v>
      </c>
      <c r="P851" s="6" t="s">
        <v>37</v>
      </c>
      <c r="Q851" s="6" t="s">
        <v>31</v>
      </c>
      <c r="R851" s="6" t="s">
        <v>40</v>
      </c>
      <c r="S851" s="6" t="s">
        <v>54</v>
      </c>
      <c r="T851" s="6" t="s">
        <v>29</v>
      </c>
      <c r="U851" s="6" t="s">
        <v>28</v>
      </c>
      <c r="V851" s="6" t="s">
        <v>82</v>
      </c>
      <c r="W851" t="s">
        <v>354</v>
      </c>
    </row>
    <row r="852" spans="1:23" x14ac:dyDescent="0.3">
      <c r="A852" s="6" t="s">
        <v>312</v>
      </c>
      <c r="B852" s="1">
        <v>45734</v>
      </c>
      <c r="C852" s="6" t="s">
        <v>33</v>
      </c>
      <c r="D852" s="6" t="s">
        <v>40</v>
      </c>
      <c r="E852" s="6" t="s">
        <v>46</v>
      </c>
      <c r="F852" s="6" t="s">
        <v>24</v>
      </c>
      <c r="G852" s="6" t="s">
        <v>69</v>
      </c>
      <c r="H852" s="6" t="s">
        <v>26</v>
      </c>
      <c r="I852" s="6" t="s">
        <v>27</v>
      </c>
      <c r="J852" s="6" t="s">
        <v>40</v>
      </c>
      <c r="K852" s="6" t="s">
        <v>120</v>
      </c>
      <c r="L852" s="6" t="s">
        <v>54</v>
      </c>
      <c r="M852" s="6" t="s">
        <v>55</v>
      </c>
      <c r="N852" s="6" t="s">
        <v>28</v>
      </c>
      <c r="O852" s="6" t="s">
        <v>26</v>
      </c>
      <c r="P852" s="6" t="s">
        <v>37</v>
      </c>
      <c r="Q852" s="6" t="s">
        <v>31</v>
      </c>
      <c r="R852" s="6" t="s">
        <v>40</v>
      </c>
      <c r="S852" s="6" t="s">
        <v>54</v>
      </c>
      <c r="T852" s="6" t="s">
        <v>29</v>
      </c>
      <c r="U852" s="6" t="s">
        <v>28</v>
      </c>
      <c r="V852" s="6" t="s">
        <v>146</v>
      </c>
      <c r="W852" t="s">
        <v>354</v>
      </c>
    </row>
    <row r="853" spans="1:23" x14ac:dyDescent="0.3">
      <c r="A853" s="6" t="s">
        <v>313</v>
      </c>
      <c r="B853" s="1">
        <v>45734</v>
      </c>
      <c r="C853" s="6" t="s">
        <v>33</v>
      </c>
      <c r="D853" s="6" t="s">
        <v>40</v>
      </c>
      <c r="E853" s="6" t="s">
        <v>35</v>
      </c>
      <c r="F853" s="6" t="s">
        <v>24</v>
      </c>
      <c r="G853" s="6" t="s">
        <v>69</v>
      </c>
      <c r="H853" s="6" t="s">
        <v>48</v>
      </c>
      <c r="I853" s="6" t="s">
        <v>38</v>
      </c>
      <c r="J853" s="6" t="s">
        <v>40</v>
      </c>
      <c r="K853" s="6" t="s">
        <v>48</v>
      </c>
      <c r="L853" s="6" t="s">
        <v>152</v>
      </c>
      <c r="M853" s="6" t="s">
        <v>48</v>
      </c>
      <c r="N853" s="6" t="s">
        <v>28</v>
      </c>
      <c r="O853" s="6" t="s">
        <v>48</v>
      </c>
      <c r="P853" s="6" t="s">
        <v>48</v>
      </c>
      <c r="Q853" s="6" t="s">
        <v>48</v>
      </c>
      <c r="R853" s="6" t="s">
        <v>40</v>
      </c>
      <c r="S853" s="6" t="s">
        <v>54</v>
      </c>
      <c r="T853" s="6" t="s">
        <v>48</v>
      </c>
      <c r="U853" s="6" t="s">
        <v>56</v>
      </c>
      <c r="V853" s="6" t="s">
        <v>82</v>
      </c>
      <c r="W853" t="s">
        <v>354</v>
      </c>
    </row>
    <row r="854" spans="1:23" x14ac:dyDescent="0.3">
      <c r="A854" s="6" t="s">
        <v>314</v>
      </c>
      <c r="B854" s="1">
        <v>45734</v>
      </c>
      <c r="C854" s="6" t="s">
        <v>33</v>
      </c>
      <c r="D854" s="6" t="s">
        <v>40</v>
      </c>
      <c r="E854" s="6" t="s">
        <v>35</v>
      </c>
      <c r="F854" s="6" t="s">
        <v>24</v>
      </c>
      <c r="G854" s="6" t="s">
        <v>69</v>
      </c>
      <c r="H854" s="6" t="s">
        <v>48</v>
      </c>
      <c r="I854" s="6" t="s">
        <v>38</v>
      </c>
      <c r="J854" s="6" t="s">
        <v>40</v>
      </c>
      <c r="K854" s="6" t="s">
        <v>48</v>
      </c>
      <c r="L854" s="6" t="s">
        <v>152</v>
      </c>
      <c r="M854" s="6" t="s">
        <v>48</v>
      </c>
      <c r="N854" s="6" t="s">
        <v>28</v>
      </c>
      <c r="O854" s="6" t="s">
        <v>26</v>
      </c>
      <c r="P854" s="6" t="s">
        <v>48</v>
      </c>
      <c r="Q854" s="6" t="s">
        <v>31</v>
      </c>
      <c r="R854" s="6" t="s">
        <v>40</v>
      </c>
      <c r="S854" s="6" t="s">
        <v>54</v>
      </c>
      <c r="T854" s="6" t="s">
        <v>48</v>
      </c>
      <c r="U854" s="6" t="s">
        <v>28</v>
      </c>
      <c r="V854" s="6" t="s">
        <v>82</v>
      </c>
      <c r="W854" t="s">
        <v>354</v>
      </c>
    </row>
    <row r="855" spans="1:23" x14ac:dyDescent="0.3">
      <c r="A855" s="6" t="s">
        <v>315</v>
      </c>
      <c r="B855" s="1">
        <v>45734</v>
      </c>
      <c r="C855" s="6" t="s">
        <v>343</v>
      </c>
      <c r="D855" s="6" t="s">
        <v>60</v>
      </c>
      <c r="E855" s="6" t="s">
        <v>46</v>
      </c>
      <c r="F855" s="6" t="s">
        <v>24</v>
      </c>
      <c r="G855" s="6" t="s">
        <v>71</v>
      </c>
      <c r="H855" s="6" t="s">
        <v>26</v>
      </c>
      <c r="I855" s="6" t="s">
        <v>27</v>
      </c>
      <c r="J855" s="6" t="s">
        <v>60</v>
      </c>
      <c r="K855" s="6" t="s">
        <v>48</v>
      </c>
      <c r="L855" s="6" t="s">
        <v>54</v>
      </c>
      <c r="M855" s="6" t="s">
        <v>32</v>
      </c>
      <c r="N855" s="6" t="s">
        <v>28</v>
      </c>
      <c r="O855" s="6" t="s">
        <v>30</v>
      </c>
      <c r="P855" s="6" t="s">
        <v>48</v>
      </c>
      <c r="Q855" s="6" t="s">
        <v>31</v>
      </c>
      <c r="R855" s="6" t="s">
        <v>60</v>
      </c>
      <c r="S855" s="6" t="s">
        <v>54</v>
      </c>
      <c r="T855" s="6" t="s">
        <v>32</v>
      </c>
      <c r="U855" s="6" t="s">
        <v>28</v>
      </c>
      <c r="V855" s="6" t="s">
        <v>82</v>
      </c>
      <c r="W855" t="s">
        <v>354</v>
      </c>
    </row>
    <row r="856" spans="1:23" x14ac:dyDescent="0.3">
      <c r="A856" s="6" t="s">
        <v>316</v>
      </c>
      <c r="B856" s="1">
        <v>45734</v>
      </c>
      <c r="C856" s="6" t="s">
        <v>343</v>
      </c>
      <c r="D856" s="6" t="s">
        <v>40</v>
      </c>
      <c r="E856" s="6" t="s">
        <v>64</v>
      </c>
      <c r="F856" s="6" t="s">
        <v>24</v>
      </c>
      <c r="G856" s="6" t="s">
        <v>69</v>
      </c>
      <c r="H856" s="6" t="s">
        <v>48</v>
      </c>
      <c r="I856" s="6" t="s">
        <v>27</v>
      </c>
      <c r="J856" s="6" t="s">
        <v>40</v>
      </c>
      <c r="K856" s="6" t="s">
        <v>48</v>
      </c>
      <c r="L856" s="6" t="s">
        <v>54</v>
      </c>
      <c r="M856" s="6" t="s">
        <v>48</v>
      </c>
      <c r="N856" s="6" t="s">
        <v>28</v>
      </c>
      <c r="O856" s="6" t="s">
        <v>30</v>
      </c>
      <c r="P856" s="6" t="s">
        <v>48</v>
      </c>
      <c r="Q856" s="6" t="s">
        <v>48</v>
      </c>
      <c r="R856" s="6" t="s">
        <v>40</v>
      </c>
      <c r="S856" s="6" t="s">
        <v>54</v>
      </c>
      <c r="T856" s="6" t="s">
        <v>48</v>
      </c>
      <c r="U856" s="6" t="s">
        <v>28</v>
      </c>
      <c r="V856" s="6" t="s">
        <v>146</v>
      </c>
      <c r="W856" t="s">
        <v>354</v>
      </c>
    </row>
    <row r="857" spans="1:23" x14ac:dyDescent="0.3">
      <c r="A857" s="6" t="s">
        <v>316</v>
      </c>
      <c r="B857" s="1">
        <v>45734</v>
      </c>
      <c r="C857" s="6" t="s">
        <v>343</v>
      </c>
      <c r="D857" s="6" t="s">
        <v>40</v>
      </c>
      <c r="E857" s="6" t="s">
        <v>64</v>
      </c>
      <c r="F857" s="6" t="s">
        <v>24</v>
      </c>
      <c r="G857" s="6" t="s">
        <v>69</v>
      </c>
      <c r="H857" s="6" t="s">
        <v>48</v>
      </c>
      <c r="I857" s="6" t="s">
        <v>27</v>
      </c>
      <c r="J857" s="6" t="s">
        <v>40</v>
      </c>
      <c r="K857" s="6" t="s">
        <v>48</v>
      </c>
      <c r="L857" s="6" t="s">
        <v>54</v>
      </c>
      <c r="M857" s="6" t="s">
        <v>48</v>
      </c>
      <c r="N857" s="6" t="s">
        <v>28</v>
      </c>
      <c r="O857" s="6" t="s">
        <v>30</v>
      </c>
      <c r="P857" s="6" t="s">
        <v>48</v>
      </c>
      <c r="Q857" s="6" t="s">
        <v>48</v>
      </c>
      <c r="R857" s="6" t="s">
        <v>40</v>
      </c>
      <c r="S857" s="6" t="s">
        <v>54</v>
      </c>
      <c r="T857" s="6" t="s">
        <v>48</v>
      </c>
      <c r="U857" s="6" t="s">
        <v>28</v>
      </c>
      <c r="V857" s="6" t="s">
        <v>82</v>
      </c>
      <c r="W857" t="s">
        <v>354</v>
      </c>
    </row>
    <row r="858" spans="1:23" x14ac:dyDescent="0.3">
      <c r="A858" s="6" t="s">
        <v>317</v>
      </c>
      <c r="B858" s="1">
        <v>45734</v>
      </c>
      <c r="C858" s="6" t="s">
        <v>343</v>
      </c>
      <c r="D858" s="6" t="s">
        <v>40</v>
      </c>
      <c r="E858" s="6" t="s">
        <v>46</v>
      </c>
      <c r="F858" s="6" t="s">
        <v>24</v>
      </c>
      <c r="G858" s="6" t="s">
        <v>69</v>
      </c>
      <c r="H858" s="6" t="s">
        <v>26</v>
      </c>
      <c r="I858" s="6" t="s">
        <v>38</v>
      </c>
      <c r="J858" s="6" t="s">
        <v>40</v>
      </c>
      <c r="K858" s="6" t="s">
        <v>48</v>
      </c>
      <c r="L858" s="6" t="s">
        <v>152</v>
      </c>
      <c r="M858" s="6" t="s">
        <v>55</v>
      </c>
      <c r="N858" s="6" t="s">
        <v>28</v>
      </c>
      <c r="O858" s="6" t="s">
        <v>26</v>
      </c>
      <c r="P858" s="6" t="s">
        <v>48</v>
      </c>
      <c r="Q858" s="6" t="s">
        <v>48</v>
      </c>
      <c r="R858" s="6" t="s">
        <v>40</v>
      </c>
      <c r="S858" s="6" t="s">
        <v>54</v>
      </c>
      <c r="T858" s="6" t="s">
        <v>48</v>
      </c>
      <c r="U858" s="6" t="s">
        <v>28</v>
      </c>
      <c r="V858" s="6" t="s">
        <v>82</v>
      </c>
      <c r="W858" t="s">
        <v>354</v>
      </c>
    </row>
    <row r="859" spans="1:23" x14ac:dyDescent="0.3">
      <c r="A859" s="6" t="s">
        <v>317</v>
      </c>
      <c r="B859" s="1">
        <v>45734</v>
      </c>
      <c r="C859" s="6" t="s">
        <v>343</v>
      </c>
      <c r="D859" s="6" t="s">
        <v>40</v>
      </c>
      <c r="E859" s="6" t="s">
        <v>46</v>
      </c>
      <c r="F859" s="6" t="s">
        <v>24</v>
      </c>
      <c r="G859" s="6" t="s">
        <v>69</v>
      </c>
      <c r="H859" s="6" t="s">
        <v>26</v>
      </c>
      <c r="I859" s="6" t="s">
        <v>38</v>
      </c>
      <c r="J859" s="6" t="s">
        <v>40</v>
      </c>
      <c r="K859" s="6" t="s">
        <v>48</v>
      </c>
      <c r="L859" s="6" t="s">
        <v>152</v>
      </c>
      <c r="M859" s="6" t="s">
        <v>55</v>
      </c>
      <c r="N859" s="6" t="s">
        <v>28</v>
      </c>
      <c r="O859" s="6" t="s">
        <v>26</v>
      </c>
      <c r="P859" s="6" t="s">
        <v>48</v>
      </c>
      <c r="Q859" s="6" t="s">
        <v>48</v>
      </c>
      <c r="R859" s="6" t="s">
        <v>40</v>
      </c>
      <c r="S859" s="6" t="s">
        <v>54</v>
      </c>
      <c r="T859" s="6" t="s">
        <v>48</v>
      </c>
      <c r="U859" s="6" t="s">
        <v>28</v>
      </c>
      <c r="V859" s="6" t="s">
        <v>146</v>
      </c>
      <c r="W859" t="s">
        <v>354</v>
      </c>
    </row>
    <row r="860" spans="1:23" x14ac:dyDescent="0.3">
      <c r="A860" s="6" t="s">
        <v>318</v>
      </c>
      <c r="B860" s="1">
        <v>45734</v>
      </c>
      <c r="C860" s="6" t="s">
        <v>57</v>
      </c>
      <c r="D860" s="6" t="s">
        <v>40</v>
      </c>
      <c r="E860" s="6" t="s">
        <v>73</v>
      </c>
      <c r="F860" s="6" t="s">
        <v>24</v>
      </c>
      <c r="G860" s="6" t="s">
        <v>61</v>
      </c>
      <c r="H860" s="6" t="s">
        <v>26</v>
      </c>
      <c r="I860" s="6" t="s">
        <v>27</v>
      </c>
      <c r="J860" s="6" t="s">
        <v>40</v>
      </c>
      <c r="K860" s="6" t="s">
        <v>115</v>
      </c>
      <c r="L860" s="6" t="s">
        <v>54</v>
      </c>
      <c r="M860" s="6" t="s">
        <v>29</v>
      </c>
      <c r="N860" s="6" t="s">
        <v>28</v>
      </c>
      <c r="O860" s="6" t="s">
        <v>26</v>
      </c>
      <c r="P860" s="6" t="s">
        <v>45</v>
      </c>
      <c r="Q860" s="6" t="s">
        <v>48</v>
      </c>
      <c r="R860" s="6" t="s">
        <v>40</v>
      </c>
      <c r="S860" s="6" t="s">
        <v>54</v>
      </c>
      <c r="T860" s="6" t="s">
        <v>32</v>
      </c>
      <c r="U860" s="6" t="s">
        <v>28</v>
      </c>
      <c r="V860" s="6" t="s">
        <v>137</v>
      </c>
      <c r="W860" t="s">
        <v>354</v>
      </c>
    </row>
    <row r="861" spans="1:23" x14ac:dyDescent="0.3">
      <c r="A861" s="6" t="s">
        <v>318</v>
      </c>
      <c r="B861" s="1">
        <v>45734</v>
      </c>
      <c r="C861" s="6" t="s">
        <v>57</v>
      </c>
      <c r="D861" s="6" t="s">
        <v>40</v>
      </c>
      <c r="E861" s="6" t="s">
        <v>73</v>
      </c>
      <c r="F861" s="6" t="s">
        <v>24</v>
      </c>
      <c r="G861" s="6" t="s">
        <v>61</v>
      </c>
      <c r="H861" s="6" t="s">
        <v>26</v>
      </c>
      <c r="I861" s="6" t="s">
        <v>27</v>
      </c>
      <c r="J861" s="6" t="s">
        <v>40</v>
      </c>
      <c r="K861" s="6" t="s">
        <v>115</v>
      </c>
      <c r="L861" s="6" t="s">
        <v>54</v>
      </c>
      <c r="M861" s="6" t="s">
        <v>29</v>
      </c>
      <c r="N861" s="6" t="s">
        <v>28</v>
      </c>
      <c r="O861" s="6" t="s">
        <v>26</v>
      </c>
      <c r="P861" s="6" t="s">
        <v>45</v>
      </c>
      <c r="Q861" s="6" t="s">
        <v>48</v>
      </c>
      <c r="R861" s="6" t="s">
        <v>40</v>
      </c>
      <c r="S861" s="6" t="s">
        <v>54</v>
      </c>
      <c r="T861" s="6" t="s">
        <v>32</v>
      </c>
      <c r="U861" s="6" t="s">
        <v>28</v>
      </c>
      <c r="V861" s="6" t="s">
        <v>82</v>
      </c>
      <c r="W861" t="s">
        <v>354</v>
      </c>
    </row>
    <row r="862" spans="1:23" x14ac:dyDescent="0.3">
      <c r="A862" s="6" t="s">
        <v>320</v>
      </c>
      <c r="B862" s="1">
        <v>45736</v>
      </c>
      <c r="C862" s="6" t="s">
        <v>343</v>
      </c>
      <c r="D862" s="6" t="s">
        <v>78</v>
      </c>
      <c r="E862" s="6" t="s">
        <v>46</v>
      </c>
      <c r="F862" s="6" t="s">
        <v>24</v>
      </c>
      <c r="G862" s="6" t="s">
        <v>71</v>
      </c>
      <c r="H862" s="6" t="s">
        <v>48</v>
      </c>
      <c r="I862" s="6" t="s">
        <v>58</v>
      </c>
      <c r="J862" s="6" t="s">
        <v>78</v>
      </c>
      <c r="K862" s="6" t="s">
        <v>48</v>
      </c>
      <c r="L862" s="6" t="s">
        <v>54</v>
      </c>
      <c r="M862" s="6" t="s">
        <v>48</v>
      </c>
      <c r="N862" s="6" t="s">
        <v>28</v>
      </c>
      <c r="O862" s="6" t="s">
        <v>26</v>
      </c>
      <c r="P862" s="6" t="s">
        <v>48</v>
      </c>
      <c r="Q862" s="6" t="s">
        <v>48</v>
      </c>
      <c r="R862" s="6" t="s">
        <v>78</v>
      </c>
      <c r="S862" s="6" t="s">
        <v>54</v>
      </c>
      <c r="T862" s="6" t="s">
        <v>48</v>
      </c>
      <c r="U862" s="6" t="s">
        <v>28</v>
      </c>
      <c r="V862" s="6" t="s">
        <v>82</v>
      </c>
      <c r="W862" t="s">
        <v>354</v>
      </c>
    </row>
    <row r="863" spans="1:23" x14ac:dyDescent="0.3">
      <c r="A863" s="6" t="s">
        <v>319</v>
      </c>
      <c r="B863" s="1">
        <v>45736</v>
      </c>
      <c r="C863" s="6" t="s">
        <v>343</v>
      </c>
      <c r="D863" s="6" t="s">
        <v>78</v>
      </c>
      <c r="E863" s="6" t="s">
        <v>46</v>
      </c>
      <c r="F863" s="6" t="s">
        <v>24</v>
      </c>
      <c r="G863" s="6" t="s">
        <v>71</v>
      </c>
      <c r="H863" s="6" t="s">
        <v>48</v>
      </c>
      <c r="I863" s="6" t="s">
        <v>58</v>
      </c>
      <c r="J863" s="6" t="s">
        <v>78</v>
      </c>
      <c r="K863" s="6" t="s">
        <v>48</v>
      </c>
      <c r="L863" s="6" t="s">
        <v>54</v>
      </c>
      <c r="M863" s="6" t="s">
        <v>48</v>
      </c>
      <c r="N863" s="6" t="s">
        <v>28</v>
      </c>
      <c r="O863" s="6" t="s">
        <v>26</v>
      </c>
      <c r="P863" s="6" t="s">
        <v>48</v>
      </c>
      <c r="Q863" s="6" t="s">
        <v>48</v>
      </c>
      <c r="R863" s="6" t="s">
        <v>78</v>
      </c>
      <c r="S863" s="6" t="s">
        <v>54</v>
      </c>
      <c r="T863" s="6" t="s">
        <v>48</v>
      </c>
      <c r="U863" s="6" t="s">
        <v>28</v>
      </c>
      <c r="V863" s="6" t="s">
        <v>146</v>
      </c>
      <c r="W863" t="s">
        <v>354</v>
      </c>
    </row>
    <row r="864" spans="1:23" x14ac:dyDescent="0.3">
      <c r="A864" s="6" t="s">
        <v>321</v>
      </c>
      <c r="B864" s="1">
        <v>45736</v>
      </c>
      <c r="C864" s="6" t="s">
        <v>343</v>
      </c>
      <c r="D864" s="6" t="s">
        <v>78</v>
      </c>
      <c r="E864" s="6" t="s">
        <v>46</v>
      </c>
      <c r="F864" s="6" t="s">
        <v>24</v>
      </c>
      <c r="G864" s="6" t="s">
        <v>71</v>
      </c>
      <c r="H864" s="6" t="s">
        <v>48</v>
      </c>
      <c r="I864" s="6" t="s">
        <v>58</v>
      </c>
      <c r="J864" s="6" t="s">
        <v>78</v>
      </c>
      <c r="K864" s="6" t="s">
        <v>48</v>
      </c>
      <c r="L864" s="6" t="s">
        <v>54</v>
      </c>
      <c r="M864" s="6" t="s">
        <v>48</v>
      </c>
      <c r="N864" s="6" t="s">
        <v>28</v>
      </c>
      <c r="O864" s="6" t="s">
        <v>26</v>
      </c>
      <c r="P864" s="6" t="s">
        <v>48</v>
      </c>
      <c r="Q864" s="6" t="s">
        <v>48</v>
      </c>
      <c r="R864" s="6" t="s">
        <v>78</v>
      </c>
      <c r="S864" s="6" t="s">
        <v>54</v>
      </c>
      <c r="T864" s="6" t="s">
        <v>48</v>
      </c>
      <c r="U864" s="6" t="s">
        <v>28</v>
      </c>
      <c r="V864" s="6" t="s">
        <v>137</v>
      </c>
      <c r="W864" t="s">
        <v>354</v>
      </c>
    </row>
    <row r="865" spans="1:23" x14ac:dyDescent="0.3">
      <c r="A865" s="6" t="s">
        <v>319</v>
      </c>
      <c r="B865" s="1">
        <v>45736</v>
      </c>
      <c r="C865" s="6" t="s">
        <v>343</v>
      </c>
      <c r="D865" s="6" t="s">
        <v>78</v>
      </c>
      <c r="E865" s="6" t="s">
        <v>46</v>
      </c>
      <c r="F865" s="6" t="s">
        <v>24</v>
      </c>
      <c r="G865" s="6" t="s">
        <v>71</v>
      </c>
      <c r="H865" s="6" t="s">
        <v>48</v>
      </c>
      <c r="I865" s="6" t="s">
        <v>58</v>
      </c>
      <c r="J865" s="6" t="s">
        <v>78</v>
      </c>
      <c r="K865" s="6" t="s">
        <v>48</v>
      </c>
      <c r="L865" s="6" t="s">
        <v>54</v>
      </c>
      <c r="M865" s="6" t="s">
        <v>48</v>
      </c>
      <c r="N865" s="6" t="s">
        <v>28</v>
      </c>
      <c r="O865" s="6" t="s">
        <v>26</v>
      </c>
      <c r="P865" s="6" t="s">
        <v>48</v>
      </c>
      <c r="Q865" s="6" t="s">
        <v>48</v>
      </c>
      <c r="R865" s="6" t="s">
        <v>78</v>
      </c>
      <c r="S865" s="6" t="s">
        <v>54</v>
      </c>
      <c r="T865" s="6" t="s">
        <v>48</v>
      </c>
      <c r="U865" s="6" t="s">
        <v>28</v>
      </c>
      <c r="V865" s="6" t="s">
        <v>137</v>
      </c>
      <c r="W865" t="s">
        <v>354</v>
      </c>
    </row>
    <row r="866" spans="1:23" x14ac:dyDescent="0.3">
      <c r="A866" s="6" t="s">
        <v>320</v>
      </c>
      <c r="B866" s="1">
        <v>45736</v>
      </c>
      <c r="C866" s="6" t="s">
        <v>343</v>
      </c>
      <c r="D866" s="6" t="s">
        <v>78</v>
      </c>
      <c r="E866" s="6" t="s">
        <v>46</v>
      </c>
      <c r="F866" s="6" t="s">
        <v>24</v>
      </c>
      <c r="G866" s="6" t="s">
        <v>71</v>
      </c>
      <c r="H866" s="6" t="s">
        <v>48</v>
      </c>
      <c r="I866" s="6" t="s">
        <v>58</v>
      </c>
      <c r="J866" s="6" t="s">
        <v>78</v>
      </c>
      <c r="K866" s="6" t="s">
        <v>48</v>
      </c>
      <c r="L866" s="6" t="s">
        <v>54</v>
      </c>
      <c r="M866" s="6" t="s">
        <v>48</v>
      </c>
      <c r="N866" s="6" t="s">
        <v>28</v>
      </c>
      <c r="O866" s="6" t="s">
        <v>26</v>
      </c>
      <c r="P866" s="6" t="s">
        <v>48</v>
      </c>
      <c r="Q866" s="6" t="s">
        <v>48</v>
      </c>
      <c r="R866" s="6" t="s">
        <v>78</v>
      </c>
      <c r="S866" s="6" t="s">
        <v>54</v>
      </c>
      <c r="T866" s="6" t="s">
        <v>48</v>
      </c>
      <c r="U866" s="6" t="s">
        <v>28</v>
      </c>
      <c r="V866" s="6" t="s">
        <v>137</v>
      </c>
      <c r="W866" t="s">
        <v>354</v>
      </c>
    </row>
    <row r="867" spans="1:23" x14ac:dyDescent="0.3">
      <c r="A867" s="6" t="s">
        <v>320</v>
      </c>
      <c r="B867" s="1">
        <v>45736</v>
      </c>
      <c r="C867" s="6" t="s">
        <v>343</v>
      </c>
      <c r="D867" s="6" t="s">
        <v>78</v>
      </c>
      <c r="E867" s="6" t="s">
        <v>46</v>
      </c>
      <c r="F867" s="6" t="s">
        <v>24</v>
      </c>
      <c r="G867" s="6" t="s">
        <v>71</v>
      </c>
      <c r="H867" s="6" t="s">
        <v>48</v>
      </c>
      <c r="I867" s="6" t="s">
        <v>58</v>
      </c>
      <c r="J867" s="6" t="s">
        <v>78</v>
      </c>
      <c r="K867" s="6" t="s">
        <v>48</v>
      </c>
      <c r="L867" s="6" t="s">
        <v>54</v>
      </c>
      <c r="M867" s="6" t="s">
        <v>48</v>
      </c>
      <c r="N867" s="6" t="s">
        <v>28</v>
      </c>
      <c r="O867" s="6" t="s">
        <v>26</v>
      </c>
      <c r="P867" s="6" t="s">
        <v>48</v>
      </c>
      <c r="Q867" s="6" t="s">
        <v>48</v>
      </c>
      <c r="R867" s="6" t="s">
        <v>78</v>
      </c>
      <c r="S867" s="6" t="s">
        <v>54</v>
      </c>
      <c r="T867" s="6" t="s">
        <v>48</v>
      </c>
      <c r="U867" s="6" t="s">
        <v>28</v>
      </c>
      <c r="V867" s="6" t="s">
        <v>146</v>
      </c>
      <c r="W867" t="s">
        <v>354</v>
      </c>
    </row>
    <row r="868" spans="1:23" x14ac:dyDescent="0.3">
      <c r="A868" s="6" t="s">
        <v>322</v>
      </c>
      <c r="B868" s="1">
        <v>45736</v>
      </c>
      <c r="C868" s="6" t="s">
        <v>343</v>
      </c>
      <c r="D868" s="6" t="s">
        <v>78</v>
      </c>
      <c r="E868" s="6" t="s">
        <v>46</v>
      </c>
      <c r="F868" s="6" t="s">
        <v>24</v>
      </c>
      <c r="G868" s="6" t="s">
        <v>71</v>
      </c>
      <c r="H868" s="6" t="s">
        <v>48</v>
      </c>
      <c r="I868" s="6" t="s">
        <v>58</v>
      </c>
      <c r="J868" s="6" t="s">
        <v>78</v>
      </c>
      <c r="K868" s="6" t="s">
        <v>48</v>
      </c>
      <c r="L868" s="6" t="s">
        <v>54</v>
      </c>
      <c r="M868" s="6" t="s">
        <v>48</v>
      </c>
      <c r="N868" s="6" t="s">
        <v>28</v>
      </c>
      <c r="O868" s="6" t="s">
        <v>26</v>
      </c>
      <c r="P868" s="6" t="s">
        <v>48</v>
      </c>
      <c r="Q868" s="6" t="s">
        <v>48</v>
      </c>
      <c r="R868" s="6" t="s">
        <v>78</v>
      </c>
      <c r="S868" s="6" t="s">
        <v>54</v>
      </c>
      <c r="T868" s="6" t="s">
        <v>48</v>
      </c>
      <c r="U868" s="6" t="s">
        <v>28</v>
      </c>
      <c r="V868" s="6" t="s">
        <v>146</v>
      </c>
      <c r="W868" t="s">
        <v>354</v>
      </c>
    </row>
    <row r="869" spans="1:23" x14ac:dyDescent="0.3">
      <c r="A869" s="6" t="s">
        <v>322</v>
      </c>
      <c r="B869" s="1">
        <v>45736</v>
      </c>
      <c r="C869" s="6" t="s">
        <v>343</v>
      </c>
      <c r="D869" s="6" t="s">
        <v>78</v>
      </c>
      <c r="E869" s="6" t="s">
        <v>46</v>
      </c>
      <c r="F869" s="6" t="s">
        <v>24</v>
      </c>
      <c r="G869" s="6" t="s">
        <v>71</v>
      </c>
      <c r="H869" s="6" t="s">
        <v>48</v>
      </c>
      <c r="I869" s="6" t="s">
        <v>58</v>
      </c>
      <c r="J869" s="6" t="s">
        <v>78</v>
      </c>
      <c r="K869" s="6" t="s">
        <v>48</v>
      </c>
      <c r="L869" s="6" t="s">
        <v>54</v>
      </c>
      <c r="M869" s="6" t="s">
        <v>48</v>
      </c>
      <c r="N869" s="6" t="s">
        <v>28</v>
      </c>
      <c r="O869" s="6" t="s">
        <v>26</v>
      </c>
      <c r="P869" s="6" t="s">
        <v>48</v>
      </c>
      <c r="Q869" s="6" t="s">
        <v>48</v>
      </c>
      <c r="R869" s="6" t="s">
        <v>78</v>
      </c>
      <c r="S869" s="6" t="s">
        <v>54</v>
      </c>
      <c r="T869" s="6" t="s">
        <v>48</v>
      </c>
      <c r="U869" s="6" t="s">
        <v>28</v>
      </c>
      <c r="V869" s="6" t="s">
        <v>82</v>
      </c>
      <c r="W869" t="s">
        <v>354</v>
      </c>
    </row>
    <row r="870" spans="1:23" x14ac:dyDescent="0.3">
      <c r="A870" s="6" t="s">
        <v>322</v>
      </c>
      <c r="B870" s="1">
        <v>45736</v>
      </c>
      <c r="C870" s="6" t="s">
        <v>343</v>
      </c>
      <c r="D870" s="6" t="s">
        <v>78</v>
      </c>
      <c r="E870" s="6" t="s">
        <v>46</v>
      </c>
      <c r="F870" s="6" t="s">
        <v>24</v>
      </c>
      <c r="G870" s="6" t="s">
        <v>71</v>
      </c>
      <c r="H870" s="6" t="s">
        <v>48</v>
      </c>
      <c r="I870" s="6" t="s">
        <v>58</v>
      </c>
      <c r="J870" s="6" t="s">
        <v>78</v>
      </c>
      <c r="K870" s="6" t="s">
        <v>48</v>
      </c>
      <c r="L870" s="6" t="s">
        <v>54</v>
      </c>
      <c r="M870" s="6" t="s">
        <v>48</v>
      </c>
      <c r="N870" s="6" t="s">
        <v>28</v>
      </c>
      <c r="O870" s="6" t="s">
        <v>26</v>
      </c>
      <c r="P870" s="6" t="s">
        <v>48</v>
      </c>
      <c r="Q870" s="6" t="s">
        <v>48</v>
      </c>
      <c r="R870" s="6" t="s">
        <v>78</v>
      </c>
      <c r="S870" s="6" t="s">
        <v>54</v>
      </c>
      <c r="T870" s="6" t="s">
        <v>48</v>
      </c>
      <c r="U870" s="6" t="s">
        <v>28</v>
      </c>
      <c r="V870" s="6" t="s">
        <v>137</v>
      </c>
      <c r="W870" t="s">
        <v>354</v>
      </c>
    </row>
    <row r="871" spans="1:23" x14ac:dyDescent="0.3">
      <c r="A871" s="6" t="s">
        <v>319</v>
      </c>
      <c r="B871" s="1">
        <v>45736</v>
      </c>
      <c r="C871" s="6" t="s">
        <v>343</v>
      </c>
      <c r="D871" s="6" t="s">
        <v>78</v>
      </c>
      <c r="E871" s="6" t="s">
        <v>46</v>
      </c>
      <c r="F871" s="6" t="s">
        <v>24</v>
      </c>
      <c r="G871" s="6" t="s">
        <v>71</v>
      </c>
      <c r="H871" s="6" t="s">
        <v>48</v>
      </c>
      <c r="I871" s="6" t="s">
        <v>58</v>
      </c>
      <c r="J871" s="6" t="s">
        <v>78</v>
      </c>
      <c r="K871" s="6" t="s">
        <v>48</v>
      </c>
      <c r="L871" s="6" t="s">
        <v>54</v>
      </c>
      <c r="M871" s="6" t="s">
        <v>48</v>
      </c>
      <c r="N871" s="6" t="s">
        <v>28</v>
      </c>
      <c r="O871" s="6" t="s">
        <v>26</v>
      </c>
      <c r="P871" s="6" t="s">
        <v>48</v>
      </c>
      <c r="Q871" s="6" t="s">
        <v>48</v>
      </c>
      <c r="R871" s="6" t="s">
        <v>78</v>
      </c>
      <c r="S871" s="6" t="s">
        <v>54</v>
      </c>
      <c r="T871" s="6" t="s">
        <v>48</v>
      </c>
      <c r="U871" s="6" t="s">
        <v>28</v>
      </c>
      <c r="V871" s="6" t="s">
        <v>82</v>
      </c>
      <c r="W871" t="s">
        <v>354</v>
      </c>
    </row>
    <row r="872" spans="1:23" x14ac:dyDescent="0.3">
      <c r="A872" s="6" t="s">
        <v>321</v>
      </c>
      <c r="B872" s="1">
        <v>45736</v>
      </c>
      <c r="C872" s="6" t="s">
        <v>343</v>
      </c>
      <c r="D872" s="6" t="s">
        <v>78</v>
      </c>
      <c r="E872" s="6" t="s">
        <v>46</v>
      </c>
      <c r="F872" s="6" t="s">
        <v>24</v>
      </c>
      <c r="G872" s="6" t="s">
        <v>71</v>
      </c>
      <c r="H872" s="6" t="s">
        <v>48</v>
      </c>
      <c r="I872" s="6" t="s">
        <v>58</v>
      </c>
      <c r="J872" s="6" t="s">
        <v>78</v>
      </c>
      <c r="K872" s="6" t="s">
        <v>48</v>
      </c>
      <c r="L872" s="6" t="s">
        <v>54</v>
      </c>
      <c r="M872" s="6" t="s">
        <v>48</v>
      </c>
      <c r="N872" s="6" t="s">
        <v>28</v>
      </c>
      <c r="O872" s="6" t="s">
        <v>26</v>
      </c>
      <c r="P872" s="6" t="s">
        <v>48</v>
      </c>
      <c r="Q872" s="6" t="s">
        <v>48</v>
      </c>
      <c r="R872" s="6" t="s">
        <v>78</v>
      </c>
      <c r="S872" s="6" t="s">
        <v>54</v>
      </c>
      <c r="T872" s="6" t="s">
        <v>48</v>
      </c>
      <c r="U872" s="6" t="s">
        <v>28</v>
      </c>
      <c r="V872" s="6" t="s">
        <v>146</v>
      </c>
      <c r="W872" t="s">
        <v>354</v>
      </c>
    </row>
    <row r="873" spans="1:23" x14ac:dyDescent="0.3">
      <c r="A873" s="6" t="s">
        <v>321</v>
      </c>
      <c r="B873" s="1">
        <v>45736</v>
      </c>
      <c r="C873" s="6" t="s">
        <v>343</v>
      </c>
      <c r="D873" s="6" t="s">
        <v>78</v>
      </c>
      <c r="E873" s="6" t="s">
        <v>46</v>
      </c>
      <c r="F873" s="6" t="s">
        <v>24</v>
      </c>
      <c r="G873" s="6" t="s">
        <v>71</v>
      </c>
      <c r="H873" s="6" t="s">
        <v>48</v>
      </c>
      <c r="I873" s="6" t="s">
        <v>58</v>
      </c>
      <c r="J873" s="6" t="s">
        <v>78</v>
      </c>
      <c r="K873" s="6" t="s">
        <v>48</v>
      </c>
      <c r="L873" s="6" t="s">
        <v>54</v>
      </c>
      <c r="M873" s="6" t="s">
        <v>48</v>
      </c>
      <c r="N873" s="6" t="s">
        <v>28</v>
      </c>
      <c r="O873" s="6" t="s">
        <v>26</v>
      </c>
      <c r="P873" s="6" t="s">
        <v>48</v>
      </c>
      <c r="Q873" s="6" t="s">
        <v>48</v>
      </c>
      <c r="R873" s="6" t="s">
        <v>78</v>
      </c>
      <c r="S873" s="6" t="s">
        <v>54</v>
      </c>
      <c r="T873" s="6" t="s">
        <v>48</v>
      </c>
      <c r="U873" s="6" t="s">
        <v>28</v>
      </c>
      <c r="V873" s="6" t="s">
        <v>82</v>
      </c>
      <c r="W873" t="s">
        <v>354</v>
      </c>
    </row>
    <row r="874" spans="1:23" x14ac:dyDescent="0.3">
      <c r="A874" s="6" t="s">
        <v>323</v>
      </c>
      <c r="B874" s="1">
        <v>45738</v>
      </c>
      <c r="C874" s="6" t="s">
        <v>33</v>
      </c>
      <c r="D874" s="6" t="s">
        <v>83</v>
      </c>
      <c r="E874" s="6" t="s">
        <v>44</v>
      </c>
      <c r="F874" s="6" t="s">
        <v>24</v>
      </c>
      <c r="G874" s="6" t="s">
        <v>47</v>
      </c>
      <c r="H874" s="6" t="s">
        <v>26</v>
      </c>
      <c r="I874" s="6" t="s">
        <v>37</v>
      </c>
      <c r="J874" s="6" t="s">
        <v>83</v>
      </c>
      <c r="K874" s="6" t="s">
        <v>102</v>
      </c>
      <c r="L874" s="6" t="s">
        <v>54</v>
      </c>
      <c r="M874" s="6" t="s">
        <v>29</v>
      </c>
      <c r="N874" s="6" t="s">
        <v>28</v>
      </c>
      <c r="O874" s="6" t="s">
        <v>48</v>
      </c>
      <c r="P874" s="6" t="s">
        <v>48</v>
      </c>
      <c r="Q874" s="6" t="s">
        <v>48</v>
      </c>
      <c r="R874" s="6" t="s">
        <v>83</v>
      </c>
      <c r="S874" s="6" t="s">
        <v>54</v>
      </c>
      <c r="T874" s="6" t="s">
        <v>48</v>
      </c>
      <c r="U874" s="6" t="s">
        <v>56</v>
      </c>
      <c r="V874" s="6" t="s">
        <v>137</v>
      </c>
      <c r="W874" t="s">
        <v>354</v>
      </c>
    </row>
    <row r="875" spans="1:23" x14ac:dyDescent="0.3">
      <c r="A875" s="6" t="s">
        <v>324</v>
      </c>
      <c r="B875" s="1">
        <v>45738</v>
      </c>
      <c r="C875" s="6" t="s">
        <v>33</v>
      </c>
      <c r="D875" s="6" t="s">
        <v>83</v>
      </c>
      <c r="E875" s="6" t="s">
        <v>44</v>
      </c>
      <c r="F875" s="6" t="s">
        <v>24</v>
      </c>
      <c r="G875" s="6" t="s">
        <v>47</v>
      </c>
      <c r="H875" s="6" t="s">
        <v>26</v>
      </c>
      <c r="I875" s="6" t="s">
        <v>37</v>
      </c>
      <c r="J875" s="6" t="s">
        <v>83</v>
      </c>
      <c r="K875" s="6" t="s">
        <v>102</v>
      </c>
      <c r="L875" s="6" t="s">
        <v>54</v>
      </c>
      <c r="M875" s="6" t="s">
        <v>29</v>
      </c>
      <c r="N875" s="6" t="s">
        <v>28</v>
      </c>
      <c r="O875" s="6" t="s">
        <v>48</v>
      </c>
      <c r="P875" s="6" t="s">
        <v>48</v>
      </c>
      <c r="Q875" s="6" t="s">
        <v>48</v>
      </c>
      <c r="R875" s="6" t="s">
        <v>83</v>
      </c>
      <c r="S875" s="6" t="s">
        <v>54</v>
      </c>
      <c r="T875" s="6" t="s">
        <v>48</v>
      </c>
      <c r="U875" s="6" t="s">
        <v>56</v>
      </c>
      <c r="V875" s="6" t="s">
        <v>137</v>
      </c>
      <c r="W875" t="s">
        <v>354</v>
      </c>
    </row>
    <row r="876" spans="1:23" x14ac:dyDescent="0.3">
      <c r="A876" s="6" t="s">
        <v>325</v>
      </c>
      <c r="B876" s="1">
        <v>45738</v>
      </c>
      <c r="C876" s="6" t="s">
        <v>343</v>
      </c>
      <c r="D876" s="6" t="s">
        <v>43</v>
      </c>
      <c r="E876" s="6" t="s">
        <v>23</v>
      </c>
      <c r="F876" s="6" t="s">
        <v>24</v>
      </c>
      <c r="G876" s="6" t="s">
        <v>97</v>
      </c>
      <c r="H876" s="6" t="s">
        <v>26</v>
      </c>
      <c r="I876" s="6" t="s">
        <v>66</v>
      </c>
      <c r="J876" s="6" t="s">
        <v>43</v>
      </c>
      <c r="K876" s="6" t="s">
        <v>48</v>
      </c>
      <c r="L876" s="6" t="s">
        <v>54</v>
      </c>
      <c r="M876" s="6" t="s">
        <v>29</v>
      </c>
      <c r="N876" s="6" t="s">
        <v>28</v>
      </c>
      <c r="O876" s="6" t="s">
        <v>30</v>
      </c>
      <c r="P876" s="6" t="s">
        <v>58</v>
      </c>
      <c r="Q876" s="6" t="s">
        <v>31</v>
      </c>
      <c r="R876" s="6" t="s">
        <v>43</v>
      </c>
      <c r="S876" s="6" t="s">
        <v>54</v>
      </c>
      <c r="T876" s="6" t="s">
        <v>55</v>
      </c>
      <c r="U876" s="6" t="s">
        <v>28</v>
      </c>
      <c r="V876" s="6" t="s">
        <v>146</v>
      </c>
      <c r="W876" t="s">
        <v>354</v>
      </c>
    </row>
    <row r="877" spans="1:23" x14ac:dyDescent="0.3">
      <c r="A877" s="6" t="s">
        <v>326</v>
      </c>
      <c r="B877" s="1">
        <v>45739</v>
      </c>
      <c r="C877" s="6" t="s">
        <v>343</v>
      </c>
      <c r="D877" s="6" t="s">
        <v>22</v>
      </c>
      <c r="E877" s="6" t="s">
        <v>68</v>
      </c>
      <c r="F877" s="6" t="s">
        <v>24</v>
      </c>
      <c r="G877" s="6" t="s">
        <v>69</v>
      </c>
      <c r="H877" s="6" t="s">
        <v>48</v>
      </c>
      <c r="I877" s="6" t="s">
        <v>38</v>
      </c>
      <c r="J877" s="6" t="s">
        <v>49</v>
      </c>
      <c r="K877" s="6" t="s">
        <v>48</v>
      </c>
      <c r="L877" s="6" t="s">
        <v>54</v>
      </c>
      <c r="M877" s="6" t="s">
        <v>48</v>
      </c>
      <c r="N877" s="6" t="s">
        <v>28</v>
      </c>
      <c r="O877" s="6" t="s">
        <v>30</v>
      </c>
      <c r="P877" s="6" t="s">
        <v>38</v>
      </c>
      <c r="Q877" s="6" t="s">
        <v>31</v>
      </c>
      <c r="R877" s="6" t="s">
        <v>22</v>
      </c>
      <c r="S877" s="6" t="s">
        <v>54</v>
      </c>
      <c r="T877" s="6" t="s">
        <v>32</v>
      </c>
      <c r="U877" s="6" t="s">
        <v>28</v>
      </c>
      <c r="V877" s="6" t="s">
        <v>146</v>
      </c>
      <c r="W877" t="s">
        <v>354</v>
      </c>
    </row>
    <row r="878" spans="1:23" x14ac:dyDescent="0.3">
      <c r="A878" s="6" t="s">
        <v>326</v>
      </c>
      <c r="B878" s="1">
        <v>45739</v>
      </c>
      <c r="C878" s="6" t="s">
        <v>343</v>
      </c>
      <c r="D878" s="6" t="s">
        <v>22</v>
      </c>
      <c r="E878" s="6" t="s">
        <v>68</v>
      </c>
      <c r="F878" s="6" t="s">
        <v>24</v>
      </c>
      <c r="G878" s="6" t="s">
        <v>69</v>
      </c>
      <c r="H878" s="6" t="s">
        <v>48</v>
      </c>
      <c r="I878" s="6" t="s">
        <v>38</v>
      </c>
      <c r="J878" s="6" t="s">
        <v>49</v>
      </c>
      <c r="K878" s="6" t="s">
        <v>48</v>
      </c>
      <c r="L878" s="6" t="s">
        <v>54</v>
      </c>
      <c r="M878" s="6" t="s">
        <v>48</v>
      </c>
      <c r="N878" s="6" t="s">
        <v>28</v>
      </c>
      <c r="O878" s="6" t="s">
        <v>30</v>
      </c>
      <c r="P878" s="6" t="s">
        <v>38</v>
      </c>
      <c r="Q878" s="6" t="s">
        <v>31</v>
      </c>
      <c r="R878" s="6" t="s">
        <v>22</v>
      </c>
      <c r="S878" s="6" t="s">
        <v>54</v>
      </c>
      <c r="T878" s="6" t="s">
        <v>32</v>
      </c>
      <c r="U878" s="6" t="s">
        <v>28</v>
      </c>
      <c r="V878" s="6" t="s">
        <v>82</v>
      </c>
      <c r="W878" t="s">
        <v>354</v>
      </c>
    </row>
    <row r="879" spans="1:23" x14ac:dyDescent="0.3">
      <c r="A879" s="6" t="s">
        <v>327</v>
      </c>
      <c r="B879" s="1">
        <v>45740</v>
      </c>
      <c r="C879" s="6" t="s">
        <v>33</v>
      </c>
      <c r="D879" s="6" t="s">
        <v>95</v>
      </c>
      <c r="E879" s="6" t="s">
        <v>23</v>
      </c>
      <c r="F879" s="6" t="s">
        <v>24</v>
      </c>
      <c r="G879" s="6" t="s">
        <v>61</v>
      </c>
      <c r="H879" s="6" t="s">
        <v>26</v>
      </c>
      <c r="I879" s="6" t="s">
        <v>42</v>
      </c>
      <c r="J879" s="6" t="s">
        <v>95</v>
      </c>
      <c r="K879" s="6" t="s">
        <v>76</v>
      </c>
      <c r="L879" s="6" t="s">
        <v>152</v>
      </c>
      <c r="M879" s="6" t="s">
        <v>32</v>
      </c>
      <c r="N879" s="6" t="s">
        <v>28</v>
      </c>
      <c r="O879" s="6" t="s">
        <v>30</v>
      </c>
      <c r="P879" s="6" t="s">
        <v>45</v>
      </c>
      <c r="Q879" s="6" t="s">
        <v>31</v>
      </c>
      <c r="R879" s="6" t="s">
        <v>95</v>
      </c>
      <c r="S879" s="6" t="s">
        <v>54</v>
      </c>
      <c r="T879" s="6" t="s">
        <v>32</v>
      </c>
      <c r="U879" s="6" t="s">
        <v>28</v>
      </c>
      <c r="V879" s="6" t="s">
        <v>146</v>
      </c>
      <c r="W879" t="s">
        <v>354</v>
      </c>
    </row>
    <row r="880" spans="1:23" x14ac:dyDescent="0.3">
      <c r="A880" s="6" t="s">
        <v>328</v>
      </c>
      <c r="B880" s="1">
        <v>45740</v>
      </c>
      <c r="C880" s="6" t="s">
        <v>39</v>
      </c>
      <c r="D880" s="6" t="s">
        <v>43</v>
      </c>
      <c r="E880" s="6" t="s">
        <v>35</v>
      </c>
      <c r="F880" s="6" t="s">
        <v>24</v>
      </c>
      <c r="G880" s="6" t="s">
        <v>61</v>
      </c>
      <c r="H880" s="6" t="s">
        <v>26</v>
      </c>
      <c r="I880" s="6" t="s">
        <v>66</v>
      </c>
      <c r="J880" s="6" t="s">
        <v>43</v>
      </c>
      <c r="K880" s="6" t="s">
        <v>48</v>
      </c>
      <c r="L880" s="6" t="s">
        <v>152</v>
      </c>
      <c r="M880" s="6" t="s">
        <v>29</v>
      </c>
      <c r="N880" s="6" t="s">
        <v>28</v>
      </c>
      <c r="O880" s="6" t="s">
        <v>30</v>
      </c>
      <c r="P880" s="6" t="s">
        <v>45</v>
      </c>
      <c r="Q880" s="6" t="s">
        <v>31</v>
      </c>
      <c r="R880" s="6" t="s">
        <v>43</v>
      </c>
      <c r="S880" s="6" t="s">
        <v>54</v>
      </c>
      <c r="T880" s="6" t="s">
        <v>55</v>
      </c>
      <c r="U880" s="6" t="s">
        <v>28</v>
      </c>
      <c r="V880" s="6" t="s">
        <v>82</v>
      </c>
      <c r="W880" t="s">
        <v>354</v>
      </c>
    </row>
    <row r="881" spans="1:23" x14ac:dyDescent="0.3">
      <c r="A881" s="6" t="s">
        <v>329</v>
      </c>
      <c r="B881" s="1">
        <v>45740</v>
      </c>
      <c r="C881" s="6" t="s">
        <v>21</v>
      </c>
      <c r="D881" s="6" t="s">
        <v>60</v>
      </c>
      <c r="E881" s="6" t="s">
        <v>35</v>
      </c>
      <c r="F881" s="6" t="s">
        <v>24</v>
      </c>
      <c r="G881" s="6" t="s">
        <v>61</v>
      </c>
      <c r="H881" s="6" t="s">
        <v>48</v>
      </c>
      <c r="I881" s="6" t="s">
        <v>27</v>
      </c>
      <c r="J881" s="6" t="s">
        <v>60</v>
      </c>
      <c r="K881" s="6" t="s">
        <v>48</v>
      </c>
      <c r="L881" s="6" t="s">
        <v>54</v>
      </c>
      <c r="M881" s="6" t="s">
        <v>48</v>
      </c>
      <c r="N881" s="6" t="s">
        <v>28</v>
      </c>
      <c r="O881" s="6" t="s">
        <v>48</v>
      </c>
      <c r="P881" s="6" t="s">
        <v>48</v>
      </c>
      <c r="Q881" s="6" t="s">
        <v>48</v>
      </c>
      <c r="R881" s="6" t="s">
        <v>60</v>
      </c>
      <c r="S881" s="6" t="s">
        <v>54</v>
      </c>
      <c r="T881" s="6" t="s">
        <v>48</v>
      </c>
      <c r="U881" s="6" t="s">
        <v>123</v>
      </c>
      <c r="V881" s="6" t="s">
        <v>82</v>
      </c>
      <c r="W881" t="s">
        <v>354</v>
      </c>
    </row>
    <row r="882" spans="1:23" x14ac:dyDescent="0.3">
      <c r="A882" s="6" t="s">
        <v>330</v>
      </c>
      <c r="B882" s="1">
        <v>45740</v>
      </c>
      <c r="C882" s="6" t="s">
        <v>84</v>
      </c>
      <c r="D882" s="6" t="s">
        <v>43</v>
      </c>
      <c r="E882" s="6" t="s">
        <v>23</v>
      </c>
      <c r="F882" s="6" t="s">
        <v>24</v>
      </c>
      <c r="G882" s="6" t="s">
        <v>61</v>
      </c>
      <c r="H882" s="6" t="s">
        <v>26</v>
      </c>
      <c r="I882" s="6" t="s">
        <v>38</v>
      </c>
      <c r="J882" s="6" t="s">
        <v>43</v>
      </c>
      <c r="K882" s="6" t="s">
        <v>48</v>
      </c>
      <c r="L882" s="6" t="s">
        <v>54</v>
      </c>
      <c r="M882" s="6" t="s">
        <v>48</v>
      </c>
      <c r="N882" s="6" t="s">
        <v>28</v>
      </c>
      <c r="O882" s="6" t="s">
        <v>30</v>
      </c>
      <c r="P882" s="6" t="s">
        <v>48</v>
      </c>
      <c r="Q882" s="6" t="s">
        <v>48</v>
      </c>
      <c r="R882" s="6" t="s">
        <v>43</v>
      </c>
      <c r="S882" s="6" t="s">
        <v>54</v>
      </c>
      <c r="T882" s="6" t="s">
        <v>48</v>
      </c>
      <c r="U882" s="6" t="s">
        <v>28</v>
      </c>
      <c r="V882" s="6" t="s">
        <v>82</v>
      </c>
      <c r="W882" t="s">
        <v>354</v>
      </c>
    </row>
    <row r="883" spans="1:23" x14ac:dyDescent="0.3">
      <c r="A883" s="6" t="s">
        <v>330</v>
      </c>
      <c r="B883" s="1">
        <v>45740</v>
      </c>
      <c r="C883" s="6" t="s">
        <v>84</v>
      </c>
      <c r="D883" s="6" t="s">
        <v>43</v>
      </c>
      <c r="E883" s="6" t="s">
        <v>23</v>
      </c>
      <c r="F883" s="6" t="s">
        <v>24</v>
      </c>
      <c r="G883" s="6" t="s">
        <v>61</v>
      </c>
      <c r="H883" s="6" t="s">
        <v>26</v>
      </c>
      <c r="I883" s="6" t="s">
        <v>38</v>
      </c>
      <c r="J883" s="6" t="s">
        <v>43</v>
      </c>
      <c r="K883" s="6" t="s">
        <v>48</v>
      </c>
      <c r="L883" s="6" t="s">
        <v>54</v>
      </c>
      <c r="M883" s="6" t="s">
        <v>48</v>
      </c>
      <c r="N883" s="6" t="s">
        <v>28</v>
      </c>
      <c r="O883" s="6" t="s">
        <v>30</v>
      </c>
      <c r="P883" s="6" t="s">
        <v>48</v>
      </c>
      <c r="Q883" s="6" t="s">
        <v>48</v>
      </c>
      <c r="R883" s="6" t="s">
        <v>43</v>
      </c>
      <c r="S883" s="6" t="s">
        <v>54</v>
      </c>
      <c r="T883" s="6" t="s">
        <v>48</v>
      </c>
      <c r="U883" s="6" t="s">
        <v>28</v>
      </c>
      <c r="V883" s="6" t="s">
        <v>146</v>
      </c>
      <c r="W883" t="s">
        <v>354</v>
      </c>
    </row>
    <row r="884" spans="1:23" x14ac:dyDescent="0.3">
      <c r="A884" s="6" t="s">
        <v>330</v>
      </c>
      <c r="B884" s="1">
        <v>45740</v>
      </c>
      <c r="C884" s="6" t="s">
        <v>84</v>
      </c>
      <c r="D884" s="6" t="s">
        <v>43</v>
      </c>
      <c r="E884" s="6" t="s">
        <v>23</v>
      </c>
      <c r="F884" s="6" t="s">
        <v>24</v>
      </c>
      <c r="G884" s="6" t="s">
        <v>61</v>
      </c>
      <c r="H884" s="6" t="s">
        <v>26</v>
      </c>
      <c r="I884" s="6" t="s">
        <v>38</v>
      </c>
      <c r="J884" s="6" t="s">
        <v>43</v>
      </c>
      <c r="K884" s="6" t="s">
        <v>48</v>
      </c>
      <c r="L884" s="6" t="s">
        <v>54</v>
      </c>
      <c r="M884" s="6" t="s">
        <v>48</v>
      </c>
      <c r="N884" s="6" t="s">
        <v>28</v>
      </c>
      <c r="O884" s="6" t="s">
        <v>30</v>
      </c>
      <c r="P884" s="6" t="s">
        <v>48</v>
      </c>
      <c r="Q884" s="6" t="s">
        <v>48</v>
      </c>
      <c r="R884" s="6" t="s">
        <v>43</v>
      </c>
      <c r="S884" s="6" t="s">
        <v>54</v>
      </c>
      <c r="T884" s="6" t="s">
        <v>48</v>
      </c>
      <c r="U884" s="6" t="s">
        <v>28</v>
      </c>
      <c r="V884" s="6" t="s">
        <v>137</v>
      </c>
      <c r="W884" t="s">
        <v>354</v>
      </c>
    </row>
    <row r="885" spans="1:23" x14ac:dyDescent="0.3">
      <c r="A885" s="6" t="s">
        <v>331</v>
      </c>
      <c r="B885" s="1">
        <v>45740</v>
      </c>
      <c r="C885" s="6" t="s">
        <v>343</v>
      </c>
      <c r="D885" s="6" t="s">
        <v>22</v>
      </c>
      <c r="E885" s="6" t="s">
        <v>46</v>
      </c>
      <c r="F885" s="6" t="s">
        <v>24</v>
      </c>
      <c r="G885" s="6" t="s">
        <v>61</v>
      </c>
      <c r="H885" s="6" t="s">
        <v>26</v>
      </c>
      <c r="I885" s="6" t="s">
        <v>37</v>
      </c>
      <c r="J885" s="6" t="s">
        <v>22</v>
      </c>
      <c r="K885" s="6" t="s">
        <v>48</v>
      </c>
      <c r="L885" s="6" t="s">
        <v>54</v>
      </c>
      <c r="M885" s="6" t="s">
        <v>48</v>
      </c>
      <c r="N885" s="6" t="s">
        <v>28</v>
      </c>
      <c r="O885" s="6" t="s">
        <v>48</v>
      </c>
      <c r="P885" s="6" t="s">
        <v>48</v>
      </c>
      <c r="Q885" s="6" t="s">
        <v>48</v>
      </c>
      <c r="R885" s="6" t="s">
        <v>22</v>
      </c>
      <c r="S885" s="6" t="s">
        <v>54</v>
      </c>
      <c r="T885" s="6" t="s">
        <v>48</v>
      </c>
      <c r="U885" s="6" t="s">
        <v>94</v>
      </c>
      <c r="V885" s="6" t="s">
        <v>82</v>
      </c>
      <c r="W885" t="s">
        <v>354</v>
      </c>
    </row>
    <row r="886" spans="1:23" x14ac:dyDescent="0.3">
      <c r="A886" s="6" t="s">
        <v>332</v>
      </c>
      <c r="B886" s="1">
        <v>45741</v>
      </c>
      <c r="C886" s="6" t="s">
        <v>21</v>
      </c>
      <c r="D886" s="6" t="s">
        <v>22</v>
      </c>
      <c r="E886" s="6" t="s">
        <v>23</v>
      </c>
      <c r="F886" s="6" t="s">
        <v>24</v>
      </c>
      <c r="G886" s="6" t="s">
        <v>101</v>
      </c>
      <c r="H886" s="6" t="s">
        <v>26</v>
      </c>
      <c r="I886" s="6" t="s">
        <v>58</v>
      </c>
      <c r="J886" s="6" t="s">
        <v>22</v>
      </c>
      <c r="K886" s="6" t="s">
        <v>48</v>
      </c>
      <c r="L886" s="6" t="s">
        <v>54</v>
      </c>
      <c r="M886" s="6" t="s">
        <v>29</v>
      </c>
      <c r="N886" s="6" t="s">
        <v>28</v>
      </c>
      <c r="O886" s="6" t="s">
        <v>26</v>
      </c>
      <c r="P886" s="6" t="s">
        <v>38</v>
      </c>
      <c r="Q886" s="6" t="s">
        <v>31</v>
      </c>
      <c r="R886" s="6" t="s">
        <v>22</v>
      </c>
      <c r="S886" s="6" t="s">
        <v>54</v>
      </c>
      <c r="T886" s="6" t="s">
        <v>48</v>
      </c>
      <c r="U886" s="6" t="s">
        <v>28</v>
      </c>
      <c r="V886" s="6" t="s">
        <v>82</v>
      </c>
      <c r="W886" t="s">
        <v>354</v>
      </c>
    </row>
    <row r="887" spans="1:23" x14ac:dyDescent="0.3">
      <c r="A887" s="6" t="s">
        <v>333</v>
      </c>
      <c r="B887" s="1">
        <v>45741</v>
      </c>
      <c r="C887" s="6" t="s">
        <v>33</v>
      </c>
      <c r="D887" s="6" t="s">
        <v>50</v>
      </c>
      <c r="E887" s="6" t="s">
        <v>23</v>
      </c>
      <c r="F887" s="6" t="s">
        <v>24</v>
      </c>
      <c r="G887" s="6" t="s">
        <v>69</v>
      </c>
      <c r="H887" s="6" t="s">
        <v>26</v>
      </c>
      <c r="I887" s="6" t="s">
        <v>52</v>
      </c>
      <c r="J887" s="6" t="s">
        <v>50</v>
      </c>
      <c r="K887" s="6" t="s">
        <v>48</v>
      </c>
      <c r="L887" s="6" t="s">
        <v>54</v>
      </c>
      <c r="M887" s="6" t="s">
        <v>32</v>
      </c>
      <c r="N887" s="6" t="s">
        <v>28</v>
      </c>
      <c r="O887" s="6" t="s">
        <v>26</v>
      </c>
      <c r="P887" s="6" t="s">
        <v>27</v>
      </c>
      <c r="Q887" s="6" t="s">
        <v>31</v>
      </c>
      <c r="R887" s="6" t="s">
        <v>50</v>
      </c>
      <c r="S887" s="6" t="s">
        <v>54</v>
      </c>
      <c r="T887" s="6" t="s">
        <v>32</v>
      </c>
      <c r="U887" s="6" t="s">
        <v>28</v>
      </c>
      <c r="V887" s="6" t="s">
        <v>82</v>
      </c>
      <c r="W887" t="s">
        <v>354</v>
      </c>
    </row>
    <row r="888" spans="1:23" x14ac:dyDescent="0.3">
      <c r="A888" s="6" t="s">
        <v>335</v>
      </c>
      <c r="B888" s="1">
        <v>45741</v>
      </c>
      <c r="C888" s="6" t="s">
        <v>84</v>
      </c>
      <c r="D888" s="6" t="s">
        <v>92</v>
      </c>
      <c r="E888" s="6" t="s">
        <v>46</v>
      </c>
      <c r="F888" s="6" t="s">
        <v>24</v>
      </c>
      <c r="G888" s="6" t="s">
        <v>97</v>
      </c>
      <c r="H888" s="6" t="s">
        <v>48</v>
      </c>
      <c r="I888" s="6" t="s">
        <v>52</v>
      </c>
      <c r="J888" s="6" t="s">
        <v>92</v>
      </c>
      <c r="K888" s="6" t="s">
        <v>48</v>
      </c>
      <c r="L888" s="6" t="s">
        <v>54</v>
      </c>
      <c r="M888" s="6" t="s">
        <v>48</v>
      </c>
      <c r="N888" s="6" t="s">
        <v>28</v>
      </c>
      <c r="O888" s="6" t="s">
        <v>26</v>
      </c>
      <c r="P888" s="6" t="s">
        <v>48</v>
      </c>
      <c r="Q888" s="6" t="s">
        <v>31</v>
      </c>
      <c r="R888" s="6" t="s">
        <v>49</v>
      </c>
      <c r="S888" s="6" t="s">
        <v>153</v>
      </c>
      <c r="T888" s="6" t="s">
        <v>32</v>
      </c>
      <c r="U888" s="6" t="s">
        <v>28</v>
      </c>
      <c r="V888" s="6" t="s">
        <v>137</v>
      </c>
      <c r="W888" t="s">
        <v>354</v>
      </c>
    </row>
    <row r="889" spans="1:23" x14ac:dyDescent="0.3">
      <c r="A889" s="6" t="s">
        <v>334</v>
      </c>
      <c r="B889" s="1">
        <v>45741</v>
      </c>
      <c r="C889" s="6" t="s">
        <v>84</v>
      </c>
      <c r="D889" s="6" t="s">
        <v>92</v>
      </c>
      <c r="E889" s="6" t="s">
        <v>46</v>
      </c>
      <c r="F889" s="6" t="s">
        <v>24</v>
      </c>
      <c r="G889" s="6" t="s">
        <v>97</v>
      </c>
      <c r="H889" s="6" t="s">
        <v>48</v>
      </c>
      <c r="I889" s="6" t="s">
        <v>52</v>
      </c>
      <c r="J889" s="6" t="s">
        <v>92</v>
      </c>
      <c r="K889" s="6" t="s">
        <v>48</v>
      </c>
      <c r="L889" s="6" t="s">
        <v>54</v>
      </c>
      <c r="M889" s="6" t="s">
        <v>48</v>
      </c>
      <c r="N889" s="6" t="s">
        <v>28</v>
      </c>
      <c r="O889" s="6" t="s">
        <v>26</v>
      </c>
      <c r="P889" s="6" t="s">
        <v>48</v>
      </c>
      <c r="Q889" s="6" t="s">
        <v>31</v>
      </c>
      <c r="R889" s="6" t="s">
        <v>92</v>
      </c>
      <c r="S889" s="6" t="s">
        <v>128</v>
      </c>
      <c r="T889" s="6" t="s">
        <v>32</v>
      </c>
      <c r="U889" s="6" t="s">
        <v>28</v>
      </c>
      <c r="V889" s="6" t="s">
        <v>137</v>
      </c>
      <c r="W889" t="s">
        <v>354</v>
      </c>
    </row>
    <row r="890" spans="1:23" x14ac:dyDescent="0.3">
      <c r="A890" s="6" t="s">
        <v>336</v>
      </c>
      <c r="B890" s="1">
        <v>45742</v>
      </c>
      <c r="C890" s="6" t="s">
        <v>21</v>
      </c>
      <c r="D890" s="6" t="s">
        <v>34</v>
      </c>
      <c r="E890" s="6" t="s">
        <v>41</v>
      </c>
      <c r="F890" s="6" t="s">
        <v>24</v>
      </c>
      <c r="G890" s="6" t="s">
        <v>36</v>
      </c>
      <c r="H890" s="6" t="s">
        <v>26</v>
      </c>
      <c r="I890" s="6" t="s">
        <v>38</v>
      </c>
      <c r="J890" s="6" t="s">
        <v>34</v>
      </c>
      <c r="K890" s="6" t="s">
        <v>48</v>
      </c>
      <c r="L890" s="6" t="s">
        <v>128</v>
      </c>
      <c r="M890" s="6" t="s">
        <v>29</v>
      </c>
      <c r="N890" s="6" t="s">
        <v>28</v>
      </c>
      <c r="O890" s="6" t="s">
        <v>26</v>
      </c>
      <c r="P890" s="6" t="s">
        <v>38</v>
      </c>
      <c r="Q890" s="6" t="s">
        <v>31</v>
      </c>
      <c r="R890" s="6" t="s">
        <v>34</v>
      </c>
      <c r="S890" s="6" t="s">
        <v>54</v>
      </c>
      <c r="T890" s="6" t="s">
        <v>29</v>
      </c>
      <c r="U890" s="6" t="s">
        <v>28</v>
      </c>
      <c r="V890" s="6" t="s">
        <v>146</v>
      </c>
      <c r="W890" t="s">
        <v>354</v>
      </c>
    </row>
    <row r="891" spans="1:23" x14ac:dyDescent="0.3">
      <c r="A891" s="6" t="s">
        <v>337</v>
      </c>
      <c r="B891" s="1">
        <v>45742</v>
      </c>
      <c r="C891" s="6" t="s">
        <v>21</v>
      </c>
      <c r="D891" s="6" t="s">
        <v>34</v>
      </c>
      <c r="E891" s="6" t="s">
        <v>41</v>
      </c>
      <c r="F891" s="6" t="s">
        <v>24</v>
      </c>
      <c r="G891" s="6" t="s">
        <v>36</v>
      </c>
      <c r="H891" s="6" t="s">
        <v>26</v>
      </c>
      <c r="I891" s="6" t="s">
        <v>38</v>
      </c>
      <c r="J891" s="6" t="s">
        <v>34</v>
      </c>
      <c r="K891" s="6" t="s">
        <v>48</v>
      </c>
      <c r="L891" s="6" t="s">
        <v>128</v>
      </c>
      <c r="M891" s="6" t="s">
        <v>29</v>
      </c>
      <c r="N891" s="6" t="s">
        <v>28</v>
      </c>
      <c r="O891" s="6" t="s">
        <v>30</v>
      </c>
      <c r="P891" s="6" t="s">
        <v>788</v>
      </c>
      <c r="Q891" s="6" t="s">
        <v>31</v>
      </c>
      <c r="R891" s="6" t="s">
        <v>34</v>
      </c>
      <c r="S891" s="6" t="s">
        <v>704</v>
      </c>
      <c r="T891" s="6" t="s">
        <v>29</v>
      </c>
      <c r="U891" s="6" t="s">
        <v>28</v>
      </c>
      <c r="V891" s="6" t="s">
        <v>146</v>
      </c>
      <c r="W891" t="s">
        <v>354</v>
      </c>
    </row>
    <row r="892" spans="1:23" x14ac:dyDescent="0.3">
      <c r="A892" s="6" t="s">
        <v>338</v>
      </c>
      <c r="B892" s="1">
        <v>45742</v>
      </c>
      <c r="C892" s="6" t="s">
        <v>21</v>
      </c>
      <c r="D892" s="6" t="s">
        <v>43</v>
      </c>
      <c r="E892" s="6" t="s">
        <v>64</v>
      </c>
      <c r="F892" s="6" t="s">
        <v>24</v>
      </c>
      <c r="G892" s="6" t="s">
        <v>111</v>
      </c>
      <c r="H892" s="6" t="s">
        <v>26</v>
      </c>
      <c r="I892" s="6" t="s">
        <v>58</v>
      </c>
      <c r="J892" s="6" t="s">
        <v>43</v>
      </c>
      <c r="K892" s="6" t="s">
        <v>48</v>
      </c>
      <c r="L892" s="6" t="s">
        <v>54</v>
      </c>
      <c r="M892" s="6" t="s">
        <v>29</v>
      </c>
      <c r="N892" s="6" t="s">
        <v>28</v>
      </c>
      <c r="O892" s="6" t="s">
        <v>26</v>
      </c>
      <c r="P892" s="6" t="s">
        <v>27</v>
      </c>
      <c r="Q892" s="6" t="s">
        <v>48</v>
      </c>
      <c r="R892" s="6" t="s">
        <v>43</v>
      </c>
      <c r="S892" s="6" t="s">
        <v>54</v>
      </c>
      <c r="T892" s="6" t="s">
        <v>29</v>
      </c>
      <c r="U892" s="6" t="s">
        <v>28</v>
      </c>
      <c r="V892" s="6" t="s">
        <v>82</v>
      </c>
      <c r="W892" t="s">
        <v>354</v>
      </c>
    </row>
    <row r="893" spans="1:23" x14ac:dyDescent="0.3">
      <c r="A893" s="6" t="s">
        <v>338</v>
      </c>
      <c r="B893" s="1">
        <v>45742</v>
      </c>
      <c r="C893" s="6" t="s">
        <v>21</v>
      </c>
      <c r="D893" s="6" t="s">
        <v>43</v>
      </c>
      <c r="E893" s="6" t="s">
        <v>64</v>
      </c>
      <c r="F893" s="6" t="s">
        <v>24</v>
      </c>
      <c r="G893" s="6" t="s">
        <v>111</v>
      </c>
      <c r="H893" s="6" t="s">
        <v>26</v>
      </c>
      <c r="I893" s="6" t="s">
        <v>58</v>
      </c>
      <c r="J893" s="6" t="s">
        <v>43</v>
      </c>
      <c r="K893" s="6" t="s">
        <v>48</v>
      </c>
      <c r="L893" s="6" t="s">
        <v>54</v>
      </c>
      <c r="M893" s="6" t="s">
        <v>29</v>
      </c>
      <c r="N893" s="6" t="s">
        <v>28</v>
      </c>
      <c r="O893" s="6" t="s">
        <v>26</v>
      </c>
      <c r="P893" s="6" t="s">
        <v>27</v>
      </c>
      <c r="Q893" s="6" t="s">
        <v>48</v>
      </c>
      <c r="R893" s="6" t="s">
        <v>43</v>
      </c>
      <c r="S893" s="6" t="s">
        <v>54</v>
      </c>
      <c r="T893" s="6" t="s">
        <v>29</v>
      </c>
      <c r="U893" s="6" t="s">
        <v>28</v>
      </c>
      <c r="V893" s="6" t="s">
        <v>146</v>
      </c>
      <c r="W893" t="s">
        <v>354</v>
      </c>
    </row>
    <row r="894" spans="1:23" x14ac:dyDescent="0.3">
      <c r="A894" s="6" t="s">
        <v>338</v>
      </c>
      <c r="B894" s="1">
        <v>45742</v>
      </c>
      <c r="C894" s="6" t="s">
        <v>21</v>
      </c>
      <c r="D894" s="6" t="s">
        <v>43</v>
      </c>
      <c r="E894" s="6" t="s">
        <v>64</v>
      </c>
      <c r="F894" s="6" t="s">
        <v>24</v>
      </c>
      <c r="G894" s="6" t="s">
        <v>111</v>
      </c>
      <c r="H894" s="6" t="s">
        <v>26</v>
      </c>
      <c r="I894" s="6" t="s">
        <v>58</v>
      </c>
      <c r="J894" s="6" t="s">
        <v>43</v>
      </c>
      <c r="K894" s="6" t="s">
        <v>48</v>
      </c>
      <c r="L894" s="6" t="s">
        <v>54</v>
      </c>
      <c r="M894" s="6" t="s">
        <v>29</v>
      </c>
      <c r="N894" s="6" t="s">
        <v>28</v>
      </c>
      <c r="O894" s="6" t="s">
        <v>26</v>
      </c>
      <c r="P894" s="6" t="s">
        <v>27</v>
      </c>
      <c r="Q894" s="6" t="s">
        <v>48</v>
      </c>
      <c r="R894" s="6" t="s">
        <v>43</v>
      </c>
      <c r="S894" s="6" t="s">
        <v>54</v>
      </c>
      <c r="T894" s="6" t="s">
        <v>29</v>
      </c>
      <c r="U894" s="6" t="s">
        <v>28</v>
      </c>
      <c r="V894" s="6" t="s">
        <v>137</v>
      </c>
      <c r="W894" t="s">
        <v>354</v>
      </c>
    </row>
    <row r="895" spans="1:23" x14ac:dyDescent="0.3">
      <c r="A895" s="6" t="s">
        <v>339</v>
      </c>
      <c r="B895" s="1">
        <v>45742</v>
      </c>
      <c r="C895" s="6" t="s">
        <v>343</v>
      </c>
      <c r="D895" s="6" t="s">
        <v>60</v>
      </c>
      <c r="E895" s="6" t="s">
        <v>44</v>
      </c>
      <c r="F895" s="6" t="s">
        <v>24</v>
      </c>
      <c r="G895" s="6" t="s">
        <v>98</v>
      </c>
      <c r="H895" s="6" t="s">
        <v>26</v>
      </c>
      <c r="I895" s="6" t="s">
        <v>38</v>
      </c>
      <c r="J895" s="6" t="s">
        <v>60</v>
      </c>
      <c r="K895" s="6" t="s">
        <v>48</v>
      </c>
      <c r="L895" s="6" t="s">
        <v>54</v>
      </c>
      <c r="M895" s="6" t="s">
        <v>32</v>
      </c>
      <c r="N895" s="6" t="s">
        <v>28</v>
      </c>
      <c r="O895" s="6" t="s">
        <v>48</v>
      </c>
      <c r="P895" s="6" t="s">
        <v>48</v>
      </c>
      <c r="Q895" s="6" t="s">
        <v>48</v>
      </c>
      <c r="R895" s="6" t="s">
        <v>60</v>
      </c>
      <c r="S895" s="6" t="s">
        <v>54</v>
      </c>
      <c r="T895" s="6" t="s">
        <v>48</v>
      </c>
      <c r="U895" s="6" t="s">
        <v>136</v>
      </c>
      <c r="V895" s="6" t="s">
        <v>82</v>
      </c>
      <c r="W895" t="s">
        <v>354</v>
      </c>
    </row>
    <row r="896" spans="1:23" x14ac:dyDescent="0.3">
      <c r="A896" s="6" t="s">
        <v>340</v>
      </c>
      <c r="B896" s="1">
        <v>45743</v>
      </c>
      <c r="C896" s="6" t="s">
        <v>21</v>
      </c>
      <c r="D896" s="6" t="s">
        <v>22</v>
      </c>
      <c r="E896" s="6" t="s">
        <v>44</v>
      </c>
      <c r="F896" s="6" t="s">
        <v>24</v>
      </c>
      <c r="G896" s="6" t="s">
        <v>36</v>
      </c>
      <c r="H896" s="6" t="s">
        <v>26</v>
      </c>
      <c r="I896" s="6" t="s">
        <v>66</v>
      </c>
      <c r="J896" s="6" t="s">
        <v>22</v>
      </c>
      <c r="K896" s="6" t="s">
        <v>53</v>
      </c>
      <c r="L896" s="6" t="s">
        <v>128</v>
      </c>
      <c r="M896" s="6" t="s">
        <v>48</v>
      </c>
      <c r="N896" s="6" t="s">
        <v>28</v>
      </c>
      <c r="O896" s="6" t="s">
        <v>30</v>
      </c>
      <c r="P896" s="6" t="s">
        <v>788</v>
      </c>
      <c r="Q896" s="6" t="s">
        <v>48</v>
      </c>
      <c r="R896" s="6" t="s">
        <v>22</v>
      </c>
      <c r="S896" s="6" t="s">
        <v>103</v>
      </c>
      <c r="T896" s="6" t="s">
        <v>29</v>
      </c>
      <c r="U896" s="6" t="s">
        <v>28</v>
      </c>
      <c r="V896" s="6" t="s">
        <v>82</v>
      </c>
      <c r="W896" t="s">
        <v>354</v>
      </c>
    </row>
    <row r="897" spans="1:23" x14ac:dyDescent="0.3">
      <c r="A897" s="6" t="s">
        <v>340</v>
      </c>
      <c r="B897" s="1">
        <v>45743</v>
      </c>
      <c r="C897" s="6" t="s">
        <v>21</v>
      </c>
      <c r="D897" s="6" t="s">
        <v>22</v>
      </c>
      <c r="E897" s="6" t="s">
        <v>44</v>
      </c>
      <c r="F897" s="6" t="s">
        <v>24</v>
      </c>
      <c r="G897" s="6" t="s">
        <v>36</v>
      </c>
      <c r="H897" s="6" t="s">
        <v>26</v>
      </c>
      <c r="I897" s="6" t="s">
        <v>66</v>
      </c>
      <c r="J897" s="6" t="s">
        <v>22</v>
      </c>
      <c r="K897" s="6" t="s">
        <v>53</v>
      </c>
      <c r="L897" s="6" t="s">
        <v>128</v>
      </c>
      <c r="M897" s="6" t="s">
        <v>48</v>
      </c>
      <c r="N897" s="6" t="s">
        <v>28</v>
      </c>
      <c r="O897" s="6" t="s">
        <v>30</v>
      </c>
      <c r="P897" s="6" t="s">
        <v>788</v>
      </c>
      <c r="Q897" s="6" t="s">
        <v>48</v>
      </c>
      <c r="R897" s="6" t="s">
        <v>22</v>
      </c>
      <c r="S897" s="6" t="s">
        <v>103</v>
      </c>
      <c r="T897" s="6" t="s">
        <v>29</v>
      </c>
      <c r="U897" s="6" t="s">
        <v>28</v>
      </c>
      <c r="V897" s="6" t="s">
        <v>146</v>
      </c>
      <c r="W897" t="s">
        <v>354</v>
      </c>
    </row>
    <row r="898" spans="1:23" x14ac:dyDescent="0.3">
      <c r="A898" s="6" t="s">
        <v>356</v>
      </c>
      <c r="B898" s="1">
        <v>45743</v>
      </c>
      <c r="C898" s="6" t="s">
        <v>33</v>
      </c>
      <c r="D898" s="6" t="s">
        <v>60</v>
      </c>
      <c r="E898" s="6" t="s">
        <v>64</v>
      </c>
      <c r="F898" s="6" t="s">
        <v>24</v>
      </c>
      <c r="G898" s="6" t="s">
        <v>69</v>
      </c>
      <c r="H898" s="6" t="s">
        <v>26</v>
      </c>
      <c r="I898" s="6" t="s">
        <v>52</v>
      </c>
      <c r="J898" s="6" t="s">
        <v>60</v>
      </c>
      <c r="K898" s="6" t="s">
        <v>48</v>
      </c>
      <c r="L898" s="6" t="s">
        <v>54</v>
      </c>
      <c r="M898" s="6" t="s">
        <v>29</v>
      </c>
      <c r="N898" s="6" t="s">
        <v>28</v>
      </c>
      <c r="O898" s="6" t="s">
        <v>26</v>
      </c>
      <c r="P898" s="6" t="s">
        <v>48</v>
      </c>
      <c r="Q898" s="6" t="s">
        <v>48</v>
      </c>
      <c r="R898" s="6" t="s">
        <v>60</v>
      </c>
      <c r="S898" s="6" t="s">
        <v>54</v>
      </c>
      <c r="T898" s="6" t="s">
        <v>48</v>
      </c>
      <c r="U898" s="6" t="s">
        <v>28</v>
      </c>
      <c r="V898" s="6" t="s">
        <v>82</v>
      </c>
      <c r="W898" t="s">
        <v>354</v>
      </c>
    </row>
    <row r="899" spans="1:23" x14ac:dyDescent="0.3">
      <c r="A899" s="6" t="s">
        <v>357</v>
      </c>
      <c r="B899" s="1">
        <v>45744</v>
      </c>
      <c r="C899" s="6" t="s">
        <v>39</v>
      </c>
      <c r="D899" s="6" t="s">
        <v>67</v>
      </c>
      <c r="E899" s="6" t="s">
        <v>23</v>
      </c>
      <c r="F899" s="6" t="s">
        <v>24</v>
      </c>
      <c r="G899" s="6" t="s">
        <v>69</v>
      </c>
      <c r="H899" s="6" t="s">
        <v>48</v>
      </c>
      <c r="I899" s="6" t="s">
        <v>58</v>
      </c>
      <c r="J899" s="6" t="s">
        <v>67</v>
      </c>
      <c r="K899" s="6" t="s">
        <v>48</v>
      </c>
      <c r="L899" s="6" t="s">
        <v>54</v>
      </c>
      <c r="M899" s="6" t="s">
        <v>48</v>
      </c>
      <c r="N899" s="6" t="s">
        <v>28</v>
      </c>
      <c r="O899" s="6" t="s">
        <v>26</v>
      </c>
      <c r="P899" s="6" t="s">
        <v>48</v>
      </c>
      <c r="Q899" s="6" t="s">
        <v>48</v>
      </c>
      <c r="R899" s="6" t="s">
        <v>67</v>
      </c>
      <c r="S899" s="6" t="s">
        <v>54</v>
      </c>
      <c r="T899" s="6" t="s">
        <v>48</v>
      </c>
      <c r="U899" s="6" t="s">
        <v>28</v>
      </c>
      <c r="V899" s="6" t="s">
        <v>137</v>
      </c>
      <c r="W899" t="s">
        <v>354</v>
      </c>
    </row>
    <row r="900" spans="1:23" x14ac:dyDescent="0.3">
      <c r="A900" s="6" t="s">
        <v>357</v>
      </c>
      <c r="B900" s="1">
        <v>45744</v>
      </c>
      <c r="C900" s="6" t="s">
        <v>39</v>
      </c>
      <c r="D900" s="6" t="s">
        <v>67</v>
      </c>
      <c r="E900" s="6" t="s">
        <v>23</v>
      </c>
      <c r="F900" s="6" t="s">
        <v>24</v>
      </c>
      <c r="G900" s="6" t="s">
        <v>69</v>
      </c>
      <c r="H900" s="6" t="s">
        <v>48</v>
      </c>
      <c r="I900" s="6" t="s">
        <v>58</v>
      </c>
      <c r="J900" s="6" t="s">
        <v>67</v>
      </c>
      <c r="K900" s="6" t="s">
        <v>48</v>
      </c>
      <c r="L900" s="6" t="s">
        <v>54</v>
      </c>
      <c r="M900" s="6" t="s">
        <v>48</v>
      </c>
      <c r="N900" s="6" t="s">
        <v>28</v>
      </c>
      <c r="O900" s="6" t="s">
        <v>26</v>
      </c>
      <c r="P900" s="6" t="s">
        <v>48</v>
      </c>
      <c r="Q900" s="6" t="s">
        <v>48</v>
      </c>
      <c r="R900" s="6" t="s">
        <v>67</v>
      </c>
      <c r="S900" s="6" t="s">
        <v>54</v>
      </c>
      <c r="T900" s="6" t="s">
        <v>48</v>
      </c>
      <c r="U900" s="6" t="s">
        <v>28</v>
      </c>
      <c r="V900" s="6" t="s">
        <v>82</v>
      </c>
      <c r="W900" t="s">
        <v>354</v>
      </c>
    </row>
    <row r="901" spans="1:23" x14ac:dyDescent="0.3">
      <c r="A901" s="6" t="s">
        <v>357</v>
      </c>
      <c r="B901" s="1">
        <v>45744</v>
      </c>
      <c r="C901" s="6" t="s">
        <v>39</v>
      </c>
      <c r="D901" s="6" t="s">
        <v>67</v>
      </c>
      <c r="E901" s="6" t="s">
        <v>23</v>
      </c>
      <c r="F901" s="6" t="s">
        <v>24</v>
      </c>
      <c r="G901" s="6" t="s">
        <v>69</v>
      </c>
      <c r="H901" s="6" t="s">
        <v>48</v>
      </c>
      <c r="I901" s="6" t="s">
        <v>58</v>
      </c>
      <c r="J901" s="6" t="s">
        <v>67</v>
      </c>
      <c r="K901" s="6" t="s">
        <v>48</v>
      </c>
      <c r="L901" s="6" t="s">
        <v>54</v>
      </c>
      <c r="M901" s="6" t="s">
        <v>48</v>
      </c>
      <c r="N901" s="6" t="s">
        <v>28</v>
      </c>
      <c r="O901" s="6" t="s">
        <v>26</v>
      </c>
      <c r="P901" s="6" t="s">
        <v>48</v>
      </c>
      <c r="Q901" s="6" t="s">
        <v>48</v>
      </c>
      <c r="R901" s="6" t="s">
        <v>67</v>
      </c>
      <c r="S901" s="6" t="s">
        <v>54</v>
      </c>
      <c r="T901" s="6" t="s">
        <v>48</v>
      </c>
      <c r="U901" s="6" t="s">
        <v>28</v>
      </c>
      <c r="V901" s="6" t="s">
        <v>146</v>
      </c>
      <c r="W901" t="s">
        <v>354</v>
      </c>
    </row>
    <row r="902" spans="1:23" x14ac:dyDescent="0.3">
      <c r="A902" s="6" t="s">
        <v>358</v>
      </c>
      <c r="B902" s="1">
        <v>45744</v>
      </c>
      <c r="C902" s="6" t="s">
        <v>343</v>
      </c>
      <c r="D902" s="6" t="s">
        <v>40</v>
      </c>
      <c r="E902" s="6" t="s">
        <v>35</v>
      </c>
      <c r="F902" s="6" t="s">
        <v>24</v>
      </c>
      <c r="G902" s="6" t="s">
        <v>69</v>
      </c>
      <c r="H902" s="6" t="s">
        <v>48</v>
      </c>
      <c r="I902" s="6" t="s">
        <v>27</v>
      </c>
      <c r="J902" s="6" t="s">
        <v>40</v>
      </c>
      <c r="K902" s="6" t="s">
        <v>48</v>
      </c>
      <c r="L902" s="6" t="s">
        <v>152</v>
      </c>
      <c r="M902" s="6" t="s">
        <v>48</v>
      </c>
      <c r="N902" s="6" t="s">
        <v>28</v>
      </c>
      <c r="O902" s="6" t="s">
        <v>26</v>
      </c>
      <c r="P902" s="6" t="s">
        <v>27</v>
      </c>
      <c r="Q902" s="6" t="s">
        <v>31</v>
      </c>
      <c r="R902" s="6" t="s">
        <v>40</v>
      </c>
      <c r="S902" s="6" t="s">
        <v>54</v>
      </c>
      <c r="T902" s="6" t="s">
        <v>48</v>
      </c>
      <c r="U902" s="6" t="s">
        <v>28</v>
      </c>
      <c r="V902" s="6" t="s">
        <v>82</v>
      </c>
      <c r="W902" t="s">
        <v>354</v>
      </c>
    </row>
    <row r="903" spans="1:23" x14ac:dyDescent="0.3">
      <c r="A903" s="6" t="s">
        <v>358</v>
      </c>
      <c r="B903" s="1">
        <v>45744</v>
      </c>
      <c r="C903" s="6" t="s">
        <v>343</v>
      </c>
      <c r="D903" s="6" t="s">
        <v>40</v>
      </c>
      <c r="E903" s="6" t="s">
        <v>35</v>
      </c>
      <c r="F903" s="6" t="s">
        <v>24</v>
      </c>
      <c r="G903" s="6" t="s">
        <v>69</v>
      </c>
      <c r="H903" s="6" t="s">
        <v>48</v>
      </c>
      <c r="I903" s="6" t="s">
        <v>27</v>
      </c>
      <c r="J903" s="6" t="s">
        <v>40</v>
      </c>
      <c r="K903" s="6" t="s">
        <v>48</v>
      </c>
      <c r="L903" s="6" t="s">
        <v>152</v>
      </c>
      <c r="M903" s="6" t="s">
        <v>48</v>
      </c>
      <c r="N903" s="6" t="s">
        <v>28</v>
      </c>
      <c r="O903" s="6" t="s">
        <v>26</v>
      </c>
      <c r="P903" s="6" t="s">
        <v>27</v>
      </c>
      <c r="Q903" s="6" t="s">
        <v>31</v>
      </c>
      <c r="R903" s="6" t="s">
        <v>40</v>
      </c>
      <c r="S903" s="6" t="s">
        <v>54</v>
      </c>
      <c r="T903" s="6" t="s">
        <v>48</v>
      </c>
      <c r="U903" s="6" t="s">
        <v>28</v>
      </c>
      <c r="V903" s="6" t="s">
        <v>146</v>
      </c>
      <c r="W903" t="s">
        <v>354</v>
      </c>
    </row>
    <row r="904" spans="1:23" x14ac:dyDescent="0.3">
      <c r="A904" s="6" t="s">
        <v>359</v>
      </c>
      <c r="B904" s="1">
        <v>45744</v>
      </c>
      <c r="C904" s="6" t="s">
        <v>33</v>
      </c>
      <c r="D904" s="6" t="s">
        <v>43</v>
      </c>
      <c r="E904" s="6" t="s">
        <v>68</v>
      </c>
      <c r="F904" s="6" t="s">
        <v>24</v>
      </c>
      <c r="G904" s="6" t="s">
        <v>69</v>
      </c>
      <c r="H904" s="6" t="s">
        <v>26</v>
      </c>
      <c r="I904" s="6" t="s">
        <v>45</v>
      </c>
      <c r="J904" s="6" t="s">
        <v>43</v>
      </c>
      <c r="K904" s="6" t="s">
        <v>48</v>
      </c>
      <c r="L904" s="6" t="s">
        <v>54</v>
      </c>
      <c r="M904" s="6" t="s">
        <v>32</v>
      </c>
      <c r="N904" s="6" t="s">
        <v>28</v>
      </c>
      <c r="O904" s="6" t="s">
        <v>48</v>
      </c>
      <c r="P904" s="6" t="s">
        <v>48</v>
      </c>
      <c r="Q904" s="6" t="s">
        <v>48</v>
      </c>
      <c r="R904" s="6" t="s">
        <v>43</v>
      </c>
      <c r="S904" s="6" t="s">
        <v>54</v>
      </c>
      <c r="T904" s="6" t="s">
        <v>48</v>
      </c>
      <c r="U904" s="6" t="s">
        <v>28</v>
      </c>
      <c r="V904" s="6" t="s">
        <v>137</v>
      </c>
      <c r="W904" t="s">
        <v>354</v>
      </c>
    </row>
    <row r="905" spans="1:23" x14ac:dyDescent="0.3">
      <c r="A905" s="6" t="s">
        <v>360</v>
      </c>
      <c r="B905" s="1">
        <v>45744</v>
      </c>
      <c r="C905" s="6" t="s">
        <v>343</v>
      </c>
      <c r="D905" s="6" t="s">
        <v>43</v>
      </c>
      <c r="E905" s="6" t="s">
        <v>35</v>
      </c>
      <c r="F905" s="6" t="s">
        <v>24</v>
      </c>
      <c r="G905" s="6" t="s">
        <v>61</v>
      </c>
      <c r="H905" s="6" t="s">
        <v>26</v>
      </c>
      <c r="I905" s="6" t="s">
        <v>66</v>
      </c>
      <c r="J905" s="6" t="s">
        <v>43</v>
      </c>
      <c r="K905" s="6" t="s">
        <v>48</v>
      </c>
      <c r="L905" s="6" t="s">
        <v>152</v>
      </c>
      <c r="M905" s="6" t="s">
        <v>29</v>
      </c>
      <c r="N905" s="6" t="s">
        <v>28</v>
      </c>
      <c r="O905" s="6" t="s">
        <v>26</v>
      </c>
      <c r="P905" s="6" t="s">
        <v>66</v>
      </c>
      <c r="Q905" s="6" t="s">
        <v>31</v>
      </c>
      <c r="R905" s="6" t="s">
        <v>43</v>
      </c>
      <c r="S905" s="6" t="s">
        <v>54</v>
      </c>
      <c r="T905" s="6" t="s">
        <v>29</v>
      </c>
      <c r="U905" s="6" t="s">
        <v>28</v>
      </c>
      <c r="V905" s="6" t="s">
        <v>82</v>
      </c>
      <c r="W905" t="s">
        <v>354</v>
      </c>
    </row>
    <row r="906" spans="1:23" x14ac:dyDescent="0.3">
      <c r="A906" s="6" t="s">
        <v>361</v>
      </c>
      <c r="B906" s="1">
        <v>45745</v>
      </c>
      <c r="C906" s="6" t="s">
        <v>84</v>
      </c>
      <c r="D906" s="6" t="s">
        <v>48</v>
      </c>
      <c r="E906" s="6" t="s">
        <v>35</v>
      </c>
      <c r="F906" s="6" t="s">
        <v>24</v>
      </c>
      <c r="G906" s="6" t="s">
        <v>71</v>
      </c>
      <c r="H906" s="6" t="s">
        <v>48</v>
      </c>
      <c r="I906" s="6" t="s">
        <v>42</v>
      </c>
      <c r="J906" s="6" t="s">
        <v>49</v>
      </c>
      <c r="K906" s="6" t="s">
        <v>48</v>
      </c>
      <c r="L906" s="6" t="s">
        <v>54</v>
      </c>
      <c r="M906" s="6" t="s">
        <v>48</v>
      </c>
      <c r="N906" s="6" t="s">
        <v>28</v>
      </c>
      <c r="O906" s="6" t="s">
        <v>26</v>
      </c>
      <c r="P906" s="6" t="s">
        <v>38</v>
      </c>
      <c r="Q906" s="6" t="s">
        <v>31</v>
      </c>
      <c r="R906" s="6" t="s">
        <v>22</v>
      </c>
      <c r="S906" s="6" t="s">
        <v>54</v>
      </c>
      <c r="T906" s="6" t="s">
        <v>32</v>
      </c>
      <c r="U906" s="6" t="s">
        <v>28</v>
      </c>
      <c r="V906" s="6" t="s">
        <v>137</v>
      </c>
      <c r="W906" t="s">
        <v>354</v>
      </c>
    </row>
    <row r="907" spans="1:23" x14ac:dyDescent="0.3">
      <c r="A907" s="6" t="s">
        <v>361</v>
      </c>
      <c r="B907" s="1">
        <v>45745</v>
      </c>
      <c r="C907" s="6" t="s">
        <v>84</v>
      </c>
      <c r="D907" s="6" t="s">
        <v>48</v>
      </c>
      <c r="E907" s="6" t="s">
        <v>35</v>
      </c>
      <c r="F907" s="6" t="s">
        <v>24</v>
      </c>
      <c r="G907" s="6" t="s">
        <v>71</v>
      </c>
      <c r="H907" s="6" t="s">
        <v>48</v>
      </c>
      <c r="I907" s="6" t="s">
        <v>42</v>
      </c>
      <c r="J907" s="6" t="s">
        <v>49</v>
      </c>
      <c r="K907" s="6" t="s">
        <v>48</v>
      </c>
      <c r="L907" s="6" t="s">
        <v>54</v>
      </c>
      <c r="M907" s="6" t="s">
        <v>48</v>
      </c>
      <c r="N907" s="6" t="s">
        <v>28</v>
      </c>
      <c r="O907" s="6" t="s">
        <v>26</v>
      </c>
      <c r="P907" s="6" t="s">
        <v>38</v>
      </c>
      <c r="Q907" s="6" t="s">
        <v>31</v>
      </c>
      <c r="R907" s="6" t="s">
        <v>22</v>
      </c>
      <c r="S907" s="6" t="s">
        <v>54</v>
      </c>
      <c r="T907" s="6" t="s">
        <v>32</v>
      </c>
      <c r="U907" s="6" t="s">
        <v>28</v>
      </c>
      <c r="V907" s="6" t="s">
        <v>82</v>
      </c>
      <c r="W907" t="s">
        <v>354</v>
      </c>
    </row>
    <row r="908" spans="1:23" x14ac:dyDescent="0.3">
      <c r="A908" s="6" t="s">
        <v>362</v>
      </c>
      <c r="B908" s="1">
        <v>45746</v>
      </c>
      <c r="C908" s="6" t="s">
        <v>343</v>
      </c>
      <c r="D908" s="6" t="s">
        <v>95</v>
      </c>
      <c r="E908" s="6" t="s">
        <v>68</v>
      </c>
      <c r="F908" s="6" t="s">
        <v>24</v>
      </c>
      <c r="G908" s="6" t="s">
        <v>97</v>
      </c>
      <c r="H908" s="6" t="s">
        <v>48</v>
      </c>
      <c r="I908" s="6" t="s">
        <v>58</v>
      </c>
      <c r="J908" s="6" t="s">
        <v>95</v>
      </c>
      <c r="K908" s="6" t="s">
        <v>48</v>
      </c>
      <c r="L908" s="6" t="s">
        <v>54</v>
      </c>
      <c r="M908" s="6" t="s">
        <v>48</v>
      </c>
      <c r="N908" s="6" t="s">
        <v>28</v>
      </c>
      <c r="O908" s="6" t="s">
        <v>48</v>
      </c>
      <c r="P908" s="6" t="s">
        <v>48</v>
      </c>
      <c r="Q908" s="6" t="s">
        <v>31</v>
      </c>
      <c r="R908" s="6" t="s">
        <v>95</v>
      </c>
      <c r="S908" s="6" t="s">
        <v>54</v>
      </c>
      <c r="T908" s="6" t="s">
        <v>48</v>
      </c>
      <c r="U908" s="6" t="s">
        <v>28</v>
      </c>
      <c r="V908" s="6" t="s">
        <v>82</v>
      </c>
      <c r="W908" t="s">
        <v>354</v>
      </c>
    </row>
    <row r="909" spans="1:23" x14ac:dyDescent="0.3">
      <c r="A909" s="6" t="s">
        <v>363</v>
      </c>
      <c r="B909" s="1">
        <v>45746</v>
      </c>
      <c r="C909" s="6" t="s">
        <v>21</v>
      </c>
      <c r="D909" s="6" t="s">
        <v>22</v>
      </c>
      <c r="E909" s="6" t="s">
        <v>35</v>
      </c>
      <c r="F909" s="6" t="s">
        <v>24</v>
      </c>
      <c r="G909" s="6" t="s">
        <v>114</v>
      </c>
      <c r="H909" s="6" t="s">
        <v>26</v>
      </c>
      <c r="I909" s="6" t="s">
        <v>38</v>
      </c>
      <c r="J909" s="6" t="s">
        <v>22</v>
      </c>
      <c r="K909" s="6" t="s">
        <v>115</v>
      </c>
      <c r="L909" s="6" t="s">
        <v>128</v>
      </c>
      <c r="M909" s="6" t="s">
        <v>29</v>
      </c>
      <c r="N909" s="6" t="s">
        <v>28</v>
      </c>
      <c r="O909" s="6" t="s">
        <v>30</v>
      </c>
      <c r="P909" s="6" t="s">
        <v>42</v>
      </c>
      <c r="Q909" s="6" t="s">
        <v>48</v>
      </c>
      <c r="R909" s="6" t="s">
        <v>22</v>
      </c>
      <c r="S909" s="6" t="s">
        <v>54</v>
      </c>
      <c r="T909" s="6" t="s">
        <v>55</v>
      </c>
      <c r="U909" s="6" t="s">
        <v>28</v>
      </c>
      <c r="V909" s="6" t="s">
        <v>82</v>
      </c>
      <c r="W909" t="s">
        <v>354</v>
      </c>
    </row>
    <row r="910" spans="1:23" x14ac:dyDescent="0.3">
      <c r="A910" s="6" t="s">
        <v>364</v>
      </c>
      <c r="B910" s="1">
        <v>45746</v>
      </c>
      <c r="C910" s="6" t="s">
        <v>21</v>
      </c>
      <c r="D910" s="6" t="s">
        <v>22</v>
      </c>
      <c r="E910" s="6" t="s">
        <v>35</v>
      </c>
      <c r="F910" s="6" t="s">
        <v>24</v>
      </c>
      <c r="G910" s="6" t="s">
        <v>114</v>
      </c>
      <c r="H910" s="6" t="s">
        <v>26</v>
      </c>
      <c r="I910" s="6" t="s">
        <v>38</v>
      </c>
      <c r="J910" s="6" t="s">
        <v>22</v>
      </c>
      <c r="K910" s="6" t="s">
        <v>115</v>
      </c>
      <c r="L910" s="6" t="s">
        <v>128</v>
      </c>
      <c r="M910" s="6" t="s">
        <v>29</v>
      </c>
      <c r="N910" s="6" t="s">
        <v>28</v>
      </c>
      <c r="O910" s="6" t="s">
        <v>26</v>
      </c>
      <c r="P910" s="6" t="s">
        <v>108</v>
      </c>
      <c r="Q910" s="6" t="s">
        <v>48</v>
      </c>
      <c r="R910" s="6" t="s">
        <v>22</v>
      </c>
      <c r="S910" s="6" t="s">
        <v>54</v>
      </c>
      <c r="T910" s="6" t="s">
        <v>29</v>
      </c>
      <c r="U910" s="6" t="s">
        <v>28</v>
      </c>
      <c r="V910" s="6" t="s">
        <v>82</v>
      </c>
      <c r="W910" t="s">
        <v>354</v>
      </c>
    </row>
    <row r="911" spans="1:23" x14ac:dyDescent="0.3">
      <c r="A911" s="6" t="s">
        <v>365</v>
      </c>
      <c r="B911" s="1">
        <v>45746</v>
      </c>
      <c r="C911" s="6" t="s">
        <v>62</v>
      </c>
      <c r="D911" s="6" t="s">
        <v>22</v>
      </c>
      <c r="E911" s="6" t="s">
        <v>35</v>
      </c>
      <c r="F911" s="6" t="s">
        <v>24</v>
      </c>
      <c r="G911" s="6" t="s">
        <v>114</v>
      </c>
      <c r="H911" s="6" t="s">
        <v>26</v>
      </c>
      <c r="I911" s="6" t="s">
        <v>38</v>
      </c>
      <c r="J911" s="6" t="s">
        <v>22</v>
      </c>
      <c r="K911" s="6" t="s">
        <v>48</v>
      </c>
      <c r="L911" s="6" t="s">
        <v>54</v>
      </c>
      <c r="M911" s="6" t="s">
        <v>29</v>
      </c>
      <c r="N911" s="6" t="s">
        <v>28</v>
      </c>
      <c r="O911" s="6" t="s">
        <v>30</v>
      </c>
      <c r="P911" s="6" t="s">
        <v>42</v>
      </c>
      <c r="Q911" s="6" t="s">
        <v>31</v>
      </c>
      <c r="R911" s="6" t="s">
        <v>22</v>
      </c>
      <c r="S911" s="6" t="s">
        <v>54</v>
      </c>
      <c r="T911" s="6" t="s">
        <v>29</v>
      </c>
      <c r="U911" s="6" t="s">
        <v>28</v>
      </c>
      <c r="V911" s="6" t="s">
        <v>82</v>
      </c>
      <c r="W911" t="s">
        <v>354</v>
      </c>
    </row>
    <row r="912" spans="1:23" x14ac:dyDescent="0.3">
      <c r="A912" s="6" t="s">
        <v>367</v>
      </c>
      <c r="B912" s="1">
        <v>45746</v>
      </c>
      <c r="C912" s="6" t="s">
        <v>62</v>
      </c>
      <c r="D912" s="6" t="s">
        <v>22</v>
      </c>
      <c r="E912" s="6" t="s">
        <v>35</v>
      </c>
      <c r="F912" s="6" t="s">
        <v>24</v>
      </c>
      <c r="G912" s="6" t="s">
        <v>114</v>
      </c>
      <c r="H912" s="6" t="s">
        <v>26</v>
      </c>
      <c r="I912" s="6" t="s">
        <v>38</v>
      </c>
      <c r="J912" s="6" t="s">
        <v>22</v>
      </c>
      <c r="K912" s="6" t="s">
        <v>48</v>
      </c>
      <c r="L912" s="6" t="s">
        <v>54</v>
      </c>
      <c r="M912" s="6" t="s">
        <v>29</v>
      </c>
      <c r="N912" s="6" t="s">
        <v>28</v>
      </c>
      <c r="O912" s="6" t="s">
        <v>30</v>
      </c>
      <c r="P912" s="6" t="s">
        <v>45</v>
      </c>
      <c r="Q912" s="6" t="s">
        <v>31</v>
      </c>
      <c r="R912" s="6" t="s">
        <v>22</v>
      </c>
      <c r="S912" s="6" t="s">
        <v>54</v>
      </c>
      <c r="T912" s="6" t="s">
        <v>29</v>
      </c>
      <c r="U912" s="6" t="s">
        <v>28</v>
      </c>
      <c r="V912" s="6" t="s">
        <v>82</v>
      </c>
      <c r="W912" t="s">
        <v>354</v>
      </c>
    </row>
    <row r="913" spans="1:23" x14ac:dyDescent="0.3">
      <c r="A913" s="6" t="s">
        <v>366</v>
      </c>
      <c r="B913" s="1">
        <v>45746</v>
      </c>
      <c r="C913" s="6" t="s">
        <v>62</v>
      </c>
      <c r="D913" s="6" t="s">
        <v>22</v>
      </c>
      <c r="E913" s="6" t="s">
        <v>35</v>
      </c>
      <c r="F913" s="6" t="s">
        <v>24</v>
      </c>
      <c r="G913" s="6" t="s">
        <v>114</v>
      </c>
      <c r="H913" s="6" t="s">
        <v>26</v>
      </c>
      <c r="I913" s="6" t="s">
        <v>38</v>
      </c>
      <c r="J913" s="6" t="s">
        <v>22</v>
      </c>
      <c r="K913" s="6" t="s">
        <v>48</v>
      </c>
      <c r="L913" s="6" t="s">
        <v>54</v>
      </c>
      <c r="M913" s="6" t="s">
        <v>29</v>
      </c>
      <c r="N913" s="6" t="s">
        <v>28</v>
      </c>
      <c r="O913" s="6" t="s">
        <v>26</v>
      </c>
      <c r="P913" s="6" t="s">
        <v>37</v>
      </c>
      <c r="Q913" s="6" t="s">
        <v>31</v>
      </c>
      <c r="R913" s="6" t="s">
        <v>49</v>
      </c>
      <c r="S913" s="6" t="s">
        <v>54</v>
      </c>
      <c r="T913" s="6" t="s">
        <v>129</v>
      </c>
      <c r="U913" s="6" t="s">
        <v>28</v>
      </c>
      <c r="V913" s="6" t="s">
        <v>82</v>
      </c>
      <c r="W913" t="s">
        <v>354</v>
      </c>
    </row>
    <row r="914" spans="1:23" x14ac:dyDescent="0.3">
      <c r="A914" s="6" t="s">
        <v>368</v>
      </c>
      <c r="B914" s="1">
        <v>45747</v>
      </c>
      <c r="C914" s="6" t="s">
        <v>343</v>
      </c>
      <c r="D914" s="6" t="s">
        <v>81</v>
      </c>
      <c r="E914" s="6" t="s">
        <v>68</v>
      </c>
      <c r="F914" s="6" t="s">
        <v>24</v>
      </c>
      <c r="G914" s="6" t="s">
        <v>61</v>
      </c>
      <c r="H914" s="6" t="s">
        <v>148</v>
      </c>
      <c r="I914" s="6" t="s">
        <v>27</v>
      </c>
      <c r="J914" s="6" t="s">
        <v>81</v>
      </c>
      <c r="K914" s="6" t="s">
        <v>48</v>
      </c>
      <c r="L914" s="6" t="s">
        <v>54</v>
      </c>
      <c r="M914" s="6" t="s">
        <v>55</v>
      </c>
      <c r="N914" s="6" t="s">
        <v>159</v>
      </c>
      <c r="O914" s="6" t="s">
        <v>48</v>
      </c>
      <c r="P914" s="6" t="s">
        <v>48</v>
      </c>
      <c r="Q914" s="6" t="s">
        <v>48</v>
      </c>
      <c r="R914" s="6" t="s">
        <v>81</v>
      </c>
      <c r="S914" s="6" t="s">
        <v>54</v>
      </c>
      <c r="T914" s="6" t="s">
        <v>48</v>
      </c>
      <c r="U914" s="6" t="s">
        <v>87</v>
      </c>
      <c r="V914" s="6" t="s">
        <v>82</v>
      </c>
      <c r="W914" t="s">
        <v>354</v>
      </c>
    </row>
    <row r="915" spans="1:23" x14ac:dyDescent="0.3">
      <c r="A915" s="6" t="s">
        <v>369</v>
      </c>
      <c r="B915" s="1">
        <v>45747</v>
      </c>
      <c r="C915" s="6" t="s">
        <v>343</v>
      </c>
      <c r="D915" s="6" t="s">
        <v>81</v>
      </c>
      <c r="E915" s="6" t="s">
        <v>68</v>
      </c>
      <c r="F915" s="6" t="s">
        <v>24</v>
      </c>
      <c r="G915" s="6" t="s">
        <v>61</v>
      </c>
      <c r="H915" s="6" t="s">
        <v>148</v>
      </c>
      <c r="I915" s="6" t="s">
        <v>27</v>
      </c>
      <c r="J915" s="6" t="s">
        <v>81</v>
      </c>
      <c r="K915" s="6" t="s">
        <v>48</v>
      </c>
      <c r="L915" s="6" t="s">
        <v>54</v>
      </c>
      <c r="M915" s="6" t="s">
        <v>55</v>
      </c>
      <c r="N915" s="6" t="s">
        <v>159</v>
      </c>
      <c r="O915" s="6" t="s">
        <v>48</v>
      </c>
      <c r="P915" s="6" t="s">
        <v>48</v>
      </c>
      <c r="Q915" s="6" t="s">
        <v>48</v>
      </c>
      <c r="R915" s="6" t="s">
        <v>81</v>
      </c>
      <c r="S915" s="6" t="s">
        <v>54</v>
      </c>
      <c r="T915" s="6" t="s">
        <v>48</v>
      </c>
      <c r="U915" s="6" t="s">
        <v>87</v>
      </c>
      <c r="V915" s="6" t="s">
        <v>82</v>
      </c>
      <c r="W915" t="s">
        <v>354</v>
      </c>
    </row>
    <row r="916" spans="1:23" x14ac:dyDescent="0.3">
      <c r="A916" s="6" t="s">
        <v>370</v>
      </c>
      <c r="B916" s="1">
        <v>45747</v>
      </c>
      <c r="C916" s="6" t="s">
        <v>33</v>
      </c>
      <c r="D916" s="6" t="s">
        <v>22</v>
      </c>
      <c r="E916" s="6" t="s">
        <v>68</v>
      </c>
      <c r="F916" s="6" t="s">
        <v>24</v>
      </c>
      <c r="G916" s="6" t="s">
        <v>36</v>
      </c>
      <c r="H916" s="6" t="s">
        <v>26</v>
      </c>
      <c r="I916" s="6" t="s">
        <v>42</v>
      </c>
      <c r="J916" s="6" t="s">
        <v>22</v>
      </c>
      <c r="K916" s="6" t="s">
        <v>48</v>
      </c>
      <c r="L916" s="6" t="s">
        <v>152</v>
      </c>
      <c r="M916" s="6" t="s">
        <v>32</v>
      </c>
      <c r="N916" s="6" t="s">
        <v>28</v>
      </c>
      <c r="O916" s="6" t="s">
        <v>30</v>
      </c>
      <c r="P916" s="6" t="s">
        <v>27</v>
      </c>
      <c r="Q916" s="6" t="s">
        <v>31</v>
      </c>
      <c r="R916" s="6" t="s">
        <v>22</v>
      </c>
      <c r="S916" s="6" t="s">
        <v>128</v>
      </c>
      <c r="T916" s="6" t="s">
        <v>48</v>
      </c>
      <c r="U916" s="6" t="s">
        <v>28</v>
      </c>
      <c r="V916" s="6" t="s">
        <v>146</v>
      </c>
      <c r="W916" t="s">
        <v>354</v>
      </c>
    </row>
    <row r="917" spans="1:23" x14ac:dyDescent="0.3">
      <c r="A917" s="6" t="s">
        <v>370</v>
      </c>
      <c r="B917" s="1">
        <v>45747</v>
      </c>
      <c r="C917" s="6" t="s">
        <v>33</v>
      </c>
      <c r="D917" s="6" t="s">
        <v>22</v>
      </c>
      <c r="E917" s="6" t="s">
        <v>68</v>
      </c>
      <c r="F917" s="6" t="s">
        <v>24</v>
      </c>
      <c r="G917" s="6" t="s">
        <v>36</v>
      </c>
      <c r="H917" s="6" t="s">
        <v>26</v>
      </c>
      <c r="I917" s="6" t="s">
        <v>42</v>
      </c>
      <c r="J917" s="6" t="s">
        <v>22</v>
      </c>
      <c r="K917" s="6" t="s">
        <v>48</v>
      </c>
      <c r="L917" s="6" t="s">
        <v>152</v>
      </c>
      <c r="M917" s="6" t="s">
        <v>32</v>
      </c>
      <c r="N917" s="6" t="s">
        <v>28</v>
      </c>
      <c r="O917" s="6" t="s">
        <v>30</v>
      </c>
      <c r="P917" s="6" t="s">
        <v>27</v>
      </c>
      <c r="Q917" s="6" t="s">
        <v>31</v>
      </c>
      <c r="R917" s="6" t="s">
        <v>22</v>
      </c>
      <c r="S917" s="6" t="s">
        <v>128</v>
      </c>
      <c r="T917" s="6" t="s">
        <v>48</v>
      </c>
      <c r="U917" s="6" t="s">
        <v>28</v>
      </c>
      <c r="V917" s="6" t="s">
        <v>82</v>
      </c>
      <c r="W917" t="s">
        <v>354</v>
      </c>
    </row>
    <row r="918" spans="1:23" x14ac:dyDescent="0.3">
      <c r="A918" s="6" t="s">
        <v>371</v>
      </c>
      <c r="B918" s="1">
        <v>45748</v>
      </c>
      <c r="C918" s="6" t="s">
        <v>343</v>
      </c>
      <c r="D918" s="6" t="s">
        <v>48</v>
      </c>
      <c r="E918" s="6" t="s">
        <v>44</v>
      </c>
      <c r="F918" s="6" t="s">
        <v>24</v>
      </c>
      <c r="G918" s="6" t="s">
        <v>68</v>
      </c>
      <c r="H918" s="6" t="s">
        <v>48</v>
      </c>
      <c r="I918" s="6" t="s">
        <v>38</v>
      </c>
      <c r="J918" s="6" t="s">
        <v>49</v>
      </c>
      <c r="K918" s="6" t="s">
        <v>48</v>
      </c>
      <c r="L918" s="6" t="s">
        <v>54</v>
      </c>
      <c r="M918" s="6" t="s">
        <v>48</v>
      </c>
      <c r="N918" s="6" t="s">
        <v>28</v>
      </c>
      <c r="O918" s="6" t="s">
        <v>48</v>
      </c>
      <c r="P918" s="6" t="s">
        <v>48</v>
      </c>
      <c r="Q918" s="6" t="s">
        <v>48</v>
      </c>
      <c r="R918" s="6" t="s">
        <v>43</v>
      </c>
      <c r="S918" s="6" t="s">
        <v>54</v>
      </c>
      <c r="T918" s="6" t="s">
        <v>48</v>
      </c>
      <c r="U918" s="6" t="s">
        <v>59</v>
      </c>
      <c r="V918" s="6" t="s">
        <v>137</v>
      </c>
      <c r="W918" t="s">
        <v>785</v>
      </c>
    </row>
    <row r="919" spans="1:23" x14ac:dyDescent="0.3">
      <c r="A919" s="6" t="s">
        <v>372</v>
      </c>
      <c r="B919" s="1">
        <v>45748</v>
      </c>
      <c r="C919" s="6" t="s">
        <v>343</v>
      </c>
      <c r="D919" s="6" t="s">
        <v>48</v>
      </c>
      <c r="E919" s="6" t="s">
        <v>44</v>
      </c>
      <c r="F919" s="6" t="s">
        <v>24</v>
      </c>
      <c r="G919" s="6" t="s">
        <v>68</v>
      </c>
      <c r="H919" s="6" t="s">
        <v>48</v>
      </c>
      <c r="I919" s="6" t="s">
        <v>38</v>
      </c>
      <c r="J919" s="6" t="s">
        <v>49</v>
      </c>
      <c r="K919" s="6" t="s">
        <v>48</v>
      </c>
      <c r="L919" s="6" t="s">
        <v>54</v>
      </c>
      <c r="M919" s="6" t="s">
        <v>48</v>
      </c>
      <c r="N919" s="6" t="s">
        <v>28</v>
      </c>
      <c r="O919" s="6" t="s">
        <v>48</v>
      </c>
      <c r="P919" s="6" t="s">
        <v>48</v>
      </c>
      <c r="Q919" s="6" t="s">
        <v>48</v>
      </c>
      <c r="R919" s="6" t="s">
        <v>43</v>
      </c>
      <c r="S919" s="6" t="s">
        <v>54</v>
      </c>
      <c r="T919" s="6" t="s">
        <v>48</v>
      </c>
      <c r="U919" s="6" t="s">
        <v>59</v>
      </c>
      <c r="V919" s="6" t="s">
        <v>137</v>
      </c>
      <c r="W919" t="s">
        <v>785</v>
      </c>
    </row>
    <row r="920" spans="1:23" x14ac:dyDescent="0.3">
      <c r="A920" s="6" t="s">
        <v>373</v>
      </c>
      <c r="B920" s="1">
        <v>45748</v>
      </c>
      <c r="C920" s="6" t="s">
        <v>33</v>
      </c>
      <c r="D920" s="6" t="s">
        <v>78</v>
      </c>
      <c r="E920" s="6" t="s">
        <v>68</v>
      </c>
      <c r="F920" s="6" t="s">
        <v>24</v>
      </c>
      <c r="G920" s="6" t="s">
        <v>69</v>
      </c>
      <c r="H920" s="6" t="s">
        <v>48</v>
      </c>
      <c r="I920" s="6" t="s">
        <v>27</v>
      </c>
      <c r="J920" s="6" t="s">
        <v>78</v>
      </c>
      <c r="K920" s="6" t="s">
        <v>48</v>
      </c>
      <c r="L920" s="6" t="s">
        <v>152</v>
      </c>
      <c r="M920" s="6" t="s">
        <v>48</v>
      </c>
      <c r="N920" s="6" t="s">
        <v>159</v>
      </c>
      <c r="O920" s="6" t="s">
        <v>26</v>
      </c>
      <c r="P920" s="6" t="s">
        <v>100</v>
      </c>
      <c r="Q920" s="6" t="s">
        <v>31</v>
      </c>
      <c r="R920" s="6" t="s">
        <v>78</v>
      </c>
      <c r="S920" s="6" t="s">
        <v>54</v>
      </c>
      <c r="T920" s="6" t="s">
        <v>32</v>
      </c>
      <c r="U920" s="6" t="s">
        <v>28</v>
      </c>
      <c r="V920" s="6" t="s">
        <v>146</v>
      </c>
      <c r="W920" t="s">
        <v>785</v>
      </c>
    </row>
    <row r="921" spans="1:23" x14ac:dyDescent="0.3">
      <c r="A921" s="6" t="s">
        <v>374</v>
      </c>
      <c r="B921" s="1">
        <v>45748</v>
      </c>
      <c r="C921" s="6" t="s">
        <v>33</v>
      </c>
      <c r="D921" s="6" t="s">
        <v>78</v>
      </c>
      <c r="E921" s="6" t="s">
        <v>68</v>
      </c>
      <c r="F921" s="6" t="s">
        <v>24</v>
      </c>
      <c r="G921" s="6" t="s">
        <v>69</v>
      </c>
      <c r="H921" s="6" t="s">
        <v>48</v>
      </c>
      <c r="I921" s="6" t="s">
        <v>27</v>
      </c>
      <c r="J921" s="6" t="s">
        <v>78</v>
      </c>
      <c r="K921" s="6" t="s">
        <v>48</v>
      </c>
      <c r="L921" s="6" t="s">
        <v>152</v>
      </c>
      <c r="M921" s="6" t="s">
        <v>48</v>
      </c>
      <c r="N921" s="6" t="s">
        <v>159</v>
      </c>
      <c r="O921" s="6" t="s">
        <v>48</v>
      </c>
      <c r="P921" s="6" t="s">
        <v>48</v>
      </c>
      <c r="Q921" s="6" t="s">
        <v>31</v>
      </c>
      <c r="R921" s="6" t="s">
        <v>78</v>
      </c>
      <c r="S921" s="6" t="s">
        <v>54</v>
      </c>
      <c r="T921" s="6" t="s">
        <v>29</v>
      </c>
      <c r="U921" s="6" t="s">
        <v>28</v>
      </c>
      <c r="V921" s="6" t="s">
        <v>146</v>
      </c>
      <c r="W921" t="s">
        <v>785</v>
      </c>
    </row>
    <row r="922" spans="1:23" x14ac:dyDescent="0.3">
      <c r="A922" s="6" t="s">
        <v>375</v>
      </c>
      <c r="B922" s="1">
        <v>45748</v>
      </c>
      <c r="C922" s="6" t="s">
        <v>33</v>
      </c>
      <c r="D922" s="6" t="s">
        <v>78</v>
      </c>
      <c r="E922" s="6" t="s">
        <v>68</v>
      </c>
      <c r="F922" s="6" t="s">
        <v>24</v>
      </c>
      <c r="G922" s="6" t="s">
        <v>69</v>
      </c>
      <c r="H922" s="6" t="s">
        <v>48</v>
      </c>
      <c r="I922" s="6" t="s">
        <v>27</v>
      </c>
      <c r="J922" s="6" t="s">
        <v>78</v>
      </c>
      <c r="K922" s="6" t="s">
        <v>48</v>
      </c>
      <c r="L922" s="6" t="s">
        <v>152</v>
      </c>
      <c r="M922" s="6" t="s">
        <v>48</v>
      </c>
      <c r="N922" s="6" t="s">
        <v>159</v>
      </c>
      <c r="O922" s="6" t="s">
        <v>30</v>
      </c>
      <c r="P922" s="6" t="s">
        <v>58</v>
      </c>
      <c r="Q922" s="6" t="s">
        <v>31</v>
      </c>
      <c r="R922" s="6" t="s">
        <v>78</v>
      </c>
      <c r="S922" s="6" t="s">
        <v>54</v>
      </c>
      <c r="T922" s="6" t="s">
        <v>32</v>
      </c>
      <c r="U922" s="6" t="s">
        <v>28</v>
      </c>
      <c r="V922" s="6" t="s">
        <v>146</v>
      </c>
      <c r="W922" t="s">
        <v>785</v>
      </c>
    </row>
    <row r="923" spans="1:23" x14ac:dyDescent="0.3">
      <c r="A923" s="6" t="s">
        <v>373</v>
      </c>
      <c r="B923" s="1">
        <v>45748</v>
      </c>
      <c r="C923" s="6" t="s">
        <v>33</v>
      </c>
      <c r="D923" s="6" t="s">
        <v>78</v>
      </c>
      <c r="E923" s="6" t="s">
        <v>68</v>
      </c>
      <c r="F923" s="6" t="s">
        <v>24</v>
      </c>
      <c r="G923" s="6" t="s">
        <v>69</v>
      </c>
      <c r="H923" s="6" t="s">
        <v>48</v>
      </c>
      <c r="I923" s="6" t="s">
        <v>27</v>
      </c>
      <c r="J923" s="6" t="s">
        <v>78</v>
      </c>
      <c r="K923" s="6" t="s">
        <v>48</v>
      </c>
      <c r="L923" s="6" t="s">
        <v>152</v>
      </c>
      <c r="M923" s="6" t="s">
        <v>48</v>
      </c>
      <c r="N923" s="6" t="s">
        <v>159</v>
      </c>
      <c r="O923" s="6" t="s">
        <v>26</v>
      </c>
      <c r="P923" s="6" t="s">
        <v>100</v>
      </c>
      <c r="Q923" s="6" t="s">
        <v>31</v>
      </c>
      <c r="R923" s="6" t="s">
        <v>78</v>
      </c>
      <c r="S923" s="6" t="s">
        <v>54</v>
      </c>
      <c r="T923" s="6" t="s">
        <v>32</v>
      </c>
      <c r="U923" s="6" t="s">
        <v>28</v>
      </c>
      <c r="V923" s="6" t="s">
        <v>82</v>
      </c>
      <c r="W923" t="s">
        <v>785</v>
      </c>
    </row>
    <row r="924" spans="1:23" x14ac:dyDescent="0.3">
      <c r="A924" s="6" t="s">
        <v>374</v>
      </c>
      <c r="B924" s="1">
        <v>45748</v>
      </c>
      <c r="C924" s="6" t="s">
        <v>33</v>
      </c>
      <c r="D924" s="6" t="s">
        <v>78</v>
      </c>
      <c r="E924" s="6" t="s">
        <v>68</v>
      </c>
      <c r="F924" s="6" t="s">
        <v>24</v>
      </c>
      <c r="G924" s="6" t="s">
        <v>69</v>
      </c>
      <c r="H924" s="6" t="s">
        <v>48</v>
      </c>
      <c r="I924" s="6" t="s">
        <v>27</v>
      </c>
      <c r="J924" s="6" t="s">
        <v>78</v>
      </c>
      <c r="K924" s="6" t="s">
        <v>48</v>
      </c>
      <c r="L924" s="6" t="s">
        <v>152</v>
      </c>
      <c r="M924" s="6" t="s">
        <v>48</v>
      </c>
      <c r="N924" s="6" t="s">
        <v>159</v>
      </c>
      <c r="O924" s="6" t="s">
        <v>48</v>
      </c>
      <c r="P924" s="6" t="s">
        <v>48</v>
      </c>
      <c r="Q924" s="6" t="s">
        <v>31</v>
      </c>
      <c r="R924" s="6" t="s">
        <v>78</v>
      </c>
      <c r="S924" s="6" t="s">
        <v>54</v>
      </c>
      <c r="T924" s="6" t="s">
        <v>29</v>
      </c>
      <c r="U924" s="6" t="s">
        <v>28</v>
      </c>
      <c r="V924" s="6" t="s">
        <v>82</v>
      </c>
      <c r="W924" t="s">
        <v>785</v>
      </c>
    </row>
    <row r="925" spans="1:23" x14ac:dyDescent="0.3">
      <c r="A925" s="6" t="s">
        <v>375</v>
      </c>
      <c r="B925" s="1">
        <v>45748</v>
      </c>
      <c r="C925" s="6" t="s">
        <v>33</v>
      </c>
      <c r="D925" s="6" t="s">
        <v>78</v>
      </c>
      <c r="E925" s="6" t="s">
        <v>68</v>
      </c>
      <c r="F925" s="6" t="s">
        <v>24</v>
      </c>
      <c r="G925" s="6" t="s">
        <v>69</v>
      </c>
      <c r="H925" s="6" t="s">
        <v>48</v>
      </c>
      <c r="I925" s="6" t="s">
        <v>27</v>
      </c>
      <c r="J925" s="6" t="s">
        <v>78</v>
      </c>
      <c r="K925" s="6" t="s">
        <v>48</v>
      </c>
      <c r="L925" s="6" t="s">
        <v>152</v>
      </c>
      <c r="M925" s="6" t="s">
        <v>48</v>
      </c>
      <c r="N925" s="6" t="s">
        <v>159</v>
      </c>
      <c r="O925" s="6" t="s">
        <v>30</v>
      </c>
      <c r="P925" s="6" t="s">
        <v>58</v>
      </c>
      <c r="Q925" s="6" t="s">
        <v>31</v>
      </c>
      <c r="R925" s="6" t="s">
        <v>78</v>
      </c>
      <c r="S925" s="6" t="s">
        <v>54</v>
      </c>
      <c r="T925" s="6" t="s">
        <v>32</v>
      </c>
      <c r="U925" s="6" t="s">
        <v>28</v>
      </c>
      <c r="V925" s="6" t="s">
        <v>82</v>
      </c>
      <c r="W925" t="s">
        <v>785</v>
      </c>
    </row>
    <row r="926" spans="1:23" x14ac:dyDescent="0.3">
      <c r="A926" s="6" t="s">
        <v>376</v>
      </c>
      <c r="B926" s="1">
        <v>45749</v>
      </c>
      <c r="C926" s="6" t="s">
        <v>21</v>
      </c>
      <c r="D926" s="6" t="s">
        <v>22</v>
      </c>
      <c r="E926" s="6" t="s">
        <v>64</v>
      </c>
      <c r="F926" s="6" t="s">
        <v>24</v>
      </c>
      <c r="G926" s="6" t="s">
        <v>47</v>
      </c>
      <c r="H926" s="6" t="s">
        <v>48</v>
      </c>
      <c r="I926" s="6" t="s">
        <v>27</v>
      </c>
      <c r="J926" s="6" t="s">
        <v>22</v>
      </c>
      <c r="K926" s="6" t="s">
        <v>48</v>
      </c>
      <c r="L926" s="6" t="s">
        <v>54</v>
      </c>
      <c r="M926" s="6" t="s">
        <v>48</v>
      </c>
      <c r="N926" s="6" t="s">
        <v>28</v>
      </c>
      <c r="O926" s="6" t="s">
        <v>48</v>
      </c>
      <c r="P926" s="6" t="s">
        <v>48</v>
      </c>
      <c r="Q926" s="6" t="s">
        <v>48</v>
      </c>
      <c r="R926" s="6" t="s">
        <v>22</v>
      </c>
      <c r="S926" s="6" t="s">
        <v>54</v>
      </c>
      <c r="T926" s="6" t="s">
        <v>48</v>
      </c>
      <c r="U926" s="6" t="s">
        <v>59</v>
      </c>
      <c r="V926" s="6" t="s">
        <v>82</v>
      </c>
      <c r="W926" t="s">
        <v>785</v>
      </c>
    </row>
    <row r="927" spans="1:23" x14ac:dyDescent="0.3">
      <c r="A927" s="6" t="s">
        <v>377</v>
      </c>
      <c r="B927" s="1">
        <v>45750</v>
      </c>
      <c r="C927" s="6" t="s">
        <v>84</v>
      </c>
      <c r="D927" s="6" t="s">
        <v>22</v>
      </c>
      <c r="E927" s="6" t="s">
        <v>68</v>
      </c>
      <c r="F927" s="6" t="s">
        <v>24</v>
      </c>
      <c r="G927" s="6" t="s">
        <v>104</v>
      </c>
      <c r="H927" s="6" t="s">
        <v>26</v>
      </c>
      <c r="I927" s="6" t="s">
        <v>38</v>
      </c>
      <c r="J927" s="6" t="s">
        <v>22</v>
      </c>
      <c r="K927" s="6" t="s">
        <v>120</v>
      </c>
      <c r="L927" s="6" t="s">
        <v>378</v>
      </c>
      <c r="M927" s="6" t="s">
        <v>32</v>
      </c>
      <c r="N927" s="6" t="s">
        <v>63</v>
      </c>
      <c r="O927" s="6" t="s">
        <v>26</v>
      </c>
      <c r="P927" s="6" t="s">
        <v>48</v>
      </c>
      <c r="Q927" s="6" t="s">
        <v>48</v>
      </c>
      <c r="R927" s="6" t="s">
        <v>22</v>
      </c>
      <c r="S927" s="6" t="s">
        <v>54</v>
      </c>
      <c r="T927" s="6" t="s">
        <v>48</v>
      </c>
      <c r="U927" s="6" t="s">
        <v>28</v>
      </c>
      <c r="V927" s="6" t="s">
        <v>82</v>
      </c>
      <c r="W927" t="s">
        <v>785</v>
      </c>
    </row>
    <row r="928" spans="1:23" x14ac:dyDescent="0.3">
      <c r="A928" s="6" t="s">
        <v>379</v>
      </c>
      <c r="B928" s="1">
        <v>45750</v>
      </c>
      <c r="C928" s="6" t="s">
        <v>84</v>
      </c>
      <c r="D928" s="6" t="s">
        <v>22</v>
      </c>
      <c r="E928" s="6" t="s">
        <v>68</v>
      </c>
      <c r="F928" s="6" t="s">
        <v>24</v>
      </c>
      <c r="G928" s="6" t="s">
        <v>104</v>
      </c>
      <c r="H928" s="6" t="s">
        <v>26</v>
      </c>
      <c r="I928" s="6" t="s">
        <v>38</v>
      </c>
      <c r="J928" s="6" t="s">
        <v>22</v>
      </c>
      <c r="K928" s="6" t="s">
        <v>120</v>
      </c>
      <c r="L928" s="6" t="s">
        <v>378</v>
      </c>
      <c r="M928" s="6" t="s">
        <v>32</v>
      </c>
      <c r="N928" s="6" t="s">
        <v>63</v>
      </c>
      <c r="O928" s="6" t="s">
        <v>26</v>
      </c>
      <c r="P928" s="6" t="s">
        <v>48</v>
      </c>
      <c r="Q928" s="6" t="s">
        <v>48</v>
      </c>
      <c r="R928" s="6" t="s">
        <v>22</v>
      </c>
      <c r="S928" s="6" t="s">
        <v>54</v>
      </c>
      <c r="T928" s="6" t="s">
        <v>48</v>
      </c>
      <c r="U928" s="6" t="s">
        <v>28</v>
      </c>
      <c r="V928" s="6" t="s">
        <v>82</v>
      </c>
      <c r="W928" t="s">
        <v>785</v>
      </c>
    </row>
    <row r="929" spans="1:23" x14ac:dyDescent="0.3">
      <c r="A929" s="6" t="s">
        <v>380</v>
      </c>
      <c r="B929" s="1">
        <v>45750</v>
      </c>
      <c r="C929" s="6" t="s">
        <v>39</v>
      </c>
      <c r="D929" s="6" t="s">
        <v>43</v>
      </c>
      <c r="E929" s="6" t="s">
        <v>35</v>
      </c>
      <c r="F929" s="6" t="s">
        <v>24</v>
      </c>
      <c r="G929" s="6" t="s">
        <v>69</v>
      </c>
      <c r="H929" s="6" t="s">
        <v>26</v>
      </c>
      <c r="I929" s="6" t="s">
        <v>52</v>
      </c>
      <c r="J929" s="6" t="s">
        <v>43</v>
      </c>
      <c r="K929" s="6" t="s">
        <v>48</v>
      </c>
      <c r="L929" s="6" t="s">
        <v>54</v>
      </c>
      <c r="M929" s="6" t="s">
        <v>55</v>
      </c>
      <c r="N929" s="6" t="s">
        <v>28</v>
      </c>
      <c r="O929" s="6" t="s">
        <v>26</v>
      </c>
      <c r="P929" s="6" t="s">
        <v>45</v>
      </c>
      <c r="Q929" s="6" t="s">
        <v>31</v>
      </c>
      <c r="R929" s="6" t="s">
        <v>43</v>
      </c>
      <c r="S929" s="6" t="s">
        <v>54</v>
      </c>
      <c r="T929" s="6" t="s">
        <v>29</v>
      </c>
      <c r="U929" s="6" t="s">
        <v>28</v>
      </c>
      <c r="V929" s="6" t="s">
        <v>82</v>
      </c>
      <c r="W929" t="s">
        <v>785</v>
      </c>
    </row>
    <row r="930" spans="1:23" x14ac:dyDescent="0.3">
      <c r="A930" s="6" t="s">
        <v>381</v>
      </c>
      <c r="B930" s="1">
        <v>45750</v>
      </c>
      <c r="C930" s="6" t="s">
        <v>343</v>
      </c>
      <c r="D930" s="6" t="s">
        <v>43</v>
      </c>
      <c r="E930" s="6" t="s">
        <v>35</v>
      </c>
      <c r="F930" s="6" t="s">
        <v>24</v>
      </c>
      <c r="G930" s="6" t="s">
        <v>97</v>
      </c>
      <c r="H930" s="6" t="s">
        <v>26</v>
      </c>
      <c r="I930" s="6" t="s">
        <v>45</v>
      </c>
      <c r="J930" s="6" t="s">
        <v>43</v>
      </c>
      <c r="K930" s="6" t="s">
        <v>48</v>
      </c>
      <c r="L930" s="6" t="s">
        <v>54</v>
      </c>
      <c r="M930" s="6" t="s">
        <v>29</v>
      </c>
      <c r="N930" s="6" t="s">
        <v>28</v>
      </c>
      <c r="O930" s="6" t="s">
        <v>26</v>
      </c>
      <c r="P930" s="6" t="s">
        <v>27</v>
      </c>
      <c r="Q930" s="6" t="s">
        <v>31</v>
      </c>
      <c r="R930" s="6" t="s">
        <v>43</v>
      </c>
      <c r="S930" s="6" t="s">
        <v>54</v>
      </c>
      <c r="T930" s="6" t="s">
        <v>55</v>
      </c>
      <c r="U930" s="6" t="s">
        <v>28</v>
      </c>
      <c r="V930" s="6" t="s">
        <v>82</v>
      </c>
      <c r="W930" t="s">
        <v>785</v>
      </c>
    </row>
    <row r="931" spans="1:23" x14ac:dyDescent="0.3">
      <c r="A931" s="6" t="s">
        <v>382</v>
      </c>
      <c r="B931" s="1">
        <v>45750</v>
      </c>
      <c r="C931" s="6" t="s">
        <v>33</v>
      </c>
      <c r="D931" s="6" t="s">
        <v>43</v>
      </c>
      <c r="E931" s="6" t="s">
        <v>64</v>
      </c>
      <c r="F931" s="6" t="s">
        <v>24</v>
      </c>
      <c r="G931" s="6" t="s">
        <v>61</v>
      </c>
      <c r="H931" s="6" t="s">
        <v>26</v>
      </c>
      <c r="I931" s="6" t="s">
        <v>58</v>
      </c>
      <c r="J931" s="6" t="s">
        <v>43</v>
      </c>
      <c r="K931" s="6" t="s">
        <v>48</v>
      </c>
      <c r="L931" s="6" t="s">
        <v>54</v>
      </c>
      <c r="M931" s="6" t="s">
        <v>32</v>
      </c>
      <c r="N931" s="6" t="s">
        <v>28</v>
      </c>
      <c r="O931" s="6" t="s">
        <v>30</v>
      </c>
      <c r="P931" s="6" t="s">
        <v>48</v>
      </c>
      <c r="Q931" s="6" t="s">
        <v>48</v>
      </c>
      <c r="R931" s="6" t="s">
        <v>43</v>
      </c>
      <c r="S931" s="6" t="s">
        <v>54</v>
      </c>
      <c r="T931" s="6" t="s">
        <v>48</v>
      </c>
      <c r="U931" s="6" t="s">
        <v>28</v>
      </c>
      <c r="V931" s="6" t="s">
        <v>146</v>
      </c>
      <c r="W931" t="s">
        <v>785</v>
      </c>
    </row>
    <row r="932" spans="1:23" x14ac:dyDescent="0.3">
      <c r="A932" s="6" t="s">
        <v>382</v>
      </c>
      <c r="B932" s="1">
        <v>45750</v>
      </c>
      <c r="C932" s="6" t="s">
        <v>33</v>
      </c>
      <c r="D932" s="6" t="s">
        <v>43</v>
      </c>
      <c r="E932" s="6" t="s">
        <v>64</v>
      </c>
      <c r="F932" s="6" t="s">
        <v>24</v>
      </c>
      <c r="G932" s="6" t="s">
        <v>61</v>
      </c>
      <c r="H932" s="6" t="s">
        <v>26</v>
      </c>
      <c r="I932" s="6" t="s">
        <v>58</v>
      </c>
      <c r="J932" s="6" t="s">
        <v>43</v>
      </c>
      <c r="K932" s="6" t="s">
        <v>48</v>
      </c>
      <c r="L932" s="6" t="s">
        <v>54</v>
      </c>
      <c r="M932" s="6" t="s">
        <v>32</v>
      </c>
      <c r="N932" s="6" t="s">
        <v>28</v>
      </c>
      <c r="O932" s="6" t="s">
        <v>30</v>
      </c>
      <c r="P932" s="6" t="s">
        <v>48</v>
      </c>
      <c r="Q932" s="6" t="s">
        <v>48</v>
      </c>
      <c r="R932" s="6" t="s">
        <v>43</v>
      </c>
      <c r="S932" s="6" t="s">
        <v>54</v>
      </c>
      <c r="T932" s="6" t="s">
        <v>48</v>
      </c>
      <c r="U932" s="6" t="s">
        <v>28</v>
      </c>
      <c r="V932" s="6" t="s">
        <v>82</v>
      </c>
      <c r="W932" t="s">
        <v>785</v>
      </c>
    </row>
    <row r="933" spans="1:23" x14ac:dyDescent="0.3">
      <c r="A933" s="6" t="s">
        <v>383</v>
      </c>
      <c r="B933" s="1">
        <v>45751</v>
      </c>
      <c r="C933" s="6" t="s">
        <v>343</v>
      </c>
      <c r="D933" s="6" t="s">
        <v>40</v>
      </c>
      <c r="E933" s="6" t="s">
        <v>35</v>
      </c>
      <c r="F933" s="6" t="s">
        <v>24</v>
      </c>
      <c r="G933" s="6" t="s">
        <v>61</v>
      </c>
      <c r="H933" s="6" t="s">
        <v>48</v>
      </c>
      <c r="I933" s="6" t="s">
        <v>37</v>
      </c>
      <c r="J933" s="6" t="s">
        <v>40</v>
      </c>
      <c r="K933" s="6" t="s">
        <v>48</v>
      </c>
      <c r="L933" s="6" t="s">
        <v>154</v>
      </c>
      <c r="M933" s="6" t="s">
        <v>48</v>
      </c>
      <c r="N933" s="6" t="s">
        <v>63</v>
      </c>
      <c r="O933" s="6" t="s">
        <v>48</v>
      </c>
      <c r="P933" s="6" t="s">
        <v>45</v>
      </c>
      <c r="Q933" s="6" t="s">
        <v>48</v>
      </c>
      <c r="R933" s="6" t="s">
        <v>49</v>
      </c>
      <c r="S933" s="6" t="s">
        <v>154</v>
      </c>
      <c r="T933" s="6" t="s">
        <v>48</v>
      </c>
      <c r="U933" s="6" t="s">
        <v>28</v>
      </c>
      <c r="V933" s="6" t="s">
        <v>82</v>
      </c>
      <c r="W933" t="s">
        <v>785</v>
      </c>
    </row>
    <row r="934" spans="1:23" x14ac:dyDescent="0.3">
      <c r="A934" s="6" t="s">
        <v>384</v>
      </c>
      <c r="B934" s="1">
        <v>45751</v>
      </c>
      <c r="C934" s="6" t="s">
        <v>343</v>
      </c>
      <c r="D934" s="6" t="s">
        <v>43</v>
      </c>
      <c r="E934" s="6" t="s">
        <v>46</v>
      </c>
      <c r="F934" s="6" t="s">
        <v>24</v>
      </c>
      <c r="G934" s="6" t="s">
        <v>61</v>
      </c>
      <c r="H934" s="6" t="s">
        <v>48</v>
      </c>
      <c r="I934" s="6" t="s">
        <v>38</v>
      </c>
      <c r="J934" s="6" t="s">
        <v>43</v>
      </c>
      <c r="K934" s="6" t="s">
        <v>48</v>
      </c>
      <c r="L934" s="6" t="s">
        <v>54</v>
      </c>
      <c r="M934" s="6" t="s">
        <v>48</v>
      </c>
      <c r="N934" s="6" t="s">
        <v>28</v>
      </c>
      <c r="O934" s="6" t="s">
        <v>48</v>
      </c>
      <c r="P934" s="6" t="s">
        <v>48</v>
      </c>
      <c r="Q934" s="6" t="s">
        <v>48</v>
      </c>
      <c r="R934" s="6" t="s">
        <v>43</v>
      </c>
      <c r="S934" s="6" t="s">
        <v>54</v>
      </c>
      <c r="T934" s="6" t="s">
        <v>48</v>
      </c>
      <c r="U934" s="6" t="s">
        <v>77</v>
      </c>
      <c r="V934" s="6" t="s">
        <v>146</v>
      </c>
      <c r="W934" t="s">
        <v>785</v>
      </c>
    </row>
    <row r="935" spans="1:23" x14ac:dyDescent="0.3">
      <c r="A935" s="6" t="s">
        <v>384</v>
      </c>
      <c r="B935" s="1">
        <v>45751</v>
      </c>
      <c r="C935" s="6" t="s">
        <v>343</v>
      </c>
      <c r="D935" s="6" t="s">
        <v>43</v>
      </c>
      <c r="E935" s="6" t="s">
        <v>46</v>
      </c>
      <c r="F935" s="6" t="s">
        <v>24</v>
      </c>
      <c r="G935" s="6" t="s">
        <v>61</v>
      </c>
      <c r="H935" s="6" t="s">
        <v>48</v>
      </c>
      <c r="I935" s="6" t="s">
        <v>38</v>
      </c>
      <c r="J935" s="6" t="s">
        <v>43</v>
      </c>
      <c r="K935" s="6" t="s">
        <v>48</v>
      </c>
      <c r="L935" s="6" t="s">
        <v>54</v>
      </c>
      <c r="M935" s="6" t="s">
        <v>48</v>
      </c>
      <c r="N935" s="6" t="s">
        <v>28</v>
      </c>
      <c r="O935" s="6" t="s">
        <v>48</v>
      </c>
      <c r="P935" s="6" t="s">
        <v>48</v>
      </c>
      <c r="Q935" s="6" t="s">
        <v>48</v>
      </c>
      <c r="R935" s="6" t="s">
        <v>43</v>
      </c>
      <c r="S935" s="6" t="s">
        <v>54</v>
      </c>
      <c r="T935" s="6" t="s">
        <v>48</v>
      </c>
      <c r="U935" s="6" t="s">
        <v>77</v>
      </c>
      <c r="V935" s="6" t="s">
        <v>137</v>
      </c>
      <c r="W935" t="s">
        <v>785</v>
      </c>
    </row>
    <row r="936" spans="1:23" x14ac:dyDescent="0.3">
      <c r="A936" s="6" t="s">
        <v>385</v>
      </c>
      <c r="B936" s="1">
        <v>45751</v>
      </c>
      <c r="C936" s="6" t="s">
        <v>343</v>
      </c>
      <c r="D936" s="6" t="s">
        <v>43</v>
      </c>
      <c r="E936" s="6" t="s">
        <v>46</v>
      </c>
      <c r="F936" s="6" t="s">
        <v>24</v>
      </c>
      <c r="G936" s="6" t="s">
        <v>61</v>
      </c>
      <c r="H936" s="6" t="s">
        <v>26</v>
      </c>
      <c r="I936" s="6" t="s">
        <v>58</v>
      </c>
      <c r="J936" s="6" t="s">
        <v>43</v>
      </c>
      <c r="K936" s="6" t="s">
        <v>48</v>
      </c>
      <c r="L936" s="6" t="s">
        <v>54</v>
      </c>
      <c r="M936" s="6" t="s">
        <v>29</v>
      </c>
      <c r="N936" s="6" t="s">
        <v>28</v>
      </c>
      <c r="O936" s="6" t="s">
        <v>30</v>
      </c>
      <c r="P936" s="6" t="s">
        <v>52</v>
      </c>
      <c r="Q936" s="6" t="s">
        <v>31</v>
      </c>
      <c r="R936" s="6" t="s">
        <v>43</v>
      </c>
      <c r="S936" s="6" t="s">
        <v>54</v>
      </c>
      <c r="T936" s="6" t="s">
        <v>29</v>
      </c>
      <c r="U936" s="6" t="s">
        <v>28</v>
      </c>
      <c r="V936" s="6" t="s">
        <v>82</v>
      </c>
      <c r="W936" t="s">
        <v>785</v>
      </c>
    </row>
    <row r="937" spans="1:23" x14ac:dyDescent="0.3">
      <c r="A937" s="6" t="s">
        <v>387</v>
      </c>
      <c r="B937" s="1">
        <v>45751</v>
      </c>
      <c r="C937" s="6" t="s">
        <v>343</v>
      </c>
      <c r="D937" s="6" t="s">
        <v>43</v>
      </c>
      <c r="E937" s="6" t="s">
        <v>41</v>
      </c>
      <c r="F937" s="6" t="s">
        <v>24</v>
      </c>
      <c r="G937" s="6" t="s">
        <v>61</v>
      </c>
      <c r="H937" s="6" t="s">
        <v>26</v>
      </c>
      <c r="I937" s="6" t="s">
        <v>66</v>
      </c>
      <c r="J937" s="6" t="s">
        <v>43</v>
      </c>
      <c r="K937" s="6" t="s">
        <v>48</v>
      </c>
      <c r="L937" s="6" t="s">
        <v>54</v>
      </c>
      <c r="M937" s="6" t="s">
        <v>29</v>
      </c>
      <c r="N937" s="6" t="s">
        <v>28</v>
      </c>
      <c r="O937" s="6" t="s">
        <v>26</v>
      </c>
      <c r="P937" s="6" t="s">
        <v>48</v>
      </c>
      <c r="Q937" s="6" t="s">
        <v>48</v>
      </c>
      <c r="R937" s="6" t="s">
        <v>43</v>
      </c>
      <c r="S937" s="6" t="s">
        <v>54</v>
      </c>
      <c r="T937" s="6" t="s">
        <v>48</v>
      </c>
      <c r="U937" s="6" t="s">
        <v>28</v>
      </c>
      <c r="V937" s="6" t="s">
        <v>82</v>
      </c>
      <c r="W937" t="s">
        <v>785</v>
      </c>
    </row>
    <row r="938" spans="1:23" x14ac:dyDescent="0.3">
      <c r="A938" s="6" t="s">
        <v>386</v>
      </c>
      <c r="B938" s="1">
        <v>45751</v>
      </c>
      <c r="C938" s="6" t="s">
        <v>343</v>
      </c>
      <c r="D938" s="6" t="s">
        <v>43</v>
      </c>
      <c r="E938" s="6" t="s">
        <v>41</v>
      </c>
      <c r="F938" s="6" t="s">
        <v>24</v>
      </c>
      <c r="G938" s="6" t="s">
        <v>61</v>
      </c>
      <c r="H938" s="6" t="s">
        <v>26</v>
      </c>
      <c r="I938" s="6" t="s">
        <v>66</v>
      </c>
      <c r="J938" s="6" t="s">
        <v>43</v>
      </c>
      <c r="K938" s="6" t="s">
        <v>48</v>
      </c>
      <c r="L938" s="6" t="s">
        <v>54</v>
      </c>
      <c r="M938" s="6" t="s">
        <v>29</v>
      </c>
      <c r="N938" s="6" t="s">
        <v>28</v>
      </c>
      <c r="O938" s="6" t="s">
        <v>30</v>
      </c>
      <c r="P938" s="6" t="s">
        <v>48</v>
      </c>
      <c r="Q938" s="6" t="s">
        <v>48</v>
      </c>
      <c r="R938" s="6" t="s">
        <v>43</v>
      </c>
      <c r="S938" s="6" t="s">
        <v>54</v>
      </c>
      <c r="T938" s="6" t="s">
        <v>48</v>
      </c>
      <c r="U938" s="6" t="s">
        <v>28</v>
      </c>
      <c r="V938" s="6" t="s">
        <v>137</v>
      </c>
      <c r="W938" t="s">
        <v>785</v>
      </c>
    </row>
    <row r="939" spans="1:23" x14ac:dyDescent="0.3">
      <c r="A939" s="6" t="s">
        <v>387</v>
      </c>
      <c r="B939" s="1">
        <v>45751</v>
      </c>
      <c r="C939" s="6" t="s">
        <v>343</v>
      </c>
      <c r="D939" s="6" t="s">
        <v>43</v>
      </c>
      <c r="E939" s="6" t="s">
        <v>41</v>
      </c>
      <c r="F939" s="6" t="s">
        <v>24</v>
      </c>
      <c r="G939" s="6" t="s">
        <v>61</v>
      </c>
      <c r="H939" s="6" t="s">
        <v>26</v>
      </c>
      <c r="I939" s="6" t="s">
        <v>66</v>
      </c>
      <c r="J939" s="6" t="s">
        <v>43</v>
      </c>
      <c r="K939" s="6" t="s">
        <v>48</v>
      </c>
      <c r="L939" s="6" t="s">
        <v>54</v>
      </c>
      <c r="M939" s="6" t="s">
        <v>29</v>
      </c>
      <c r="N939" s="6" t="s">
        <v>28</v>
      </c>
      <c r="O939" s="6" t="s">
        <v>26</v>
      </c>
      <c r="P939" s="6" t="s">
        <v>48</v>
      </c>
      <c r="Q939" s="6" t="s">
        <v>48</v>
      </c>
      <c r="R939" s="6" t="s">
        <v>43</v>
      </c>
      <c r="S939" s="6" t="s">
        <v>54</v>
      </c>
      <c r="T939" s="6" t="s">
        <v>48</v>
      </c>
      <c r="U939" s="6" t="s">
        <v>28</v>
      </c>
      <c r="V939" s="6" t="s">
        <v>137</v>
      </c>
      <c r="W939" t="s">
        <v>785</v>
      </c>
    </row>
    <row r="940" spans="1:23" x14ac:dyDescent="0.3">
      <c r="A940" s="6" t="s">
        <v>386</v>
      </c>
      <c r="B940" s="1">
        <v>45751</v>
      </c>
      <c r="C940" s="6" t="s">
        <v>343</v>
      </c>
      <c r="D940" s="6" t="s">
        <v>43</v>
      </c>
      <c r="E940" s="6" t="s">
        <v>41</v>
      </c>
      <c r="F940" s="6" t="s">
        <v>24</v>
      </c>
      <c r="G940" s="6" t="s">
        <v>61</v>
      </c>
      <c r="H940" s="6" t="s">
        <v>26</v>
      </c>
      <c r="I940" s="6" t="s">
        <v>66</v>
      </c>
      <c r="J940" s="6" t="s">
        <v>43</v>
      </c>
      <c r="K940" s="6" t="s">
        <v>48</v>
      </c>
      <c r="L940" s="6" t="s">
        <v>54</v>
      </c>
      <c r="M940" s="6" t="s">
        <v>29</v>
      </c>
      <c r="N940" s="6" t="s">
        <v>28</v>
      </c>
      <c r="O940" s="6" t="s">
        <v>30</v>
      </c>
      <c r="P940" s="6" t="s">
        <v>48</v>
      </c>
      <c r="Q940" s="6" t="s">
        <v>48</v>
      </c>
      <c r="R940" s="6" t="s">
        <v>43</v>
      </c>
      <c r="S940" s="6" t="s">
        <v>54</v>
      </c>
      <c r="T940" s="6" t="s">
        <v>48</v>
      </c>
      <c r="U940" s="6" t="s">
        <v>28</v>
      </c>
      <c r="V940" s="6" t="s">
        <v>82</v>
      </c>
      <c r="W940" t="s">
        <v>785</v>
      </c>
    </row>
    <row r="941" spans="1:23" x14ac:dyDescent="0.3">
      <c r="A941" s="6" t="s">
        <v>387</v>
      </c>
      <c r="B941" s="1">
        <v>45751</v>
      </c>
      <c r="C941" s="6" t="s">
        <v>343</v>
      </c>
      <c r="D941" s="6" t="s">
        <v>43</v>
      </c>
      <c r="E941" s="6" t="s">
        <v>41</v>
      </c>
      <c r="F941" s="6" t="s">
        <v>24</v>
      </c>
      <c r="G941" s="6" t="s">
        <v>61</v>
      </c>
      <c r="H941" s="6" t="s">
        <v>26</v>
      </c>
      <c r="I941" s="6" t="s">
        <v>66</v>
      </c>
      <c r="J941" s="6" t="s">
        <v>43</v>
      </c>
      <c r="K941" s="6" t="s">
        <v>48</v>
      </c>
      <c r="L941" s="6" t="s">
        <v>54</v>
      </c>
      <c r="M941" s="6" t="s">
        <v>29</v>
      </c>
      <c r="N941" s="6" t="s">
        <v>28</v>
      </c>
      <c r="O941" s="6" t="s">
        <v>26</v>
      </c>
      <c r="P941" s="6" t="s">
        <v>48</v>
      </c>
      <c r="Q941" s="6" t="s">
        <v>48</v>
      </c>
      <c r="R941" s="6" t="s">
        <v>43</v>
      </c>
      <c r="S941" s="6" t="s">
        <v>54</v>
      </c>
      <c r="T941" s="6" t="s">
        <v>48</v>
      </c>
      <c r="U941" s="6" t="s">
        <v>28</v>
      </c>
      <c r="V941" s="6" t="s">
        <v>146</v>
      </c>
      <c r="W941" t="s">
        <v>785</v>
      </c>
    </row>
    <row r="942" spans="1:23" x14ac:dyDescent="0.3">
      <c r="A942" s="6" t="s">
        <v>386</v>
      </c>
      <c r="B942" s="1">
        <v>45751</v>
      </c>
      <c r="C942" s="6" t="s">
        <v>343</v>
      </c>
      <c r="D942" s="6" t="s">
        <v>43</v>
      </c>
      <c r="E942" s="6" t="s">
        <v>41</v>
      </c>
      <c r="F942" s="6" t="s">
        <v>24</v>
      </c>
      <c r="G942" s="6" t="s">
        <v>61</v>
      </c>
      <c r="H942" s="6" t="s">
        <v>26</v>
      </c>
      <c r="I942" s="6" t="s">
        <v>66</v>
      </c>
      <c r="J942" s="6" t="s">
        <v>43</v>
      </c>
      <c r="K942" s="6" t="s">
        <v>48</v>
      </c>
      <c r="L942" s="6" t="s">
        <v>54</v>
      </c>
      <c r="M942" s="6" t="s">
        <v>29</v>
      </c>
      <c r="N942" s="6" t="s">
        <v>28</v>
      </c>
      <c r="O942" s="6" t="s">
        <v>30</v>
      </c>
      <c r="P942" s="6" t="s">
        <v>48</v>
      </c>
      <c r="Q942" s="6" t="s">
        <v>48</v>
      </c>
      <c r="R942" s="6" t="s">
        <v>43</v>
      </c>
      <c r="S942" s="6" t="s">
        <v>54</v>
      </c>
      <c r="T942" s="6" t="s">
        <v>48</v>
      </c>
      <c r="U942" s="6" t="s">
        <v>28</v>
      </c>
      <c r="V942" s="6" t="s">
        <v>146</v>
      </c>
      <c r="W942" t="s">
        <v>785</v>
      </c>
    </row>
    <row r="943" spans="1:23" x14ac:dyDescent="0.3">
      <c r="A943" s="6" t="s">
        <v>388</v>
      </c>
      <c r="B943" s="1">
        <v>45751</v>
      </c>
      <c r="C943" s="6" t="s">
        <v>343</v>
      </c>
      <c r="D943" s="6" t="s">
        <v>95</v>
      </c>
      <c r="E943" s="6" t="s">
        <v>68</v>
      </c>
      <c r="F943" s="6" t="s">
        <v>24</v>
      </c>
      <c r="G943" s="6" t="s">
        <v>51</v>
      </c>
      <c r="H943" s="6" t="s">
        <v>26</v>
      </c>
      <c r="I943" s="6" t="s">
        <v>42</v>
      </c>
      <c r="J943" s="6" t="s">
        <v>95</v>
      </c>
      <c r="K943" s="6" t="s">
        <v>48</v>
      </c>
      <c r="L943" s="6" t="s">
        <v>54</v>
      </c>
      <c r="M943" s="6" t="s">
        <v>32</v>
      </c>
      <c r="N943" s="6" t="s">
        <v>28</v>
      </c>
      <c r="O943" s="6" t="s">
        <v>48</v>
      </c>
      <c r="P943" s="6" t="s">
        <v>48</v>
      </c>
      <c r="Q943" s="6" t="s">
        <v>48</v>
      </c>
      <c r="R943" s="6" t="s">
        <v>95</v>
      </c>
      <c r="S943" s="6" t="s">
        <v>54</v>
      </c>
      <c r="T943" s="6" t="s">
        <v>48</v>
      </c>
      <c r="U943" s="6" t="s">
        <v>74</v>
      </c>
      <c r="V943" s="6" t="s">
        <v>82</v>
      </c>
      <c r="W943" t="s">
        <v>785</v>
      </c>
    </row>
    <row r="944" spans="1:23" x14ac:dyDescent="0.3">
      <c r="A944" s="6" t="s">
        <v>389</v>
      </c>
      <c r="B944" s="1">
        <v>45752</v>
      </c>
      <c r="C944" s="6" t="s">
        <v>21</v>
      </c>
      <c r="D944" s="6" t="s">
        <v>43</v>
      </c>
      <c r="E944" s="6" t="s">
        <v>41</v>
      </c>
      <c r="F944" s="6" t="s">
        <v>24</v>
      </c>
      <c r="G944" s="6" t="s">
        <v>140</v>
      </c>
      <c r="H944" s="6" t="s">
        <v>26</v>
      </c>
      <c r="I944" s="6" t="s">
        <v>45</v>
      </c>
      <c r="J944" s="6" t="s">
        <v>43</v>
      </c>
      <c r="K944" s="6" t="s">
        <v>48</v>
      </c>
      <c r="L944" s="6" t="s">
        <v>152</v>
      </c>
      <c r="M944" s="6" t="s">
        <v>29</v>
      </c>
      <c r="N944" s="6" t="s">
        <v>28</v>
      </c>
      <c r="O944" s="6" t="s">
        <v>30</v>
      </c>
      <c r="P944" s="6" t="s">
        <v>788</v>
      </c>
      <c r="Q944" s="6" t="s">
        <v>31</v>
      </c>
      <c r="R944" s="6" t="s">
        <v>43</v>
      </c>
      <c r="S944" s="6" t="s">
        <v>128</v>
      </c>
      <c r="T944" s="6" t="s">
        <v>29</v>
      </c>
      <c r="U944" s="6" t="s">
        <v>28</v>
      </c>
      <c r="V944" s="6" t="s">
        <v>146</v>
      </c>
      <c r="W944" t="s">
        <v>785</v>
      </c>
    </row>
    <row r="945" spans="1:23" x14ac:dyDescent="0.3">
      <c r="A945" s="6" t="s">
        <v>389</v>
      </c>
      <c r="B945" s="1">
        <v>45752</v>
      </c>
      <c r="C945" s="6" t="s">
        <v>21</v>
      </c>
      <c r="D945" s="6" t="s">
        <v>43</v>
      </c>
      <c r="E945" s="6" t="s">
        <v>41</v>
      </c>
      <c r="F945" s="6" t="s">
        <v>24</v>
      </c>
      <c r="G945" s="6" t="s">
        <v>140</v>
      </c>
      <c r="H945" s="6" t="s">
        <v>26</v>
      </c>
      <c r="I945" s="6" t="s">
        <v>45</v>
      </c>
      <c r="J945" s="6" t="s">
        <v>43</v>
      </c>
      <c r="K945" s="6" t="s">
        <v>48</v>
      </c>
      <c r="L945" s="6" t="s">
        <v>152</v>
      </c>
      <c r="M945" s="6" t="s">
        <v>29</v>
      </c>
      <c r="N945" s="6" t="s">
        <v>28</v>
      </c>
      <c r="O945" s="6" t="s">
        <v>30</v>
      </c>
      <c r="P945" s="6" t="s">
        <v>788</v>
      </c>
      <c r="Q945" s="6" t="s">
        <v>31</v>
      </c>
      <c r="R945" s="6" t="s">
        <v>43</v>
      </c>
      <c r="S945" s="6" t="s">
        <v>128</v>
      </c>
      <c r="T945" s="6" t="s">
        <v>29</v>
      </c>
      <c r="U945" s="6" t="s">
        <v>28</v>
      </c>
      <c r="V945" s="6" t="s">
        <v>137</v>
      </c>
      <c r="W945" t="s">
        <v>785</v>
      </c>
    </row>
    <row r="946" spans="1:23" x14ac:dyDescent="0.3">
      <c r="A946" s="6" t="s">
        <v>390</v>
      </c>
      <c r="B946" s="1">
        <v>45754</v>
      </c>
      <c r="C946" s="6" t="s">
        <v>343</v>
      </c>
      <c r="D946" s="6" t="s">
        <v>60</v>
      </c>
      <c r="E946" s="6" t="s">
        <v>35</v>
      </c>
      <c r="F946" s="6" t="s">
        <v>24</v>
      </c>
      <c r="G946" s="6" t="s">
        <v>71</v>
      </c>
      <c r="H946" s="6" t="s">
        <v>26</v>
      </c>
      <c r="I946" s="6" t="s">
        <v>38</v>
      </c>
      <c r="J946" s="6" t="s">
        <v>60</v>
      </c>
      <c r="K946" s="6" t="s">
        <v>48</v>
      </c>
      <c r="L946" s="6" t="s">
        <v>54</v>
      </c>
      <c r="M946" s="6" t="s">
        <v>32</v>
      </c>
      <c r="N946" s="6" t="s">
        <v>28</v>
      </c>
      <c r="O946" s="6" t="s">
        <v>48</v>
      </c>
      <c r="P946" s="6" t="s">
        <v>48</v>
      </c>
      <c r="Q946" s="6" t="s">
        <v>48</v>
      </c>
      <c r="R946" s="6" t="s">
        <v>60</v>
      </c>
      <c r="S946" s="6" t="s">
        <v>54</v>
      </c>
      <c r="T946" s="6" t="s">
        <v>48</v>
      </c>
      <c r="U946" s="6" t="s">
        <v>59</v>
      </c>
      <c r="V946" s="6" t="s">
        <v>146</v>
      </c>
      <c r="W946" t="s">
        <v>785</v>
      </c>
    </row>
    <row r="947" spans="1:23" x14ac:dyDescent="0.3">
      <c r="A947" s="6" t="s">
        <v>391</v>
      </c>
      <c r="B947" s="1">
        <v>45754</v>
      </c>
      <c r="C947" s="6" t="s">
        <v>33</v>
      </c>
      <c r="D947" s="6" t="s">
        <v>43</v>
      </c>
      <c r="E947" s="6" t="s">
        <v>41</v>
      </c>
      <c r="F947" s="6" t="s">
        <v>24</v>
      </c>
      <c r="G947" s="6" t="s">
        <v>69</v>
      </c>
      <c r="H947" s="6" t="s">
        <v>26</v>
      </c>
      <c r="I947" s="6" t="s">
        <v>66</v>
      </c>
      <c r="J947" s="6" t="s">
        <v>43</v>
      </c>
      <c r="K947" s="6" t="s">
        <v>80</v>
      </c>
      <c r="L947" s="6" t="s">
        <v>54</v>
      </c>
      <c r="M947" s="6" t="s">
        <v>29</v>
      </c>
      <c r="N947" s="6" t="s">
        <v>28</v>
      </c>
      <c r="O947" s="6" t="s">
        <v>30</v>
      </c>
      <c r="P947" s="6" t="s">
        <v>788</v>
      </c>
      <c r="Q947" s="6" t="s">
        <v>31</v>
      </c>
      <c r="R947" s="6" t="s">
        <v>43</v>
      </c>
      <c r="S947" s="6" t="s">
        <v>54</v>
      </c>
      <c r="T947" s="6" t="s">
        <v>55</v>
      </c>
      <c r="U947" s="6" t="s">
        <v>28</v>
      </c>
      <c r="V947" s="6" t="s">
        <v>146</v>
      </c>
      <c r="W947" t="s">
        <v>785</v>
      </c>
    </row>
    <row r="948" spans="1:23" x14ac:dyDescent="0.3">
      <c r="A948" s="6" t="s">
        <v>391</v>
      </c>
      <c r="B948" s="1">
        <v>45754</v>
      </c>
      <c r="C948" s="6" t="s">
        <v>33</v>
      </c>
      <c r="D948" s="6" t="s">
        <v>43</v>
      </c>
      <c r="E948" s="6" t="s">
        <v>41</v>
      </c>
      <c r="F948" s="6" t="s">
        <v>24</v>
      </c>
      <c r="G948" s="6" t="s">
        <v>69</v>
      </c>
      <c r="H948" s="6" t="s">
        <v>26</v>
      </c>
      <c r="I948" s="6" t="s">
        <v>66</v>
      </c>
      <c r="J948" s="6" t="s">
        <v>43</v>
      </c>
      <c r="K948" s="6" t="s">
        <v>80</v>
      </c>
      <c r="L948" s="6" t="s">
        <v>54</v>
      </c>
      <c r="M948" s="6" t="s">
        <v>29</v>
      </c>
      <c r="N948" s="6" t="s">
        <v>28</v>
      </c>
      <c r="O948" s="6" t="s">
        <v>30</v>
      </c>
      <c r="P948" s="6" t="s">
        <v>788</v>
      </c>
      <c r="Q948" s="6" t="s">
        <v>31</v>
      </c>
      <c r="R948" s="6" t="s">
        <v>43</v>
      </c>
      <c r="S948" s="6" t="s">
        <v>54</v>
      </c>
      <c r="T948" s="6" t="s">
        <v>55</v>
      </c>
      <c r="U948" s="6" t="s">
        <v>28</v>
      </c>
      <c r="V948" s="6" t="s">
        <v>82</v>
      </c>
      <c r="W948" t="s">
        <v>785</v>
      </c>
    </row>
    <row r="949" spans="1:23" x14ac:dyDescent="0.3">
      <c r="A949" s="6" t="s">
        <v>392</v>
      </c>
      <c r="B949" s="1">
        <v>45754</v>
      </c>
      <c r="C949" s="6" t="s">
        <v>33</v>
      </c>
      <c r="D949" s="6" t="s">
        <v>43</v>
      </c>
      <c r="E949" s="6" t="s">
        <v>46</v>
      </c>
      <c r="F949" s="6" t="s">
        <v>24</v>
      </c>
      <c r="G949" s="6" t="s">
        <v>97</v>
      </c>
      <c r="H949" s="6" t="s">
        <v>26</v>
      </c>
      <c r="I949" s="6" t="s">
        <v>66</v>
      </c>
      <c r="J949" s="6" t="s">
        <v>43</v>
      </c>
      <c r="K949" s="6" t="s">
        <v>48</v>
      </c>
      <c r="L949" s="6" t="s">
        <v>54</v>
      </c>
      <c r="M949" s="6" t="s">
        <v>29</v>
      </c>
      <c r="N949" s="6" t="s">
        <v>28</v>
      </c>
      <c r="O949" s="6" t="s">
        <v>48</v>
      </c>
      <c r="P949" s="6" t="s">
        <v>48</v>
      </c>
      <c r="Q949" s="6" t="s">
        <v>48</v>
      </c>
      <c r="R949" s="6" t="s">
        <v>88</v>
      </c>
      <c r="S949" s="6" t="s">
        <v>54</v>
      </c>
      <c r="T949" s="6" t="s">
        <v>48</v>
      </c>
      <c r="U949" s="6" t="s">
        <v>28</v>
      </c>
      <c r="V949" s="6" t="s">
        <v>82</v>
      </c>
      <c r="W949" t="s">
        <v>785</v>
      </c>
    </row>
    <row r="950" spans="1:23" x14ac:dyDescent="0.3">
      <c r="A950" s="6" t="s">
        <v>393</v>
      </c>
      <c r="B950" s="1">
        <v>45755</v>
      </c>
      <c r="C950" s="6" t="s">
        <v>84</v>
      </c>
      <c r="D950" s="6" t="s">
        <v>48</v>
      </c>
      <c r="E950" s="6" t="s">
        <v>68</v>
      </c>
      <c r="F950" s="6" t="s">
        <v>24</v>
      </c>
      <c r="G950" s="6" t="s">
        <v>69</v>
      </c>
      <c r="H950" s="6" t="s">
        <v>26</v>
      </c>
      <c r="I950" s="6" t="s">
        <v>42</v>
      </c>
      <c r="J950" s="6" t="s">
        <v>93</v>
      </c>
      <c r="K950" s="6" t="s">
        <v>48</v>
      </c>
      <c r="L950" s="6" t="s">
        <v>54</v>
      </c>
      <c r="M950" s="6" t="s">
        <v>32</v>
      </c>
      <c r="N950" s="6" t="s">
        <v>28</v>
      </c>
      <c r="O950" s="6" t="s">
        <v>30</v>
      </c>
      <c r="P950" s="6" t="s">
        <v>66</v>
      </c>
      <c r="Q950" s="6" t="s">
        <v>31</v>
      </c>
      <c r="R950" s="6" t="s">
        <v>93</v>
      </c>
      <c r="S950" s="6" t="s">
        <v>54</v>
      </c>
      <c r="T950" s="6" t="s">
        <v>32</v>
      </c>
      <c r="U950" s="6" t="s">
        <v>28</v>
      </c>
      <c r="V950" s="6" t="s">
        <v>82</v>
      </c>
      <c r="W950" t="s">
        <v>785</v>
      </c>
    </row>
    <row r="951" spans="1:23" x14ac:dyDescent="0.3">
      <c r="A951" s="6" t="s">
        <v>394</v>
      </c>
      <c r="B951" s="1">
        <v>45755</v>
      </c>
      <c r="C951" s="6" t="s">
        <v>84</v>
      </c>
      <c r="D951" s="6" t="s">
        <v>48</v>
      </c>
      <c r="E951" s="6" t="s">
        <v>68</v>
      </c>
      <c r="F951" s="6" t="s">
        <v>24</v>
      </c>
      <c r="G951" s="6" t="s">
        <v>69</v>
      </c>
      <c r="H951" s="6" t="s">
        <v>26</v>
      </c>
      <c r="I951" s="6" t="s">
        <v>42</v>
      </c>
      <c r="J951" s="6" t="s">
        <v>93</v>
      </c>
      <c r="K951" s="6" t="s">
        <v>48</v>
      </c>
      <c r="L951" s="6" t="s">
        <v>54</v>
      </c>
      <c r="M951" s="6" t="s">
        <v>32</v>
      </c>
      <c r="N951" s="6" t="s">
        <v>28</v>
      </c>
      <c r="O951" s="6" t="s">
        <v>30</v>
      </c>
      <c r="P951" s="6" t="s">
        <v>788</v>
      </c>
      <c r="Q951" s="6" t="s">
        <v>31</v>
      </c>
      <c r="R951" s="6" t="s">
        <v>93</v>
      </c>
      <c r="S951" s="6" t="s">
        <v>54</v>
      </c>
      <c r="T951" s="6" t="s">
        <v>32</v>
      </c>
      <c r="U951" s="6" t="s">
        <v>28</v>
      </c>
      <c r="V951" s="6" t="s">
        <v>82</v>
      </c>
      <c r="W951" t="s">
        <v>785</v>
      </c>
    </row>
    <row r="952" spans="1:23" x14ac:dyDescent="0.3">
      <c r="A952" s="6" t="s">
        <v>395</v>
      </c>
      <c r="B952" s="1">
        <v>45755</v>
      </c>
      <c r="C952" s="6" t="s">
        <v>343</v>
      </c>
      <c r="D952" s="6" t="s">
        <v>43</v>
      </c>
      <c r="E952" s="6" t="s">
        <v>41</v>
      </c>
      <c r="F952" s="6" t="s">
        <v>24</v>
      </c>
      <c r="G952" s="6" t="s">
        <v>61</v>
      </c>
      <c r="H952" s="6" t="s">
        <v>26</v>
      </c>
      <c r="I952" s="6" t="s">
        <v>58</v>
      </c>
      <c r="J952" s="6" t="s">
        <v>43</v>
      </c>
      <c r="K952" s="6" t="s">
        <v>48</v>
      </c>
      <c r="L952" s="6" t="s">
        <v>152</v>
      </c>
      <c r="M952" s="6" t="s">
        <v>29</v>
      </c>
      <c r="N952" s="6" t="s">
        <v>28</v>
      </c>
      <c r="O952" s="6" t="s">
        <v>26</v>
      </c>
      <c r="P952" s="6" t="s">
        <v>788</v>
      </c>
      <c r="Q952" s="6" t="s">
        <v>31</v>
      </c>
      <c r="R952" s="6" t="s">
        <v>43</v>
      </c>
      <c r="S952" s="6" t="s">
        <v>54</v>
      </c>
      <c r="T952" s="6" t="s">
        <v>48</v>
      </c>
      <c r="U952" s="6" t="s">
        <v>28</v>
      </c>
      <c r="V952" s="6" t="s">
        <v>82</v>
      </c>
      <c r="W952" t="s">
        <v>785</v>
      </c>
    </row>
    <row r="953" spans="1:23" x14ac:dyDescent="0.3">
      <c r="A953" s="6" t="s">
        <v>396</v>
      </c>
      <c r="B953" s="1">
        <v>45755</v>
      </c>
      <c r="C953" s="6" t="s">
        <v>343</v>
      </c>
      <c r="D953" s="6" t="s">
        <v>70</v>
      </c>
      <c r="E953" s="6" t="s">
        <v>68</v>
      </c>
      <c r="F953" s="6" t="s">
        <v>24</v>
      </c>
      <c r="G953" s="6" t="s">
        <v>61</v>
      </c>
      <c r="H953" s="6" t="s">
        <v>26</v>
      </c>
      <c r="I953" s="6" t="s">
        <v>45</v>
      </c>
      <c r="J953" s="6" t="s">
        <v>70</v>
      </c>
      <c r="K953" s="6" t="s">
        <v>133</v>
      </c>
      <c r="L953" s="6" t="s">
        <v>54</v>
      </c>
      <c r="M953" s="6" t="s">
        <v>29</v>
      </c>
      <c r="N953" s="6" t="s">
        <v>28</v>
      </c>
      <c r="O953" s="6" t="s">
        <v>48</v>
      </c>
      <c r="P953" s="6" t="s">
        <v>48</v>
      </c>
      <c r="Q953" s="6" t="s">
        <v>48</v>
      </c>
      <c r="R953" s="6" t="s">
        <v>70</v>
      </c>
      <c r="S953" s="6" t="s">
        <v>54</v>
      </c>
      <c r="T953" s="6" t="s">
        <v>48</v>
      </c>
      <c r="U953" s="6" t="s">
        <v>59</v>
      </c>
      <c r="V953" s="6" t="s">
        <v>82</v>
      </c>
      <c r="W953" t="s">
        <v>785</v>
      </c>
    </row>
    <row r="954" spans="1:23" x14ac:dyDescent="0.3">
      <c r="A954" s="6" t="s">
        <v>397</v>
      </c>
      <c r="B954" s="1">
        <v>45756</v>
      </c>
      <c r="C954" s="6" t="s">
        <v>343</v>
      </c>
      <c r="D954" s="6" t="s">
        <v>34</v>
      </c>
      <c r="E954" s="6" t="s">
        <v>35</v>
      </c>
      <c r="F954" s="6" t="s">
        <v>24</v>
      </c>
      <c r="G954" s="6" t="s">
        <v>61</v>
      </c>
      <c r="H954" s="6" t="s">
        <v>48</v>
      </c>
      <c r="I954" s="6" t="s">
        <v>37</v>
      </c>
      <c r="J954" s="6" t="s">
        <v>34</v>
      </c>
      <c r="K954" s="6" t="s">
        <v>48</v>
      </c>
      <c r="L954" s="6" t="s">
        <v>54</v>
      </c>
      <c r="M954" s="6" t="s">
        <v>48</v>
      </c>
      <c r="N954" s="6" t="s">
        <v>28</v>
      </c>
      <c r="O954" s="6" t="s">
        <v>30</v>
      </c>
      <c r="P954" s="6" t="s">
        <v>45</v>
      </c>
      <c r="Q954" s="6" t="s">
        <v>31</v>
      </c>
      <c r="R954" s="6" t="s">
        <v>34</v>
      </c>
      <c r="S954" s="6" t="s">
        <v>54</v>
      </c>
      <c r="T954" s="6" t="s">
        <v>32</v>
      </c>
      <c r="U954" s="6" t="s">
        <v>28</v>
      </c>
      <c r="V954" s="6" t="s">
        <v>82</v>
      </c>
      <c r="W954" t="s">
        <v>785</v>
      </c>
    </row>
    <row r="955" spans="1:23" x14ac:dyDescent="0.3">
      <c r="A955" s="6" t="s">
        <v>398</v>
      </c>
      <c r="B955" s="1">
        <v>45758</v>
      </c>
      <c r="C955" s="6" t="s">
        <v>343</v>
      </c>
      <c r="D955" s="6" t="s">
        <v>75</v>
      </c>
      <c r="E955" s="6" t="s">
        <v>68</v>
      </c>
      <c r="F955" s="6" t="s">
        <v>24</v>
      </c>
      <c r="G955" s="6" t="s">
        <v>61</v>
      </c>
      <c r="H955" s="6" t="s">
        <v>48</v>
      </c>
      <c r="I955" s="6" t="s">
        <v>42</v>
      </c>
      <c r="J955" s="6" t="s">
        <v>75</v>
      </c>
      <c r="K955" s="6" t="s">
        <v>48</v>
      </c>
      <c r="L955" s="6" t="s">
        <v>704</v>
      </c>
      <c r="M955" s="6" t="s">
        <v>48</v>
      </c>
      <c r="N955" s="6" t="s">
        <v>28</v>
      </c>
      <c r="O955" s="6" t="s">
        <v>48</v>
      </c>
      <c r="P955" s="6" t="s">
        <v>48</v>
      </c>
      <c r="Q955" s="6" t="s">
        <v>48</v>
      </c>
      <c r="R955" s="6" t="s">
        <v>75</v>
      </c>
      <c r="S955" s="6" t="s">
        <v>54</v>
      </c>
      <c r="T955" s="6" t="s">
        <v>48</v>
      </c>
      <c r="U955" s="6" t="s">
        <v>149</v>
      </c>
      <c r="V955" s="6" t="s">
        <v>146</v>
      </c>
      <c r="W955" t="s">
        <v>785</v>
      </c>
    </row>
    <row r="956" spans="1:23" x14ac:dyDescent="0.3">
      <c r="A956" s="6" t="s">
        <v>399</v>
      </c>
      <c r="B956" s="1">
        <v>45758</v>
      </c>
      <c r="C956" s="6" t="s">
        <v>343</v>
      </c>
      <c r="D956" s="6" t="s">
        <v>93</v>
      </c>
      <c r="E956" s="6" t="s">
        <v>64</v>
      </c>
      <c r="F956" s="6" t="s">
        <v>24</v>
      </c>
      <c r="G956" s="6" t="s">
        <v>104</v>
      </c>
      <c r="H956" s="6" t="s">
        <v>26</v>
      </c>
      <c r="I956" s="6" t="s">
        <v>37</v>
      </c>
      <c r="J956" s="6" t="s">
        <v>93</v>
      </c>
      <c r="K956" s="6" t="s">
        <v>48</v>
      </c>
      <c r="L956" s="6" t="s">
        <v>54</v>
      </c>
      <c r="M956" s="6" t="s">
        <v>32</v>
      </c>
      <c r="N956" s="6" t="s">
        <v>28</v>
      </c>
      <c r="O956" s="6" t="s">
        <v>26</v>
      </c>
      <c r="P956" s="6" t="s">
        <v>45</v>
      </c>
      <c r="Q956" s="6" t="s">
        <v>31</v>
      </c>
      <c r="R956" s="6" t="s">
        <v>93</v>
      </c>
      <c r="S956" s="6" t="s">
        <v>54</v>
      </c>
      <c r="T956" s="6" t="s">
        <v>32</v>
      </c>
      <c r="U956" s="6" t="s">
        <v>28</v>
      </c>
      <c r="V956" s="6" t="s">
        <v>146</v>
      </c>
      <c r="W956" t="s">
        <v>785</v>
      </c>
    </row>
    <row r="957" spans="1:23" x14ac:dyDescent="0.3">
      <c r="A957" s="6" t="s">
        <v>399</v>
      </c>
      <c r="B957" s="1">
        <v>45758</v>
      </c>
      <c r="C957" s="6" t="s">
        <v>343</v>
      </c>
      <c r="D957" s="6" t="s">
        <v>93</v>
      </c>
      <c r="E957" s="6" t="s">
        <v>64</v>
      </c>
      <c r="F957" s="6" t="s">
        <v>24</v>
      </c>
      <c r="G957" s="6" t="s">
        <v>104</v>
      </c>
      <c r="H957" s="6" t="s">
        <v>26</v>
      </c>
      <c r="I957" s="6" t="s">
        <v>37</v>
      </c>
      <c r="J957" s="6" t="s">
        <v>93</v>
      </c>
      <c r="K957" s="6" t="s">
        <v>48</v>
      </c>
      <c r="L957" s="6" t="s">
        <v>54</v>
      </c>
      <c r="M957" s="6" t="s">
        <v>32</v>
      </c>
      <c r="N957" s="6" t="s">
        <v>28</v>
      </c>
      <c r="O957" s="6" t="s">
        <v>26</v>
      </c>
      <c r="P957" s="6" t="s">
        <v>45</v>
      </c>
      <c r="Q957" s="6" t="s">
        <v>31</v>
      </c>
      <c r="R957" s="6" t="s">
        <v>93</v>
      </c>
      <c r="S957" s="6" t="s">
        <v>54</v>
      </c>
      <c r="T957" s="6" t="s">
        <v>32</v>
      </c>
      <c r="U957" s="6" t="s">
        <v>28</v>
      </c>
      <c r="V957" s="6" t="s">
        <v>137</v>
      </c>
      <c r="W957" t="s">
        <v>785</v>
      </c>
    </row>
    <row r="958" spans="1:23" x14ac:dyDescent="0.3">
      <c r="A958" s="6" t="s">
        <v>400</v>
      </c>
      <c r="B958" s="1">
        <v>45759</v>
      </c>
      <c r="C958" s="6" t="s">
        <v>343</v>
      </c>
      <c r="D958" s="6" t="s">
        <v>122</v>
      </c>
      <c r="E958" s="6" t="s">
        <v>68</v>
      </c>
      <c r="F958" s="6" t="s">
        <v>24</v>
      </c>
      <c r="G958" s="6" t="s">
        <v>97</v>
      </c>
      <c r="H958" s="6" t="s">
        <v>26</v>
      </c>
      <c r="I958" s="6" t="s">
        <v>42</v>
      </c>
      <c r="J958" s="6" t="s">
        <v>122</v>
      </c>
      <c r="K958" s="6" t="s">
        <v>48</v>
      </c>
      <c r="L958" s="6" t="s">
        <v>152</v>
      </c>
      <c r="M958" s="6" t="s">
        <v>32</v>
      </c>
      <c r="N958" s="6" t="s">
        <v>28</v>
      </c>
      <c r="O958" s="6" t="s">
        <v>26</v>
      </c>
      <c r="P958" s="6" t="s">
        <v>48</v>
      </c>
      <c r="Q958" s="6" t="s">
        <v>48</v>
      </c>
      <c r="R958" s="6" t="s">
        <v>122</v>
      </c>
      <c r="S958" s="6" t="s">
        <v>54</v>
      </c>
      <c r="T958" s="6" t="s">
        <v>29</v>
      </c>
      <c r="U958" s="6" t="s">
        <v>28</v>
      </c>
      <c r="V958" s="6" t="s">
        <v>82</v>
      </c>
      <c r="W958" t="s">
        <v>785</v>
      </c>
    </row>
    <row r="959" spans="1:23" x14ac:dyDescent="0.3">
      <c r="A959" s="6" t="s">
        <v>401</v>
      </c>
      <c r="B959" s="1">
        <v>45760</v>
      </c>
      <c r="C959" s="6" t="s">
        <v>84</v>
      </c>
      <c r="D959" s="6" t="s">
        <v>78</v>
      </c>
      <c r="E959" s="6" t="s">
        <v>73</v>
      </c>
      <c r="F959" s="6" t="s">
        <v>24</v>
      </c>
      <c r="G959" s="6" t="s">
        <v>61</v>
      </c>
      <c r="H959" s="6" t="s">
        <v>48</v>
      </c>
      <c r="I959" s="6" t="s">
        <v>38</v>
      </c>
      <c r="J959" s="6" t="s">
        <v>78</v>
      </c>
      <c r="K959" s="6" t="s">
        <v>48</v>
      </c>
      <c r="L959" s="6" t="s">
        <v>705</v>
      </c>
      <c r="M959" s="6" t="s">
        <v>48</v>
      </c>
      <c r="N959" s="6" t="s">
        <v>28</v>
      </c>
      <c r="O959" s="6" t="s">
        <v>30</v>
      </c>
      <c r="P959" s="6" t="s">
        <v>48</v>
      </c>
      <c r="Q959" s="6" t="s">
        <v>31</v>
      </c>
      <c r="R959" s="6" t="s">
        <v>78</v>
      </c>
      <c r="S959" s="6" t="s">
        <v>54</v>
      </c>
      <c r="T959" s="6" t="s">
        <v>32</v>
      </c>
      <c r="U959" s="6" t="s">
        <v>28</v>
      </c>
      <c r="V959" s="6" t="s">
        <v>82</v>
      </c>
      <c r="W959" t="s">
        <v>785</v>
      </c>
    </row>
    <row r="960" spans="1:23" x14ac:dyDescent="0.3">
      <c r="A960" s="6" t="s">
        <v>402</v>
      </c>
      <c r="B960" s="1">
        <v>45761</v>
      </c>
      <c r="C960" s="6" t="s">
        <v>33</v>
      </c>
      <c r="D960" s="6" t="s">
        <v>22</v>
      </c>
      <c r="E960" s="6" t="s">
        <v>68</v>
      </c>
      <c r="F960" s="6" t="s">
        <v>24</v>
      </c>
      <c r="G960" s="6" t="s">
        <v>147</v>
      </c>
      <c r="H960" s="6" t="s">
        <v>26</v>
      </c>
      <c r="I960" s="6" t="s">
        <v>58</v>
      </c>
      <c r="J960" s="6" t="s">
        <v>22</v>
      </c>
      <c r="K960" s="6" t="s">
        <v>115</v>
      </c>
      <c r="L960" s="6" t="s">
        <v>152</v>
      </c>
      <c r="M960" s="6" t="s">
        <v>29</v>
      </c>
      <c r="N960" s="6" t="s">
        <v>28</v>
      </c>
      <c r="O960" s="6" t="s">
        <v>26</v>
      </c>
      <c r="P960" s="6" t="s">
        <v>66</v>
      </c>
      <c r="Q960" s="6" t="s">
        <v>48</v>
      </c>
      <c r="R960" s="6" t="s">
        <v>22</v>
      </c>
      <c r="S960" s="6" t="s">
        <v>128</v>
      </c>
      <c r="T960" s="6" t="s">
        <v>32</v>
      </c>
      <c r="U960" s="6" t="s">
        <v>28</v>
      </c>
      <c r="V960" s="6" t="s">
        <v>146</v>
      </c>
      <c r="W960" t="s">
        <v>785</v>
      </c>
    </row>
    <row r="961" spans="1:23" x14ac:dyDescent="0.3">
      <c r="A961" s="6" t="s">
        <v>402</v>
      </c>
      <c r="B961" s="1">
        <v>45761</v>
      </c>
      <c r="C961" s="6" t="s">
        <v>33</v>
      </c>
      <c r="D961" s="6" t="s">
        <v>22</v>
      </c>
      <c r="E961" s="6" t="s">
        <v>68</v>
      </c>
      <c r="F961" s="6" t="s">
        <v>24</v>
      </c>
      <c r="G961" s="6" t="s">
        <v>147</v>
      </c>
      <c r="H961" s="6" t="s">
        <v>26</v>
      </c>
      <c r="I961" s="6" t="s">
        <v>58</v>
      </c>
      <c r="J961" s="6" t="s">
        <v>22</v>
      </c>
      <c r="K961" s="6" t="s">
        <v>115</v>
      </c>
      <c r="L961" s="6" t="s">
        <v>152</v>
      </c>
      <c r="M961" s="6" t="s">
        <v>29</v>
      </c>
      <c r="N961" s="6" t="s">
        <v>28</v>
      </c>
      <c r="O961" s="6" t="s">
        <v>26</v>
      </c>
      <c r="P961" s="6" t="s">
        <v>66</v>
      </c>
      <c r="Q961" s="6" t="s">
        <v>48</v>
      </c>
      <c r="R961" s="6" t="s">
        <v>22</v>
      </c>
      <c r="S961" s="6" t="s">
        <v>128</v>
      </c>
      <c r="T961" s="6" t="s">
        <v>32</v>
      </c>
      <c r="U961" s="6" t="s">
        <v>28</v>
      </c>
      <c r="V961" s="6" t="s">
        <v>82</v>
      </c>
      <c r="W961" t="s">
        <v>785</v>
      </c>
    </row>
    <row r="962" spans="1:23" x14ac:dyDescent="0.3">
      <c r="A962" s="6" t="s">
        <v>403</v>
      </c>
      <c r="B962" s="1">
        <v>45761</v>
      </c>
      <c r="C962" s="6" t="s">
        <v>33</v>
      </c>
      <c r="D962" s="6" t="s">
        <v>95</v>
      </c>
      <c r="E962" s="6" t="s">
        <v>35</v>
      </c>
      <c r="F962" s="6" t="s">
        <v>24</v>
      </c>
      <c r="G962" s="6" t="s">
        <v>69</v>
      </c>
      <c r="H962" s="6" t="s">
        <v>26</v>
      </c>
      <c r="I962" s="6" t="s">
        <v>42</v>
      </c>
      <c r="J962" s="6" t="s">
        <v>95</v>
      </c>
      <c r="K962" s="6" t="s">
        <v>76</v>
      </c>
      <c r="L962" s="6" t="s">
        <v>152</v>
      </c>
      <c r="M962" s="6" t="s">
        <v>29</v>
      </c>
      <c r="N962" s="6" t="s">
        <v>28</v>
      </c>
      <c r="O962" s="6" t="s">
        <v>30</v>
      </c>
      <c r="P962" s="6" t="s">
        <v>37</v>
      </c>
      <c r="Q962" s="6" t="s">
        <v>31</v>
      </c>
      <c r="R962" s="6" t="s">
        <v>95</v>
      </c>
      <c r="S962" s="6" t="s">
        <v>54</v>
      </c>
      <c r="T962" s="6" t="s">
        <v>29</v>
      </c>
      <c r="U962" s="6" t="s">
        <v>28</v>
      </c>
      <c r="V962" s="6" t="s">
        <v>82</v>
      </c>
      <c r="W962" t="s">
        <v>785</v>
      </c>
    </row>
    <row r="963" spans="1:23" x14ac:dyDescent="0.3">
      <c r="A963" s="6" t="s">
        <v>404</v>
      </c>
      <c r="B963" s="1">
        <v>45761</v>
      </c>
      <c r="C963" s="6" t="s">
        <v>33</v>
      </c>
      <c r="D963" s="6" t="s">
        <v>105</v>
      </c>
      <c r="E963" s="6" t="s">
        <v>64</v>
      </c>
      <c r="F963" s="6" t="s">
        <v>24</v>
      </c>
      <c r="G963" s="6" t="s">
        <v>69</v>
      </c>
      <c r="H963" s="6" t="s">
        <v>26</v>
      </c>
      <c r="I963" s="6" t="s">
        <v>38</v>
      </c>
      <c r="J963" s="6" t="s">
        <v>105</v>
      </c>
      <c r="K963" s="6" t="s">
        <v>48</v>
      </c>
      <c r="L963" s="6" t="s">
        <v>54</v>
      </c>
      <c r="M963" s="6" t="s">
        <v>29</v>
      </c>
      <c r="N963" s="6" t="s">
        <v>28</v>
      </c>
      <c r="O963" s="6" t="s">
        <v>26</v>
      </c>
      <c r="P963" s="6" t="s">
        <v>48</v>
      </c>
      <c r="Q963" s="6" t="s">
        <v>48</v>
      </c>
      <c r="R963" s="6" t="s">
        <v>105</v>
      </c>
      <c r="S963" s="6" t="s">
        <v>54</v>
      </c>
      <c r="T963" s="6" t="s">
        <v>48</v>
      </c>
      <c r="U963" s="6" t="s">
        <v>28</v>
      </c>
      <c r="V963" s="6" t="s">
        <v>82</v>
      </c>
      <c r="W963" t="s">
        <v>785</v>
      </c>
    </row>
    <row r="964" spans="1:23" x14ac:dyDescent="0.3">
      <c r="A964" s="6" t="s">
        <v>405</v>
      </c>
      <c r="B964" s="1">
        <v>45761</v>
      </c>
      <c r="C964" s="6" t="s">
        <v>21</v>
      </c>
      <c r="D964" s="6" t="s">
        <v>22</v>
      </c>
      <c r="E964" s="6" t="s">
        <v>41</v>
      </c>
      <c r="F964" s="6" t="s">
        <v>24</v>
      </c>
      <c r="G964" s="6" t="s">
        <v>47</v>
      </c>
      <c r="H964" s="6" t="s">
        <v>48</v>
      </c>
      <c r="I964" s="6" t="s">
        <v>48</v>
      </c>
      <c r="J964" s="6" t="s">
        <v>22</v>
      </c>
      <c r="K964" s="6" t="s">
        <v>48</v>
      </c>
      <c r="L964" s="6" t="s">
        <v>54</v>
      </c>
      <c r="M964" s="6" t="s">
        <v>48</v>
      </c>
      <c r="N964" s="6" t="s">
        <v>28</v>
      </c>
      <c r="O964" s="6" t="s">
        <v>26</v>
      </c>
      <c r="P964" s="6" t="s">
        <v>52</v>
      </c>
      <c r="Q964" s="6" t="s">
        <v>31</v>
      </c>
      <c r="R964" s="6" t="s">
        <v>22</v>
      </c>
      <c r="S964" s="6" t="s">
        <v>54</v>
      </c>
      <c r="T964" s="6" t="s">
        <v>29</v>
      </c>
      <c r="U964" s="6" t="s">
        <v>28</v>
      </c>
      <c r="V964" s="6" t="s">
        <v>82</v>
      </c>
      <c r="W964" t="s">
        <v>785</v>
      </c>
    </row>
    <row r="965" spans="1:23" x14ac:dyDescent="0.3">
      <c r="A965" s="6" t="s">
        <v>406</v>
      </c>
      <c r="B965" s="1">
        <v>45761</v>
      </c>
      <c r="C965" s="6" t="s">
        <v>21</v>
      </c>
      <c r="D965" s="6" t="s">
        <v>22</v>
      </c>
      <c r="E965" s="6" t="s">
        <v>41</v>
      </c>
      <c r="F965" s="6" t="s">
        <v>24</v>
      </c>
      <c r="G965" s="6" t="s">
        <v>47</v>
      </c>
      <c r="H965" s="6" t="s">
        <v>48</v>
      </c>
      <c r="I965" s="6" t="s">
        <v>48</v>
      </c>
      <c r="J965" s="6" t="s">
        <v>22</v>
      </c>
      <c r="K965" s="6" t="s">
        <v>48</v>
      </c>
      <c r="L965" s="6" t="s">
        <v>54</v>
      </c>
      <c r="M965" s="6" t="s">
        <v>48</v>
      </c>
      <c r="N965" s="6" t="s">
        <v>28</v>
      </c>
      <c r="O965" s="6" t="s">
        <v>48</v>
      </c>
      <c r="P965" s="6" t="s">
        <v>48</v>
      </c>
      <c r="Q965" s="6" t="s">
        <v>48</v>
      </c>
      <c r="R965" s="6" t="s">
        <v>22</v>
      </c>
      <c r="S965" s="6" t="s">
        <v>54</v>
      </c>
      <c r="T965" s="6" t="s">
        <v>48</v>
      </c>
      <c r="U965" s="6" t="s">
        <v>127</v>
      </c>
      <c r="V965" s="6" t="s">
        <v>82</v>
      </c>
      <c r="W965" t="s">
        <v>785</v>
      </c>
    </row>
    <row r="966" spans="1:23" x14ac:dyDescent="0.3">
      <c r="A966" s="6" t="s">
        <v>407</v>
      </c>
      <c r="B966" s="1">
        <v>45762</v>
      </c>
      <c r="C966" s="6" t="s">
        <v>341</v>
      </c>
      <c r="D966" s="6" t="s">
        <v>40</v>
      </c>
      <c r="E966" s="6" t="s">
        <v>23</v>
      </c>
      <c r="F966" s="6" t="s">
        <v>24</v>
      </c>
      <c r="G966" s="6" t="s">
        <v>69</v>
      </c>
      <c r="H966" s="6" t="s">
        <v>48</v>
      </c>
      <c r="I966" s="6" t="s">
        <v>42</v>
      </c>
      <c r="J966" s="6" t="s">
        <v>49</v>
      </c>
      <c r="K966" s="6" t="s">
        <v>48</v>
      </c>
      <c r="L966" s="6" t="s">
        <v>54</v>
      </c>
      <c r="M966" s="6" t="s">
        <v>48</v>
      </c>
      <c r="N966" s="6" t="s">
        <v>28</v>
      </c>
      <c r="O966" s="6" t="s">
        <v>30</v>
      </c>
      <c r="P966" s="6" t="s">
        <v>48</v>
      </c>
      <c r="Q966" s="6" t="s">
        <v>48</v>
      </c>
      <c r="R966" s="6" t="s">
        <v>40</v>
      </c>
      <c r="S966" s="6" t="s">
        <v>54</v>
      </c>
      <c r="T966" s="6" t="s">
        <v>48</v>
      </c>
      <c r="U966" s="6" t="s">
        <v>28</v>
      </c>
      <c r="V966" s="6" t="s">
        <v>82</v>
      </c>
      <c r="W966" t="s">
        <v>785</v>
      </c>
    </row>
    <row r="967" spans="1:23" x14ac:dyDescent="0.3">
      <c r="A967" s="6" t="s">
        <v>408</v>
      </c>
      <c r="B967" s="1">
        <v>45762</v>
      </c>
      <c r="C967" s="6" t="s">
        <v>33</v>
      </c>
      <c r="D967" s="6" t="s">
        <v>40</v>
      </c>
      <c r="E967" s="6" t="s">
        <v>64</v>
      </c>
      <c r="F967" s="6" t="s">
        <v>24</v>
      </c>
      <c r="G967" s="6" t="s">
        <v>69</v>
      </c>
      <c r="H967" s="6" t="s">
        <v>48</v>
      </c>
      <c r="I967" s="6" t="s">
        <v>27</v>
      </c>
      <c r="J967" s="6" t="s">
        <v>40</v>
      </c>
      <c r="K967" s="6" t="s">
        <v>48</v>
      </c>
      <c r="L967" s="6" t="s">
        <v>54</v>
      </c>
      <c r="M967" s="6" t="s">
        <v>29</v>
      </c>
      <c r="N967" s="6" t="s">
        <v>28</v>
      </c>
      <c r="O967" s="6" t="s">
        <v>30</v>
      </c>
      <c r="P967" s="6" t="s">
        <v>788</v>
      </c>
      <c r="Q967" s="6" t="s">
        <v>48</v>
      </c>
      <c r="R967" s="6" t="s">
        <v>40</v>
      </c>
      <c r="S967" s="6" t="s">
        <v>54</v>
      </c>
      <c r="T967" s="6" t="s">
        <v>48</v>
      </c>
      <c r="U967" s="6" t="s">
        <v>28</v>
      </c>
      <c r="V967" s="6" t="s">
        <v>82</v>
      </c>
      <c r="W967" t="s">
        <v>785</v>
      </c>
    </row>
    <row r="968" spans="1:23" x14ac:dyDescent="0.3">
      <c r="A968" s="6" t="s">
        <v>409</v>
      </c>
      <c r="B968" s="1">
        <v>45762</v>
      </c>
      <c r="C968" s="6" t="s">
        <v>343</v>
      </c>
      <c r="D968" s="6" t="s">
        <v>40</v>
      </c>
      <c r="E968" s="6" t="s">
        <v>46</v>
      </c>
      <c r="F968" s="6" t="s">
        <v>24</v>
      </c>
      <c r="G968" s="6" t="s">
        <v>69</v>
      </c>
      <c r="H968" s="6" t="s">
        <v>26</v>
      </c>
      <c r="I968" s="6" t="s">
        <v>52</v>
      </c>
      <c r="J968" s="6" t="s">
        <v>40</v>
      </c>
      <c r="K968" s="6" t="s">
        <v>48</v>
      </c>
      <c r="L968" s="6" t="s">
        <v>103</v>
      </c>
      <c r="M968" s="6" t="s">
        <v>32</v>
      </c>
      <c r="N968" s="6" t="s">
        <v>28</v>
      </c>
      <c r="O968" s="6" t="s">
        <v>30</v>
      </c>
      <c r="P968" s="6" t="s">
        <v>48</v>
      </c>
      <c r="Q968" s="6" t="s">
        <v>48</v>
      </c>
      <c r="R968" s="6" t="s">
        <v>40</v>
      </c>
      <c r="S968" s="6" t="s">
        <v>54</v>
      </c>
      <c r="T968" s="6" t="s">
        <v>48</v>
      </c>
      <c r="U968" s="6" t="s">
        <v>28</v>
      </c>
      <c r="V968" s="6" t="s">
        <v>146</v>
      </c>
      <c r="W968" t="s">
        <v>785</v>
      </c>
    </row>
    <row r="969" spans="1:23" x14ac:dyDescent="0.3">
      <c r="A969" s="6" t="s">
        <v>409</v>
      </c>
      <c r="B969" s="1">
        <v>45762</v>
      </c>
      <c r="C969" s="6" t="s">
        <v>343</v>
      </c>
      <c r="D969" s="6" t="s">
        <v>40</v>
      </c>
      <c r="E969" s="6" t="s">
        <v>46</v>
      </c>
      <c r="F969" s="6" t="s">
        <v>24</v>
      </c>
      <c r="G969" s="6" t="s">
        <v>69</v>
      </c>
      <c r="H969" s="6" t="s">
        <v>26</v>
      </c>
      <c r="I969" s="6" t="s">
        <v>52</v>
      </c>
      <c r="J969" s="6" t="s">
        <v>40</v>
      </c>
      <c r="K969" s="6" t="s">
        <v>48</v>
      </c>
      <c r="L969" s="6" t="s">
        <v>103</v>
      </c>
      <c r="M969" s="6" t="s">
        <v>32</v>
      </c>
      <c r="N969" s="6" t="s">
        <v>28</v>
      </c>
      <c r="O969" s="6" t="s">
        <v>30</v>
      </c>
      <c r="P969" s="6" t="s">
        <v>48</v>
      </c>
      <c r="Q969" s="6" t="s">
        <v>48</v>
      </c>
      <c r="R969" s="6" t="s">
        <v>40</v>
      </c>
      <c r="S969" s="6" t="s">
        <v>54</v>
      </c>
      <c r="T969" s="6" t="s">
        <v>48</v>
      </c>
      <c r="U969" s="6" t="s">
        <v>28</v>
      </c>
      <c r="V969" s="6" t="s">
        <v>82</v>
      </c>
      <c r="W969" t="s">
        <v>785</v>
      </c>
    </row>
    <row r="970" spans="1:23" x14ac:dyDescent="0.3">
      <c r="A970" s="6" t="s">
        <v>409</v>
      </c>
      <c r="B970" s="1">
        <v>45762</v>
      </c>
      <c r="C970" s="6" t="s">
        <v>343</v>
      </c>
      <c r="D970" s="6" t="s">
        <v>40</v>
      </c>
      <c r="E970" s="6" t="s">
        <v>46</v>
      </c>
      <c r="F970" s="6" t="s">
        <v>24</v>
      </c>
      <c r="G970" s="6" t="s">
        <v>69</v>
      </c>
      <c r="H970" s="6" t="s">
        <v>26</v>
      </c>
      <c r="I970" s="6" t="s">
        <v>52</v>
      </c>
      <c r="J970" s="6" t="s">
        <v>40</v>
      </c>
      <c r="K970" s="6" t="s">
        <v>48</v>
      </c>
      <c r="L970" s="6" t="s">
        <v>103</v>
      </c>
      <c r="M970" s="6" t="s">
        <v>32</v>
      </c>
      <c r="N970" s="6" t="s">
        <v>28</v>
      </c>
      <c r="O970" s="6" t="s">
        <v>30</v>
      </c>
      <c r="P970" s="6" t="s">
        <v>48</v>
      </c>
      <c r="Q970" s="6" t="s">
        <v>31</v>
      </c>
      <c r="R970" s="6" t="s">
        <v>40</v>
      </c>
      <c r="S970" s="6" t="s">
        <v>54</v>
      </c>
      <c r="T970" s="6" t="s">
        <v>48</v>
      </c>
      <c r="U970" s="6" t="s">
        <v>28</v>
      </c>
      <c r="V970" s="6" t="s">
        <v>82</v>
      </c>
      <c r="W970" t="s">
        <v>785</v>
      </c>
    </row>
    <row r="971" spans="1:23" x14ac:dyDescent="0.3">
      <c r="A971" s="6" t="s">
        <v>409</v>
      </c>
      <c r="B971" s="1">
        <v>45762</v>
      </c>
      <c r="C971" s="6" t="s">
        <v>343</v>
      </c>
      <c r="D971" s="6" t="s">
        <v>40</v>
      </c>
      <c r="E971" s="6" t="s">
        <v>46</v>
      </c>
      <c r="F971" s="6" t="s">
        <v>24</v>
      </c>
      <c r="G971" s="6" t="s">
        <v>69</v>
      </c>
      <c r="H971" s="6" t="s">
        <v>26</v>
      </c>
      <c r="I971" s="6" t="s">
        <v>52</v>
      </c>
      <c r="J971" s="6" t="s">
        <v>40</v>
      </c>
      <c r="K971" s="6" t="s">
        <v>48</v>
      </c>
      <c r="L971" s="6" t="s">
        <v>103</v>
      </c>
      <c r="M971" s="6" t="s">
        <v>32</v>
      </c>
      <c r="N971" s="6" t="s">
        <v>28</v>
      </c>
      <c r="O971" s="6" t="s">
        <v>30</v>
      </c>
      <c r="P971" s="6" t="s">
        <v>48</v>
      </c>
      <c r="Q971" s="6" t="s">
        <v>31</v>
      </c>
      <c r="R971" s="6" t="s">
        <v>40</v>
      </c>
      <c r="S971" s="6" t="s">
        <v>54</v>
      </c>
      <c r="T971" s="6" t="s">
        <v>48</v>
      </c>
      <c r="U971" s="6" t="s">
        <v>28</v>
      </c>
      <c r="V971" s="6" t="s">
        <v>146</v>
      </c>
      <c r="W971" t="s">
        <v>785</v>
      </c>
    </row>
    <row r="972" spans="1:23" x14ac:dyDescent="0.3">
      <c r="A972" s="6" t="s">
        <v>411</v>
      </c>
      <c r="B972" s="1">
        <v>45762</v>
      </c>
      <c r="C972" s="6" t="s">
        <v>343</v>
      </c>
      <c r="D972" s="6" t="s">
        <v>40</v>
      </c>
      <c r="E972" s="6" t="s">
        <v>35</v>
      </c>
      <c r="F972" s="6" t="s">
        <v>24</v>
      </c>
      <c r="G972" s="6" t="s">
        <v>69</v>
      </c>
      <c r="H972" s="6" t="s">
        <v>26</v>
      </c>
      <c r="I972" s="6" t="s">
        <v>52</v>
      </c>
      <c r="J972" s="6" t="s">
        <v>40</v>
      </c>
      <c r="K972" s="6" t="s">
        <v>48</v>
      </c>
      <c r="L972" s="6" t="s">
        <v>152</v>
      </c>
      <c r="M972" s="6" t="s">
        <v>32</v>
      </c>
      <c r="N972" s="6" t="s">
        <v>28</v>
      </c>
      <c r="O972" s="6" t="s">
        <v>30</v>
      </c>
      <c r="P972" s="6" t="s">
        <v>788</v>
      </c>
      <c r="Q972" s="6" t="s">
        <v>31</v>
      </c>
      <c r="R972" s="6" t="s">
        <v>40</v>
      </c>
      <c r="S972" s="6" t="s">
        <v>54</v>
      </c>
      <c r="T972" s="6" t="s">
        <v>32</v>
      </c>
      <c r="U972" s="6" t="s">
        <v>28</v>
      </c>
      <c r="V972" s="6" t="s">
        <v>82</v>
      </c>
      <c r="W972" t="s">
        <v>785</v>
      </c>
    </row>
    <row r="973" spans="1:23" x14ac:dyDescent="0.3">
      <c r="A973" s="6" t="s">
        <v>410</v>
      </c>
      <c r="B973" s="1">
        <v>45762</v>
      </c>
      <c r="C973" s="6" t="s">
        <v>343</v>
      </c>
      <c r="D973" s="6" t="s">
        <v>40</v>
      </c>
      <c r="E973" s="6" t="s">
        <v>35</v>
      </c>
      <c r="F973" s="6" t="s">
        <v>24</v>
      </c>
      <c r="G973" s="6" t="s">
        <v>69</v>
      </c>
      <c r="H973" s="6" t="s">
        <v>48</v>
      </c>
      <c r="I973" s="6" t="s">
        <v>27</v>
      </c>
      <c r="J973" s="6" t="s">
        <v>40</v>
      </c>
      <c r="K973" s="6" t="s">
        <v>48</v>
      </c>
      <c r="L973" s="6" t="s">
        <v>152</v>
      </c>
      <c r="M973" s="6" t="s">
        <v>48</v>
      </c>
      <c r="N973" s="6" t="s">
        <v>28</v>
      </c>
      <c r="O973" s="6" t="s">
        <v>30</v>
      </c>
      <c r="P973" s="6" t="s">
        <v>788</v>
      </c>
      <c r="Q973" s="6" t="s">
        <v>31</v>
      </c>
      <c r="R973" s="6" t="s">
        <v>40</v>
      </c>
      <c r="S973" s="6" t="s">
        <v>54</v>
      </c>
      <c r="T973" s="6" t="s">
        <v>32</v>
      </c>
      <c r="U973" s="6" t="s">
        <v>28</v>
      </c>
      <c r="V973" s="6" t="s">
        <v>82</v>
      </c>
      <c r="W973" t="s">
        <v>785</v>
      </c>
    </row>
    <row r="974" spans="1:23" x14ac:dyDescent="0.3">
      <c r="A974" s="6" t="s">
        <v>410</v>
      </c>
      <c r="B974" s="1">
        <v>45762</v>
      </c>
      <c r="C974" s="6" t="s">
        <v>343</v>
      </c>
      <c r="D974" s="6" t="s">
        <v>40</v>
      </c>
      <c r="E974" s="6" t="s">
        <v>35</v>
      </c>
      <c r="F974" s="6" t="s">
        <v>24</v>
      </c>
      <c r="G974" s="6" t="s">
        <v>69</v>
      </c>
      <c r="H974" s="6" t="s">
        <v>48</v>
      </c>
      <c r="I974" s="6" t="s">
        <v>27</v>
      </c>
      <c r="J974" s="6" t="s">
        <v>40</v>
      </c>
      <c r="K974" s="6" t="s">
        <v>48</v>
      </c>
      <c r="L974" s="6" t="s">
        <v>152</v>
      </c>
      <c r="M974" s="6" t="s">
        <v>48</v>
      </c>
      <c r="N974" s="6" t="s">
        <v>28</v>
      </c>
      <c r="O974" s="6" t="s">
        <v>30</v>
      </c>
      <c r="P974" s="6" t="s">
        <v>27</v>
      </c>
      <c r="Q974" s="6" t="s">
        <v>31</v>
      </c>
      <c r="R974" s="6" t="s">
        <v>40</v>
      </c>
      <c r="S974" s="6" t="s">
        <v>54</v>
      </c>
      <c r="T974" s="6" t="s">
        <v>32</v>
      </c>
      <c r="U974" s="6" t="s">
        <v>28</v>
      </c>
      <c r="V974" s="6" t="s">
        <v>82</v>
      </c>
      <c r="W974" t="s">
        <v>785</v>
      </c>
    </row>
    <row r="975" spans="1:23" x14ac:dyDescent="0.3">
      <c r="A975" s="6" t="s">
        <v>411</v>
      </c>
      <c r="B975" s="1">
        <v>45762</v>
      </c>
      <c r="C975" s="6" t="s">
        <v>343</v>
      </c>
      <c r="D975" s="6" t="s">
        <v>40</v>
      </c>
      <c r="E975" s="6" t="s">
        <v>35</v>
      </c>
      <c r="F975" s="6" t="s">
        <v>24</v>
      </c>
      <c r="G975" s="6" t="s">
        <v>69</v>
      </c>
      <c r="H975" s="6" t="s">
        <v>26</v>
      </c>
      <c r="I975" s="6" t="s">
        <v>52</v>
      </c>
      <c r="J975" s="6" t="s">
        <v>40</v>
      </c>
      <c r="K975" s="6" t="s">
        <v>48</v>
      </c>
      <c r="L975" s="6" t="s">
        <v>152</v>
      </c>
      <c r="M975" s="6" t="s">
        <v>32</v>
      </c>
      <c r="N975" s="6" t="s">
        <v>28</v>
      </c>
      <c r="O975" s="6" t="s">
        <v>30</v>
      </c>
      <c r="P975" s="6" t="s">
        <v>27</v>
      </c>
      <c r="Q975" s="6" t="s">
        <v>31</v>
      </c>
      <c r="R975" s="6" t="s">
        <v>40</v>
      </c>
      <c r="S975" s="6" t="s">
        <v>54</v>
      </c>
      <c r="T975" s="6" t="s">
        <v>32</v>
      </c>
      <c r="U975" s="6" t="s">
        <v>28</v>
      </c>
      <c r="V975" s="6" t="s">
        <v>82</v>
      </c>
      <c r="W975" t="s">
        <v>785</v>
      </c>
    </row>
    <row r="976" spans="1:23" x14ac:dyDescent="0.3">
      <c r="A976" s="6" t="s">
        <v>412</v>
      </c>
      <c r="B976" s="1">
        <v>45762</v>
      </c>
      <c r="C976" s="6" t="s">
        <v>39</v>
      </c>
      <c r="D976" s="6" t="s">
        <v>60</v>
      </c>
      <c r="E976" s="6" t="s">
        <v>46</v>
      </c>
      <c r="F976" s="6" t="s">
        <v>24</v>
      </c>
      <c r="G976" s="6" t="s">
        <v>25</v>
      </c>
      <c r="H976" s="6" t="s">
        <v>26</v>
      </c>
      <c r="I976" s="6" t="s">
        <v>38</v>
      </c>
      <c r="J976" s="6" t="s">
        <v>60</v>
      </c>
      <c r="K976" s="6" t="s">
        <v>48</v>
      </c>
      <c r="L976" s="6" t="s">
        <v>54</v>
      </c>
      <c r="M976" s="6" t="s">
        <v>55</v>
      </c>
      <c r="N976" s="6" t="s">
        <v>28</v>
      </c>
      <c r="O976" s="6" t="s">
        <v>30</v>
      </c>
      <c r="P976" s="6" t="s">
        <v>788</v>
      </c>
      <c r="Q976" s="6" t="s">
        <v>31</v>
      </c>
      <c r="R976" s="6" t="s">
        <v>60</v>
      </c>
      <c r="S976" s="6" t="s">
        <v>54</v>
      </c>
      <c r="T976" s="6" t="s">
        <v>29</v>
      </c>
      <c r="U976" s="6" t="s">
        <v>28</v>
      </c>
      <c r="V976" s="6" t="s">
        <v>137</v>
      </c>
      <c r="W976" t="s">
        <v>785</v>
      </c>
    </row>
    <row r="977" spans="1:23" x14ac:dyDescent="0.3">
      <c r="A977" s="6" t="s">
        <v>413</v>
      </c>
      <c r="B977" s="1">
        <v>45762</v>
      </c>
      <c r="C977" s="6" t="s">
        <v>343</v>
      </c>
      <c r="D977" s="6" t="s">
        <v>40</v>
      </c>
      <c r="E977" s="6" t="s">
        <v>64</v>
      </c>
      <c r="F977" s="6" t="s">
        <v>24</v>
      </c>
      <c r="G977" s="6" t="s">
        <v>61</v>
      </c>
      <c r="H977" s="6" t="s">
        <v>26</v>
      </c>
      <c r="I977" s="6" t="s">
        <v>37</v>
      </c>
      <c r="J977" s="6" t="s">
        <v>40</v>
      </c>
      <c r="K977" s="6" t="s">
        <v>48</v>
      </c>
      <c r="L977" s="6" t="s">
        <v>152</v>
      </c>
      <c r="M977" s="6" t="s">
        <v>32</v>
      </c>
      <c r="N977" s="6" t="s">
        <v>28</v>
      </c>
      <c r="O977" s="6" t="s">
        <v>30</v>
      </c>
      <c r="P977" s="6" t="s">
        <v>52</v>
      </c>
      <c r="Q977" s="6" t="s">
        <v>31</v>
      </c>
      <c r="R977" s="6" t="s">
        <v>40</v>
      </c>
      <c r="S977" s="6" t="s">
        <v>54</v>
      </c>
      <c r="T977" s="6" t="s">
        <v>32</v>
      </c>
      <c r="U977" s="6" t="s">
        <v>28</v>
      </c>
      <c r="V977" s="6" t="s">
        <v>146</v>
      </c>
      <c r="W977" t="s">
        <v>785</v>
      </c>
    </row>
    <row r="978" spans="1:23" x14ac:dyDescent="0.3">
      <c r="A978" s="6" t="s">
        <v>413</v>
      </c>
      <c r="B978" s="1">
        <v>45762</v>
      </c>
      <c r="C978" s="6" t="s">
        <v>343</v>
      </c>
      <c r="D978" s="6" t="s">
        <v>40</v>
      </c>
      <c r="E978" s="6" t="s">
        <v>64</v>
      </c>
      <c r="F978" s="6" t="s">
        <v>24</v>
      </c>
      <c r="G978" s="6" t="s">
        <v>61</v>
      </c>
      <c r="H978" s="6" t="s">
        <v>26</v>
      </c>
      <c r="I978" s="6" t="s">
        <v>37</v>
      </c>
      <c r="J978" s="6" t="s">
        <v>40</v>
      </c>
      <c r="K978" s="6" t="s">
        <v>48</v>
      </c>
      <c r="L978" s="6" t="s">
        <v>152</v>
      </c>
      <c r="M978" s="6" t="s">
        <v>32</v>
      </c>
      <c r="N978" s="6" t="s">
        <v>28</v>
      </c>
      <c r="O978" s="6" t="s">
        <v>30</v>
      </c>
      <c r="P978" s="6" t="s">
        <v>788</v>
      </c>
      <c r="Q978" s="6" t="s">
        <v>31</v>
      </c>
      <c r="R978" s="6" t="s">
        <v>40</v>
      </c>
      <c r="S978" s="6" t="s">
        <v>54</v>
      </c>
      <c r="T978" s="6" t="s">
        <v>32</v>
      </c>
      <c r="U978" s="6" t="s">
        <v>28</v>
      </c>
      <c r="V978" s="6" t="s">
        <v>146</v>
      </c>
      <c r="W978" t="s">
        <v>785</v>
      </c>
    </row>
    <row r="979" spans="1:23" x14ac:dyDescent="0.3">
      <c r="A979" s="6" t="s">
        <v>414</v>
      </c>
      <c r="B979" s="1">
        <v>45762</v>
      </c>
      <c r="C979" s="6" t="s">
        <v>343</v>
      </c>
      <c r="D979" s="6" t="s">
        <v>40</v>
      </c>
      <c r="E979" s="6" t="s">
        <v>35</v>
      </c>
      <c r="F979" s="6" t="s">
        <v>24</v>
      </c>
      <c r="G979" s="6" t="s">
        <v>69</v>
      </c>
      <c r="H979" s="6" t="s">
        <v>48</v>
      </c>
      <c r="I979" s="6" t="s">
        <v>38</v>
      </c>
      <c r="J979" s="6" t="s">
        <v>40</v>
      </c>
      <c r="K979" s="6" t="s">
        <v>48</v>
      </c>
      <c r="L979" s="6" t="s">
        <v>54</v>
      </c>
      <c r="M979" s="6" t="s">
        <v>48</v>
      </c>
      <c r="N979" s="6" t="s">
        <v>28</v>
      </c>
      <c r="O979" s="6" t="s">
        <v>30</v>
      </c>
      <c r="P979" s="6" t="s">
        <v>45</v>
      </c>
      <c r="Q979" s="6" t="s">
        <v>31</v>
      </c>
      <c r="R979" s="6" t="s">
        <v>40</v>
      </c>
      <c r="S979" s="6" t="s">
        <v>54</v>
      </c>
      <c r="T979" s="6" t="s">
        <v>32</v>
      </c>
      <c r="U979" s="6" t="s">
        <v>28</v>
      </c>
      <c r="V979" s="6" t="s">
        <v>82</v>
      </c>
      <c r="W979" t="s">
        <v>785</v>
      </c>
    </row>
    <row r="980" spans="1:23" x14ac:dyDescent="0.3">
      <c r="A980" s="6" t="s">
        <v>415</v>
      </c>
      <c r="B980" s="1">
        <v>45762</v>
      </c>
      <c r="C980" s="6" t="s">
        <v>343</v>
      </c>
      <c r="D980" s="6" t="s">
        <v>40</v>
      </c>
      <c r="E980" s="6" t="s">
        <v>35</v>
      </c>
      <c r="F980" s="6" t="s">
        <v>24</v>
      </c>
      <c r="G980" s="6" t="s">
        <v>69</v>
      </c>
      <c r="H980" s="6" t="s">
        <v>26</v>
      </c>
      <c r="I980" s="6" t="s">
        <v>27</v>
      </c>
      <c r="J980" s="6" t="s">
        <v>40</v>
      </c>
      <c r="K980" s="6" t="s">
        <v>48</v>
      </c>
      <c r="L980" s="6" t="s">
        <v>54</v>
      </c>
      <c r="M980" s="6" t="s">
        <v>32</v>
      </c>
      <c r="N980" s="6" t="s">
        <v>28</v>
      </c>
      <c r="O980" s="6" t="s">
        <v>30</v>
      </c>
      <c r="P980" s="6" t="s">
        <v>48</v>
      </c>
      <c r="Q980" s="6" t="s">
        <v>48</v>
      </c>
      <c r="R980" s="6" t="s">
        <v>40</v>
      </c>
      <c r="S980" s="6" t="s">
        <v>54</v>
      </c>
      <c r="T980" s="6" t="s">
        <v>48</v>
      </c>
      <c r="U980" s="6" t="s">
        <v>28</v>
      </c>
      <c r="V980" s="6" t="s">
        <v>146</v>
      </c>
      <c r="W980" t="s">
        <v>785</v>
      </c>
    </row>
    <row r="981" spans="1:23" x14ac:dyDescent="0.3">
      <c r="A981" s="6" t="s">
        <v>415</v>
      </c>
      <c r="B981" s="1">
        <v>45762</v>
      </c>
      <c r="C981" s="6" t="s">
        <v>343</v>
      </c>
      <c r="D981" s="6" t="s">
        <v>40</v>
      </c>
      <c r="E981" s="6" t="s">
        <v>35</v>
      </c>
      <c r="F981" s="6" t="s">
        <v>24</v>
      </c>
      <c r="G981" s="6" t="s">
        <v>69</v>
      </c>
      <c r="H981" s="6" t="s">
        <v>26</v>
      </c>
      <c r="I981" s="6" t="s">
        <v>27</v>
      </c>
      <c r="J981" s="6" t="s">
        <v>40</v>
      </c>
      <c r="K981" s="6" t="s">
        <v>48</v>
      </c>
      <c r="L981" s="6" t="s">
        <v>54</v>
      </c>
      <c r="M981" s="6" t="s">
        <v>32</v>
      </c>
      <c r="N981" s="6" t="s">
        <v>28</v>
      </c>
      <c r="O981" s="6" t="s">
        <v>30</v>
      </c>
      <c r="P981" s="6" t="s">
        <v>48</v>
      </c>
      <c r="Q981" s="6" t="s">
        <v>48</v>
      </c>
      <c r="R981" s="6" t="s">
        <v>40</v>
      </c>
      <c r="S981" s="6" t="s">
        <v>54</v>
      </c>
      <c r="T981" s="6" t="s">
        <v>48</v>
      </c>
      <c r="U981" s="6" t="s">
        <v>28</v>
      </c>
      <c r="V981" s="6" t="s">
        <v>82</v>
      </c>
      <c r="W981" t="s">
        <v>785</v>
      </c>
    </row>
    <row r="982" spans="1:23" x14ac:dyDescent="0.3">
      <c r="A982" s="6" t="s">
        <v>416</v>
      </c>
      <c r="B982" s="1">
        <v>45762</v>
      </c>
      <c r="C982" s="6" t="s">
        <v>343</v>
      </c>
      <c r="D982" s="6" t="s">
        <v>40</v>
      </c>
      <c r="E982" s="6" t="s">
        <v>64</v>
      </c>
      <c r="F982" s="6" t="s">
        <v>24</v>
      </c>
      <c r="G982" s="6" t="s">
        <v>69</v>
      </c>
      <c r="H982" s="6" t="s">
        <v>48</v>
      </c>
      <c r="I982" s="6" t="s">
        <v>37</v>
      </c>
      <c r="J982" s="6" t="s">
        <v>49</v>
      </c>
      <c r="K982" s="6" t="s">
        <v>48</v>
      </c>
      <c r="L982" s="6" t="s">
        <v>54</v>
      </c>
      <c r="M982" s="6" t="s">
        <v>48</v>
      </c>
      <c r="N982" s="6" t="s">
        <v>28</v>
      </c>
      <c r="O982" s="6" t="s">
        <v>48</v>
      </c>
      <c r="P982" s="6" t="s">
        <v>48</v>
      </c>
      <c r="Q982" s="6" t="s">
        <v>48</v>
      </c>
      <c r="R982" s="6" t="s">
        <v>40</v>
      </c>
      <c r="S982" s="6" t="s">
        <v>54</v>
      </c>
      <c r="T982" s="6" t="s">
        <v>48</v>
      </c>
      <c r="U982" s="6" t="s">
        <v>28</v>
      </c>
      <c r="V982" s="6" t="s">
        <v>82</v>
      </c>
      <c r="W982" t="s">
        <v>785</v>
      </c>
    </row>
    <row r="983" spans="1:23" x14ac:dyDescent="0.3">
      <c r="A983" s="6" t="s">
        <v>417</v>
      </c>
      <c r="B983" s="1">
        <v>45762</v>
      </c>
      <c r="C983" s="6" t="s">
        <v>33</v>
      </c>
      <c r="D983" s="6" t="s">
        <v>122</v>
      </c>
      <c r="E983" s="6" t="s">
        <v>23</v>
      </c>
      <c r="F983" s="6" t="s">
        <v>24</v>
      </c>
      <c r="G983" s="6" t="s">
        <v>61</v>
      </c>
      <c r="H983" s="6" t="s">
        <v>26</v>
      </c>
      <c r="I983" s="6" t="s">
        <v>27</v>
      </c>
      <c r="J983" s="6" t="s">
        <v>122</v>
      </c>
      <c r="K983" s="6" t="s">
        <v>48</v>
      </c>
      <c r="L983" s="6" t="s">
        <v>54</v>
      </c>
      <c r="M983" s="6" t="s">
        <v>55</v>
      </c>
      <c r="N983" s="6" t="s">
        <v>28</v>
      </c>
      <c r="O983" s="6" t="s">
        <v>26</v>
      </c>
      <c r="P983" s="6" t="s">
        <v>45</v>
      </c>
      <c r="Q983" s="6" t="s">
        <v>31</v>
      </c>
      <c r="R983" s="6" t="s">
        <v>122</v>
      </c>
      <c r="S983" s="6" t="s">
        <v>54</v>
      </c>
      <c r="T983" s="6" t="s">
        <v>32</v>
      </c>
      <c r="U983" s="6" t="s">
        <v>28</v>
      </c>
      <c r="V983" s="6" t="s">
        <v>146</v>
      </c>
      <c r="W983" t="s">
        <v>785</v>
      </c>
    </row>
    <row r="984" spans="1:23" x14ac:dyDescent="0.3">
      <c r="A984" s="6" t="s">
        <v>418</v>
      </c>
      <c r="B984" s="1">
        <v>45762</v>
      </c>
      <c r="C984" s="6" t="s">
        <v>343</v>
      </c>
      <c r="D984" s="6" t="s">
        <v>40</v>
      </c>
      <c r="E984" s="6" t="s">
        <v>64</v>
      </c>
      <c r="F984" s="6" t="s">
        <v>24</v>
      </c>
      <c r="G984" s="6" t="s">
        <v>69</v>
      </c>
      <c r="H984" s="6" t="s">
        <v>26</v>
      </c>
      <c r="I984" s="6" t="s">
        <v>38</v>
      </c>
      <c r="J984" s="6" t="s">
        <v>40</v>
      </c>
      <c r="K984" s="6" t="s">
        <v>48</v>
      </c>
      <c r="L984" s="6" t="s">
        <v>152</v>
      </c>
      <c r="M984" s="6" t="s">
        <v>55</v>
      </c>
      <c r="N984" s="6" t="s">
        <v>28</v>
      </c>
      <c r="O984" s="6" t="s">
        <v>30</v>
      </c>
      <c r="P984" s="6" t="s">
        <v>48</v>
      </c>
      <c r="Q984" s="6" t="s">
        <v>31</v>
      </c>
      <c r="R984" s="6" t="s">
        <v>40</v>
      </c>
      <c r="S984" s="6" t="s">
        <v>54</v>
      </c>
      <c r="T984" s="6" t="s">
        <v>48</v>
      </c>
      <c r="U984" s="6" t="s">
        <v>28</v>
      </c>
      <c r="V984" s="6" t="s">
        <v>146</v>
      </c>
      <c r="W984" t="s">
        <v>785</v>
      </c>
    </row>
    <row r="985" spans="1:23" x14ac:dyDescent="0.3">
      <c r="A985" s="6" t="s">
        <v>418</v>
      </c>
      <c r="B985" s="1">
        <v>45762</v>
      </c>
      <c r="C985" s="6" t="s">
        <v>343</v>
      </c>
      <c r="D985" s="6" t="s">
        <v>40</v>
      </c>
      <c r="E985" s="6" t="s">
        <v>64</v>
      </c>
      <c r="F985" s="6" t="s">
        <v>24</v>
      </c>
      <c r="G985" s="6" t="s">
        <v>69</v>
      </c>
      <c r="H985" s="6" t="s">
        <v>26</v>
      </c>
      <c r="I985" s="6" t="s">
        <v>38</v>
      </c>
      <c r="J985" s="6" t="s">
        <v>40</v>
      </c>
      <c r="K985" s="6" t="s">
        <v>48</v>
      </c>
      <c r="L985" s="6" t="s">
        <v>152</v>
      </c>
      <c r="M985" s="6" t="s">
        <v>55</v>
      </c>
      <c r="N985" s="6" t="s">
        <v>28</v>
      </c>
      <c r="O985" s="6" t="s">
        <v>30</v>
      </c>
      <c r="P985" s="6" t="s">
        <v>48</v>
      </c>
      <c r="Q985" s="6" t="s">
        <v>31</v>
      </c>
      <c r="R985" s="6" t="s">
        <v>40</v>
      </c>
      <c r="S985" s="6" t="s">
        <v>54</v>
      </c>
      <c r="T985" s="6" t="s">
        <v>48</v>
      </c>
      <c r="U985" s="6" t="s">
        <v>28</v>
      </c>
      <c r="V985" s="6" t="s">
        <v>82</v>
      </c>
      <c r="W985" t="s">
        <v>785</v>
      </c>
    </row>
    <row r="986" spans="1:23" x14ac:dyDescent="0.3">
      <c r="A986" s="6" t="s">
        <v>419</v>
      </c>
      <c r="B986" s="1">
        <v>45763</v>
      </c>
      <c r="C986" s="6" t="s">
        <v>343</v>
      </c>
      <c r="D986" s="6" t="s">
        <v>78</v>
      </c>
      <c r="E986" s="6" t="s">
        <v>73</v>
      </c>
      <c r="F986" s="6" t="s">
        <v>24</v>
      </c>
      <c r="G986" s="6" t="s">
        <v>51</v>
      </c>
      <c r="H986" s="6" t="s">
        <v>48</v>
      </c>
      <c r="I986" s="6" t="s">
        <v>100</v>
      </c>
      <c r="J986" s="6" t="s">
        <v>49</v>
      </c>
      <c r="K986" s="6" t="s">
        <v>48</v>
      </c>
      <c r="L986" s="6" t="s">
        <v>54</v>
      </c>
      <c r="M986" s="6" t="s">
        <v>48</v>
      </c>
      <c r="N986" s="6" t="s">
        <v>28</v>
      </c>
      <c r="O986" s="6" t="s">
        <v>48</v>
      </c>
      <c r="P986" s="6" t="s">
        <v>48</v>
      </c>
      <c r="Q986" s="6" t="s">
        <v>48</v>
      </c>
      <c r="R986" s="6" t="s">
        <v>78</v>
      </c>
      <c r="S986" s="6" t="s">
        <v>54</v>
      </c>
      <c r="T986" s="6" t="s">
        <v>48</v>
      </c>
      <c r="U986" s="6" t="s">
        <v>87</v>
      </c>
      <c r="V986" s="6" t="s">
        <v>82</v>
      </c>
      <c r="W986" t="s">
        <v>785</v>
      </c>
    </row>
    <row r="987" spans="1:23" x14ac:dyDescent="0.3">
      <c r="A987" s="6" t="s">
        <v>420</v>
      </c>
      <c r="B987" s="1">
        <v>45763</v>
      </c>
      <c r="C987" s="6" t="s">
        <v>39</v>
      </c>
      <c r="D987" s="6" t="s">
        <v>60</v>
      </c>
      <c r="E987" s="6" t="s">
        <v>41</v>
      </c>
      <c r="F987" s="6" t="s">
        <v>24</v>
      </c>
      <c r="G987" s="6" t="s">
        <v>25</v>
      </c>
      <c r="H987" s="6" t="s">
        <v>26</v>
      </c>
      <c r="I987" s="6" t="s">
        <v>38</v>
      </c>
      <c r="J987" s="6" t="s">
        <v>60</v>
      </c>
      <c r="K987" s="6" t="s">
        <v>106</v>
      </c>
      <c r="L987" s="6" t="s">
        <v>54</v>
      </c>
      <c r="M987" s="6" t="s">
        <v>55</v>
      </c>
      <c r="N987" s="6" t="s">
        <v>28</v>
      </c>
      <c r="O987" s="6" t="s">
        <v>30</v>
      </c>
      <c r="P987" s="6" t="s">
        <v>66</v>
      </c>
      <c r="Q987" s="6" t="s">
        <v>31</v>
      </c>
      <c r="R987" s="6" t="s">
        <v>60</v>
      </c>
      <c r="S987" s="6" t="s">
        <v>54</v>
      </c>
      <c r="T987" s="6" t="s">
        <v>29</v>
      </c>
      <c r="U987" s="6" t="s">
        <v>28</v>
      </c>
      <c r="V987" s="6" t="s">
        <v>146</v>
      </c>
      <c r="W987" t="s">
        <v>785</v>
      </c>
    </row>
    <row r="988" spans="1:23" x14ac:dyDescent="0.3">
      <c r="A988" s="6" t="s">
        <v>421</v>
      </c>
      <c r="B988" s="1">
        <v>45763</v>
      </c>
      <c r="C988" s="6" t="s">
        <v>343</v>
      </c>
      <c r="D988" s="6" t="s">
        <v>40</v>
      </c>
      <c r="E988" s="6" t="s">
        <v>64</v>
      </c>
      <c r="F988" s="6" t="s">
        <v>24</v>
      </c>
      <c r="G988" s="6" t="s">
        <v>97</v>
      </c>
      <c r="H988" s="6" t="s">
        <v>48</v>
      </c>
      <c r="I988" s="6" t="s">
        <v>58</v>
      </c>
      <c r="J988" s="6" t="s">
        <v>40</v>
      </c>
      <c r="K988" s="6" t="s">
        <v>48</v>
      </c>
      <c r="L988" s="6" t="s">
        <v>54</v>
      </c>
      <c r="M988" s="6" t="s">
        <v>48</v>
      </c>
      <c r="N988" s="6" t="s">
        <v>28</v>
      </c>
      <c r="O988" s="6" t="s">
        <v>30</v>
      </c>
      <c r="P988" s="6" t="s">
        <v>48</v>
      </c>
      <c r="Q988" s="6" t="s">
        <v>48</v>
      </c>
      <c r="R988" s="6" t="s">
        <v>40</v>
      </c>
      <c r="S988" s="6" t="s">
        <v>54</v>
      </c>
      <c r="T988" s="6" t="s">
        <v>48</v>
      </c>
      <c r="U988" s="6" t="s">
        <v>28</v>
      </c>
      <c r="V988" s="6" t="s">
        <v>137</v>
      </c>
      <c r="W988" t="s">
        <v>785</v>
      </c>
    </row>
    <row r="989" spans="1:23" x14ac:dyDescent="0.3">
      <c r="A989" s="6" t="s">
        <v>421</v>
      </c>
      <c r="B989" s="1">
        <v>45763</v>
      </c>
      <c r="C989" s="6" t="s">
        <v>343</v>
      </c>
      <c r="D989" s="6" t="s">
        <v>40</v>
      </c>
      <c r="E989" s="6" t="s">
        <v>64</v>
      </c>
      <c r="F989" s="6" t="s">
        <v>24</v>
      </c>
      <c r="G989" s="6" t="s">
        <v>97</v>
      </c>
      <c r="H989" s="6" t="s">
        <v>48</v>
      </c>
      <c r="I989" s="6" t="s">
        <v>58</v>
      </c>
      <c r="J989" s="6" t="s">
        <v>40</v>
      </c>
      <c r="K989" s="6" t="s">
        <v>48</v>
      </c>
      <c r="L989" s="6" t="s">
        <v>54</v>
      </c>
      <c r="M989" s="6" t="s">
        <v>48</v>
      </c>
      <c r="N989" s="6" t="s">
        <v>28</v>
      </c>
      <c r="O989" s="6" t="s">
        <v>30</v>
      </c>
      <c r="P989" s="6" t="s">
        <v>48</v>
      </c>
      <c r="Q989" s="6" t="s">
        <v>48</v>
      </c>
      <c r="R989" s="6" t="s">
        <v>40</v>
      </c>
      <c r="S989" s="6" t="s">
        <v>54</v>
      </c>
      <c r="T989" s="6" t="s">
        <v>48</v>
      </c>
      <c r="U989" s="6" t="s">
        <v>28</v>
      </c>
      <c r="V989" s="6" t="s">
        <v>82</v>
      </c>
      <c r="W989" t="s">
        <v>785</v>
      </c>
    </row>
    <row r="990" spans="1:23" x14ac:dyDescent="0.3">
      <c r="A990" s="6" t="s">
        <v>421</v>
      </c>
      <c r="B990" s="1">
        <v>45763</v>
      </c>
      <c r="C990" s="6" t="s">
        <v>343</v>
      </c>
      <c r="D990" s="6" t="s">
        <v>40</v>
      </c>
      <c r="E990" s="6" t="s">
        <v>64</v>
      </c>
      <c r="F990" s="6" t="s">
        <v>24</v>
      </c>
      <c r="G990" s="6" t="s">
        <v>97</v>
      </c>
      <c r="H990" s="6" t="s">
        <v>48</v>
      </c>
      <c r="I990" s="6" t="s">
        <v>58</v>
      </c>
      <c r="J990" s="6" t="s">
        <v>40</v>
      </c>
      <c r="K990" s="6" t="s">
        <v>48</v>
      </c>
      <c r="L990" s="6" t="s">
        <v>54</v>
      </c>
      <c r="M990" s="6" t="s">
        <v>48</v>
      </c>
      <c r="N990" s="6" t="s">
        <v>28</v>
      </c>
      <c r="O990" s="6" t="s">
        <v>30</v>
      </c>
      <c r="P990" s="6" t="s">
        <v>48</v>
      </c>
      <c r="Q990" s="6" t="s">
        <v>48</v>
      </c>
      <c r="R990" s="6" t="s">
        <v>40</v>
      </c>
      <c r="S990" s="6" t="s">
        <v>54</v>
      </c>
      <c r="T990" s="6" t="s">
        <v>48</v>
      </c>
      <c r="U990" s="6" t="s">
        <v>28</v>
      </c>
      <c r="V990" s="6" t="s">
        <v>146</v>
      </c>
      <c r="W990" t="s">
        <v>785</v>
      </c>
    </row>
    <row r="991" spans="1:23" x14ac:dyDescent="0.3">
      <c r="A991" s="6" t="s">
        <v>422</v>
      </c>
      <c r="B991" s="1">
        <v>45763</v>
      </c>
      <c r="C991" s="6" t="s">
        <v>343</v>
      </c>
      <c r="D991" s="6" t="s">
        <v>34</v>
      </c>
      <c r="E991" s="6" t="s">
        <v>68</v>
      </c>
      <c r="F991" s="6" t="s">
        <v>24</v>
      </c>
      <c r="G991" s="6" t="s">
        <v>61</v>
      </c>
      <c r="H991" s="6" t="s">
        <v>26</v>
      </c>
      <c r="I991" s="6" t="s">
        <v>38</v>
      </c>
      <c r="J991" s="6" t="s">
        <v>34</v>
      </c>
      <c r="K991" s="6" t="s">
        <v>48</v>
      </c>
      <c r="L991" s="6" t="s">
        <v>54</v>
      </c>
      <c r="M991" s="6" t="s">
        <v>48</v>
      </c>
      <c r="N991" s="6" t="s">
        <v>28</v>
      </c>
      <c r="O991" s="6" t="s">
        <v>48</v>
      </c>
      <c r="P991" s="6" t="s">
        <v>48</v>
      </c>
      <c r="Q991" s="6" t="s">
        <v>48</v>
      </c>
      <c r="R991" s="6" t="s">
        <v>34</v>
      </c>
      <c r="S991" s="6" t="s">
        <v>54</v>
      </c>
      <c r="T991" s="6" t="s">
        <v>48</v>
      </c>
      <c r="U991" s="6" t="s">
        <v>130</v>
      </c>
      <c r="V991" s="6" t="s">
        <v>137</v>
      </c>
      <c r="W991" t="s">
        <v>785</v>
      </c>
    </row>
    <row r="992" spans="1:23" x14ac:dyDescent="0.3">
      <c r="A992" s="6" t="s">
        <v>423</v>
      </c>
      <c r="B992" s="1">
        <v>45763</v>
      </c>
      <c r="C992" s="6" t="s">
        <v>84</v>
      </c>
      <c r="D992" s="6" t="s">
        <v>22</v>
      </c>
      <c r="E992" s="6" t="s">
        <v>73</v>
      </c>
      <c r="F992" s="6" t="s">
        <v>24</v>
      </c>
      <c r="G992" s="6" t="s">
        <v>97</v>
      </c>
      <c r="H992" s="6" t="s">
        <v>26</v>
      </c>
      <c r="I992" s="6" t="s">
        <v>37</v>
      </c>
      <c r="J992" s="6" t="s">
        <v>22</v>
      </c>
      <c r="K992" s="6" t="s">
        <v>133</v>
      </c>
      <c r="L992" s="6" t="s">
        <v>152</v>
      </c>
      <c r="M992" s="6" t="s">
        <v>32</v>
      </c>
      <c r="N992" s="6" t="s">
        <v>28</v>
      </c>
      <c r="O992" s="6" t="s">
        <v>30</v>
      </c>
      <c r="P992" s="6" t="s">
        <v>45</v>
      </c>
      <c r="Q992" s="6" t="s">
        <v>31</v>
      </c>
      <c r="R992" s="6" t="s">
        <v>22</v>
      </c>
      <c r="S992" s="6" t="s">
        <v>54</v>
      </c>
      <c r="T992" s="6" t="s">
        <v>32</v>
      </c>
      <c r="U992" s="6" t="s">
        <v>28</v>
      </c>
      <c r="V992" s="6" t="s">
        <v>146</v>
      </c>
      <c r="W992" t="s">
        <v>785</v>
      </c>
    </row>
    <row r="993" spans="1:23" x14ac:dyDescent="0.3">
      <c r="A993" s="6" t="s">
        <v>424</v>
      </c>
      <c r="B993" s="1">
        <v>45763</v>
      </c>
      <c r="C993" s="6" t="s">
        <v>21</v>
      </c>
      <c r="D993" s="6" t="s">
        <v>22</v>
      </c>
      <c r="E993" s="6" t="s">
        <v>64</v>
      </c>
      <c r="F993" s="6" t="s">
        <v>24</v>
      </c>
      <c r="G993" s="6" t="s">
        <v>134</v>
      </c>
      <c r="H993" s="6" t="s">
        <v>48</v>
      </c>
      <c r="I993" s="6" t="s">
        <v>52</v>
      </c>
      <c r="J993" s="6" t="s">
        <v>22</v>
      </c>
      <c r="K993" s="6" t="s">
        <v>48</v>
      </c>
      <c r="L993" s="6" t="s">
        <v>54</v>
      </c>
      <c r="M993" s="6" t="s">
        <v>48</v>
      </c>
      <c r="N993" s="6" t="s">
        <v>28</v>
      </c>
      <c r="O993" s="6" t="s">
        <v>30</v>
      </c>
      <c r="P993" s="6" t="s">
        <v>58</v>
      </c>
      <c r="Q993" s="6" t="s">
        <v>31</v>
      </c>
      <c r="R993" s="6" t="s">
        <v>22</v>
      </c>
      <c r="S993" s="6" t="s">
        <v>54</v>
      </c>
      <c r="T993" s="6" t="s">
        <v>29</v>
      </c>
      <c r="U993" s="6" t="s">
        <v>28</v>
      </c>
      <c r="V993" s="6" t="s">
        <v>82</v>
      </c>
      <c r="W993" t="s">
        <v>785</v>
      </c>
    </row>
    <row r="994" spans="1:23" x14ac:dyDescent="0.3">
      <c r="A994" s="6" t="s">
        <v>425</v>
      </c>
      <c r="B994" s="1">
        <v>45764</v>
      </c>
      <c r="C994" s="6" t="s">
        <v>33</v>
      </c>
      <c r="D994" s="6" t="s">
        <v>40</v>
      </c>
      <c r="E994" s="6" t="s">
        <v>35</v>
      </c>
      <c r="F994" s="6" t="s">
        <v>24</v>
      </c>
      <c r="G994" s="6" t="s">
        <v>61</v>
      </c>
      <c r="H994" s="6" t="s">
        <v>26</v>
      </c>
      <c r="I994" s="6" t="s">
        <v>52</v>
      </c>
      <c r="J994" s="6" t="s">
        <v>40</v>
      </c>
      <c r="K994" s="6" t="s">
        <v>48</v>
      </c>
      <c r="L994" s="6" t="s">
        <v>152</v>
      </c>
      <c r="M994" s="6" t="s">
        <v>29</v>
      </c>
      <c r="N994" s="6" t="s">
        <v>28</v>
      </c>
      <c r="O994" s="6" t="s">
        <v>48</v>
      </c>
      <c r="P994" s="6" t="s">
        <v>48</v>
      </c>
      <c r="Q994" s="6" t="s">
        <v>48</v>
      </c>
      <c r="R994" s="6" t="s">
        <v>40</v>
      </c>
      <c r="S994" s="6" t="s">
        <v>54</v>
      </c>
      <c r="T994" s="6" t="s">
        <v>48</v>
      </c>
      <c r="U994" s="6" t="s">
        <v>94</v>
      </c>
      <c r="V994" s="6" t="s">
        <v>137</v>
      </c>
      <c r="W994" t="s">
        <v>785</v>
      </c>
    </row>
    <row r="995" spans="1:23" x14ac:dyDescent="0.3">
      <c r="A995" s="6" t="s">
        <v>425</v>
      </c>
      <c r="B995" s="1">
        <v>45764</v>
      </c>
      <c r="C995" s="6" t="s">
        <v>33</v>
      </c>
      <c r="D995" s="6" t="s">
        <v>40</v>
      </c>
      <c r="E995" s="6" t="s">
        <v>35</v>
      </c>
      <c r="F995" s="6" t="s">
        <v>24</v>
      </c>
      <c r="G995" s="6" t="s">
        <v>61</v>
      </c>
      <c r="H995" s="6" t="s">
        <v>26</v>
      </c>
      <c r="I995" s="6" t="s">
        <v>52</v>
      </c>
      <c r="J995" s="6" t="s">
        <v>40</v>
      </c>
      <c r="K995" s="6" t="s">
        <v>48</v>
      </c>
      <c r="L995" s="6" t="s">
        <v>152</v>
      </c>
      <c r="M995" s="6" t="s">
        <v>29</v>
      </c>
      <c r="N995" s="6" t="s">
        <v>28</v>
      </c>
      <c r="O995" s="6" t="s">
        <v>48</v>
      </c>
      <c r="P995" s="6" t="s">
        <v>48</v>
      </c>
      <c r="Q995" s="6" t="s">
        <v>48</v>
      </c>
      <c r="R995" s="6" t="s">
        <v>40</v>
      </c>
      <c r="S995" s="6" t="s">
        <v>54</v>
      </c>
      <c r="T995" s="6" t="s">
        <v>48</v>
      </c>
      <c r="U995" s="6" t="s">
        <v>94</v>
      </c>
      <c r="V995" s="6" t="s">
        <v>82</v>
      </c>
      <c r="W995" t="s">
        <v>785</v>
      </c>
    </row>
    <row r="996" spans="1:23" x14ac:dyDescent="0.3">
      <c r="A996" s="6" t="s">
        <v>429</v>
      </c>
      <c r="B996" s="1">
        <v>45765</v>
      </c>
      <c r="C996" s="6" t="s">
        <v>33</v>
      </c>
      <c r="D996" s="6" t="s">
        <v>48</v>
      </c>
      <c r="E996" s="6" t="s">
        <v>35</v>
      </c>
      <c r="F996" s="6" t="s">
        <v>24</v>
      </c>
      <c r="G996" s="6" t="s">
        <v>46</v>
      </c>
      <c r="H996" s="6" t="s">
        <v>26</v>
      </c>
      <c r="I996" s="6" t="s">
        <v>58</v>
      </c>
      <c r="J996" s="6" t="s">
        <v>49</v>
      </c>
      <c r="K996" s="6" t="s">
        <v>48</v>
      </c>
      <c r="L996" s="6" t="s">
        <v>54</v>
      </c>
      <c r="M996" s="6" t="s">
        <v>48</v>
      </c>
      <c r="N996" s="6" t="s">
        <v>28</v>
      </c>
      <c r="O996" s="6" t="s">
        <v>26</v>
      </c>
      <c r="P996" s="6" t="s">
        <v>48</v>
      </c>
      <c r="Q996" s="6" t="s">
        <v>48</v>
      </c>
      <c r="R996" s="6" t="s">
        <v>49</v>
      </c>
      <c r="S996" s="6" t="s">
        <v>54</v>
      </c>
      <c r="T996" s="6" t="s">
        <v>48</v>
      </c>
      <c r="U996" s="6" t="s">
        <v>28</v>
      </c>
      <c r="V996" s="6" t="s">
        <v>146</v>
      </c>
      <c r="W996" t="s">
        <v>785</v>
      </c>
    </row>
    <row r="997" spans="1:23" x14ac:dyDescent="0.3">
      <c r="A997" s="6" t="s">
        <v>426</v>
      </c>
      <c r="B997" s="1">
        <v>45765</v>
      </c>
      <c r="C997" s="6" t="s">
        <v>33</v>
      </c>
      <c r="D997" s="6" t="s">
        <v>48</v>
      </c>
      <c r="E997" s="6" t="s">
        <v>35</v>
      </c>
      <c r="F997" s="6" t="s">
        <v>24</v>
      </c>
      <c r="G997" s="6" t="s">
        <v>46</v>
      </c>
      <c r="H997" s="6" t="s">
        <v>26</v>
      </c>
      <c r="I997" s="6" t="s">
        <v>58</v>
      </c>
      <c r="J997" s="6" t="s">
        <v>49</v>
      </c>
      <c r="K997" s="6" t="s">
        <v>48</v>
      </c>
      <c r="L997" s="6" t="s">
        <v>54</v>
      </c>
      <c r="M997" s="6" t="s">
        <v>48</v>
      </c>
      <c r="N997" s="6" t="s">
        <v>28</v>
      </c>
      <c r="O997" s="6" t="s">
        <v>26</v>
      </c>
      <c r="P997" s="6" t="s">
        <v>48</v>
      </c>
      <c r="Q997" s="6" t="s">
        <v>31</v>
      </c>
      <c r="R997" s="6" t="s">
        <v>49</v>
      </c>
      <c r="S997" s="6" t="s">
        <v>54</v>
      </c>
      <c r="T997" s="6" t="s">
        <v>48</v>
      </c>
      <c r="U997" s="6" t="s">
        <v>28</v>
      </c>
      <c r="V997" s="6" t="s">
        <v>146</v>
      </c>
      <c r="W997" t="s">
        <v>785</v>
      </c>
    </row>
    <row r="998" spans="1:23" x14ac:dyDescent="0.3">
      <c r="A998" s="6" t="s">
        <v>427</v>
      </c>
      <c r="B998" s="1">
        <v>45765</v>
      </c>
      <c r="C998" s="6" t="s">
        <v>33</v>
      </c>
      <c r="D998" s="6" t="s">
        <v>48</v>
      </c>
      <c r="E998" s="6" t="s">
        <v>35</v>
      </c>
      <c r="F998" s="6" t="s">
        <v>24</v>
      </c>
      <c r="G998" s="6" t="s">
        <v>46</v>
      </c>
      <c r="H998" s="6" t="s">
        <v>26</v>
      </c>
      <c r="I998" s="6" t="s">
        <v>58</v>
      </c>
      <c r="J998" s="6" t="s">
        <v>49</v>
      </c>
      <c r="K998" s="6" t="s">
        <v>48</v>
      </c>
      <c r="L998" s="6" t="s">
        <v>54</v>
      </c>
      <c r="M998" s="6" t="s">
        <v>48</v>
      </c>
      <c r="N998" s="6" t="s">
        <v>28</v>
      </c>
      <c r="O998" s="6" t="s">
        <v>26</v>
      </c>
      <c r="P998" s="6" t="s">
        <v>48</v>
      </c>
      <c r="Q998" s="6" t="s">
        <v>48</v>
      </c>
      <c r="R998" s="6" t="s">
        <v>22</v>
      </c>
      <c r="S998" s="6" t="s">
        <v>54</v>
      </c>
      <c r="T998" s="6" t="s">
        <v>48</v>
      </c>
      <c r="U998" s="6" t="s">
        <v>28</v>
      </c>
      <c r="V998" s="6" t="s">
        <v>146</v>
      </c>
      <c r="W998" t="s">
        <v>785</v>
      </c>
    </row>
    <row r="999" spans="1:23" x14ac:dyDescent="0.3">
      <c r="A999" s="6" t="s">
        <v>430</v>
      </c>
      <c r="B999" s="1">
        <v>45765</v>
      </c>
      <c r="C999" s="6" t="s">
        <v>33</v>
      </c>
      <c r="D999" s="6" t="s">
        <v>48</v>
      </c>
      <c r="E999" s="6" t="s">
        <v>35</v>
      </c>
      <c r="F999" s="6" t="s">
        <v>24</v>
      </c>
      <c r="G999" s="6" t="s">
        <v>46</v>
      </c>
      <c r="H999" s="6" t="s">
        <v>26</v>
      </c>
      <c r="I999" s="6" t="s">
        <v>58</v>
      </c>
      <c r="J999" s="6" t="s">
        <v>49</v>
      </c>
      <c r="K999" s="6" t="s">
        <v>48</v>
      </c>
      <c r="L999" s="6" t="s">
        <v>54</v>
      </c>
      <c r="M999" s="6" t="s">
        <v>48</v>
      </c>
      <c r="N999" s="6" t="s">
        <v>28</v>
      </c>
      <c r="O999" s="6" t="s">
        <v>48</v>
      </c>
      <c r="P999" s="6" t="s">
        <v>48</v>
      </c>
      <c r="Q999" s="6" t="s">
        <v>48</v>
      </c>
      <c r="R999" s="6" t="s">
        <v>49</v>
      </c>
      <c r="S999" s="6" t="s">
        <v>54</v>
      </c>
      <c r="T999" s="6" t="s">
        <v>48</v>
      </c>
      <c r="U999" s="6" t="s">
        <v>56</v>
      </c>
      <c r="V999" s="6" t="s">
        <v>146</v>
      </c>
      <c r="W999" t="s">
        <v>785</v>
      </c>
    </row>
    <row r="1000" spans="1:23" x14ac:dyDescent="0.3">
      <c r="A1000" s="6" t="s">
        <v>428</v>
      </c>
      <c r="B1000" s="1">
        <v>45765</v>
      </c>
      <c r="C1000" s="6" t="s">
        <v>33</v>
      </c>
      <c r="D1000" s="6" t="s">
        <v>48</v>
      </c>
      <c r="E1000" s="6" t="s">
        <v>35</v>
      </c>
      <c r="F1000" s="6" t="s">
        <v>24</v>
      </c>
      <c r="G1000" s="6" t="s">
        <v>46</v>
      </c>
      <c r="H1000" s="6" t="s">
        <v>26</v>
      </c>
      <c r="I1000" s="6" t="s">
        <v>58</v>
      </c>
      <c r="J1000" s="6" t="s">
        <v>49</v>
      </c>
      <c r="K1000" s="6" t="s">
        <v>48</v>
      </c>
      <c r="L1000" s="6" t="s">
        <v>54</v>
      </c>
      <c r="M1000" s="6" t="s">
        <v>48</v>
      </c>
      <c r="N1000" s="6" t="s">
        <v>28</v>
      </c>
      <c r="O1000" s="6" t="s">
        <v>48</v>
      </c>
      <c r="P1000" s="6" t="s">
        <v>48</v>
      </c>
      <c r="Q1000" s="6" t="s">
        <v>48</v>
      </c>
      <c r="R1000" s="6" t="s">
        <v>49</v>
      </c>
      <c r="S1000" s="6" t="s">
        <v>54</v>
      </c>
      <c r="T1000" s="6" t="s">
        <v>48</v>
      </c>
      <c r="U1000" s="6" t="s">
        <v>56</v>
      </c>
      <c r="V1000" s="6" t="s">
        <v>146</v>
      </c>
      <c r="W1000" t="s">
        <v>785</v>
      </c>
    </row>
    <row r="1001" spans="1:23" x14ac:dyDescent="0.3">
      <c r="A1001" s="6" t="s">
        <v>431</v>
      </c>
      <c r="B1001" s="1">
        <v>45765</v>
      </c>
      <c r="C1001" s="6" t="s">
        <v>57</v>
      </c>
      <c r="D1001" s="6" t="s">
        <v>22</v>
      </c>
      <c r="E1001" s="6" t="s">
        <v>35</v>
      </c>
      <c r="F1001" s="6" t="s">
        <v>24</v>
      </c>
      <c r="G1001" s="6" t="s">
        <v>61</v>
      </c>
      <c r="H1001" s="6" t="s">
        <v>48</v>
      </c>
      <c r="I1001" s="6" t="s">
        <v>100</v>
      </c>
      <c r="J1001" s="6" t="s">
        <v>49</v>
      </c>
      <c r="K1001" s="6" t="s">
        <v>48</v>
      </c>
      <c r="L1001" s="6" t="s">
        <v>54</v>
      </c>
      <c r="M1001" s="6" t="s">
        <v>48</v>
      </c>
      <c r="N1001" s="6" t="s">
        <v>28</v>
      </c>
      <c r="O1001" s="6" t="s">
        <v>48</v>
      </c>
      <c r="P1001" s="6" t="s">
        <v>48</v>
      </c>
      <c r="Q1001" s="6" t="s">
        <v>48</v>
      </c>
      <c r="R1001" s="6" t="s">
        <v>22</v>
      </c>
      <c r="S1001" s="6" t="s">
        <v>54</v>
      </c>
      <c r="T1001" s="6" t="s">
        <v>48</v>
      </c>
      <c r="U1001" s="6" t="s">
        <v>126</v>
      </c>
      <c r="V1001" s="6" t="s">
        <v>82</v>
      </c>
      <c r="W1001" t="s">
        <v>785</v>
      </c>
    </row>
    <row r="1002" spans="1:23" x14ac:dyDescent="0.3">
      <c r="A1002" s="6" t="s">
        <v>432</v>
      </c>
      <c r="B1002" s="1">
        <v>45765</v>
      </c>
      <c r="C1002" s="6" t="s">
        <v>57</v>
      </c>
      <c r="D1002" s="6" t="s">
        <v>22</v>
      </c>
      <c r="E1002" s="6" t="s">
        <v>35</v>
      </c>
      <c r="F1002" s="6" t="s">
        <v>24</v>
      </c>
      <c r="G1002" s="6" t="s">
        <v>61</v>
      </c>
      <c r="H1002" s="6" t="s">
        <v>48</v>
      </c>
      <c r="I1002" s="6" t="s">
        <v>100</v>
      </c>
      <c r="J1002" s="6" t="s">
        <v>49</v>
      </c>
      <c r="K1002" s="6" t="s">
        <v>48</v>
      </c>
      <c r="L1002" s="6" t="s">
        <v>54</v>
      </c>
      <c r="M1002" s="6" t="s">
        <v>48</v>
      </c>
      <c r="N1002" s="6" t="s">
        <v>28</v>
      </c>
      <c r="O1002" s="6" t="s">
        <v>48</v>
      </c>
      <c r="P1002" s="6" t="s">
        <v>48</v>
      </c>
      <c r="Q1002" s="6" t="s">
        <v>48</v>
      </c>
      <c r="R1002" s="6" t="s">
        <v>22</v>
      </c>
      <c r="S1002" s="6" t="s">
        <v>54</v>
      </c>
      <c r="T1002" s="6" t="s">
        <v>48</v>
      </c>
      <c r="U1002" s="6" t="s">
        <v>28</v>
      </c>
      <c r="V1002" s="6" t="s">
        <v>82</v>
      </c>
      <c r="W1002" t="s">
        <v>785</v>
      </c>
    </row>
    <row r="1003" spans="1:23" x14ac:dyDescent="0.3">
      <c r="A1003" s="6" t="s">
        <v>433</v>
      </c>
      <c r="B1003" s="1">
        <v>45765</v>
      </c>
      <c r="C1003" s="6" t="s">
        <v>84</v>
      </c>
      <c r="D1003" s="6" t="s">
        <v>95</v>
      </c>
      <c r="E1003" s="6" t="s">
        <v>68</v>
      </c>
      <c r="F1003" s="6" t="s">
        <v>24</v>
      </c>
      <c r="G1003" s="6" t="s">
        <v>155</v>
      </c>
      <c r="H1003" s="6" t="s">
        <v>26</v>
      </c>
      <c r="I1003" s="6" t="s">
        <v>100</v>
      </c>
      <c r="J1003" s="6" t="s">
        <v>95</v>
      </c>
      <c r="K1003" s="6" t="s">
        <v>48</v>
      </c>
      <c r="L1003" s="6" t="s">
        <v>54</v>
      </c>
      <c r="M1003" s="6" t="s">
        <v>29</v>
      </c>
      <c r="N1003" s="6" t="s">
        <v>28</v>
      </c>
      <c r="O1003" s="6" t="s">
        <v>30</v>
      </c>
      <c r="P1003" s="6" t="s">
        <v>100</v>
      </c>
      <c r="Q1003" s="6" t="s">
        <v>31</v>
      </c>
      <c r="R1003" s="6" t="s">
        <v>95</v>
      </c>
      <c r="S1003" s="6" t="s">
        <v>54</v>
      </c>
      <c r="T1003" s="6" t="s">
        <v>29</v>
      </c>
      <c r="U1003" s="6" t="s">
        <v>28</v>
      </c>
      <c r="V1003" s="6" t="s">
        <v>82</v>
      </c>
      <c r="W1003" t="s">
        <v>785</v>
      </c>
    </row>
    <row r="1004" spans="1:23" x14ac:dyDescent="0.3">
      <c r="A1004" s="6" t="s">
        <v>433</v>
      </c>
      <c r="B1004" s="1">
        <v>45765</v>
      </c>
      <c r="C1004" s="6" t="s">
        <v>84</v>
      </c>
      <c r="D1004" s="6" t="s">
        <v>95</v>
      </c>
      <c r="E1004" s="6" t="s">
        <v>68</v>
      </c>
      <c r="F1004" s="6" t="s">
        <v>24</v>
      </c>
      <c r="G1004" s="6" t="s">
        <v>155</v>
      </c>
      <c r="H1004" s="6" t="s">
        <v>26</v>
      </c>
      <c r="I1004" s="6" t="s">
        <v>100</v>
      </c>
      <c r="J1004" s="6" t="s">
        <v>95</v>
      </c>
      <c r="K1004" s="6" t="s">
        <v>48</v>
      </c>
      <c r="L1004" s="6" t="s">
        <v>54</v>
      </c>
      <c r="M1004" s="6" t="s">
        <v>29</v>
      </c>
      <c r="N1004" s="6" t="s">
        <v>28</v>
      </c>
      <c r="O1004" s="6" t="s">
        <v>30</v>
      </c>
      <c r="P1004" s="6" t="s">
        <v>100</v>
      </c>
      <c r="Q1004" s="6" t="s">
        <v>31</v>
      </c>
      <c r="R1004" s="6" t="s">
        <v>95</v>
      </c>
      <c r="S1004" s="6" t="s">
        <v>54</v>
      </c>
      <c r="T1004" s="6" t="s">
        <v>29</v>
      </c>
      <c r="U1004" s="6" t="s">
        <v>28</v>
      </c>
      <c r="V1004" s="6" t="s">
        <v>137</v>
      </c>
      <c r="W1004" t="s">
        <v>785</v>
      </c>
    </row>
    <row r="1005" spans="1:23" x14ac:dyDescent="0.3">
      <c r="A1005" s="6" t="s">
        <v>434</v>
      </c>
      <c r="B1005" s="1">
        <v>45767</v>
      </c>
      <c r="C1005" s="6" t="s">
        <v>33</v>
      </c>
      <c r="D1005" s="6" t="s">
        <v>60</v>
      </c>
      <c r="E1005" s="6" t="s">
        <v>73</v>
      </c>
      <c r="F1005" s="6" t="s">
        <v>24</v>
      </c>
      <c r="G1005" s="6" t="s">
        <v>25</v>
      </c>
      <c r="H1005" s="6" t="s">
        <v>26</v>
      </c>
      <c r="I1005" s="6" t="s">
        <v>38</v>
      </c>
      <c r="J1005" s="6" t="s">
        <v>60</v>
      </c>
      <c r="K1005" s="6" t="s">
        <v>48</v>
      </c>
      <c r="L1005" s="6" t="s">
        <v>54</v>
      </c>
      <c r="M1005" s="6" t="s">
        <v>55</v>
      </c>
      <c r="N1005" s="6" t="s">
        <v>28</v>
      </c>
      <c r="O1005" s="6" t="s">
        <v>30</v>
      </c>
      <c r="P1005" s="6" t="s">
        <v>66</v>
      </c>
      <c r="Q1005" s="6" t="s">
        <v>31</v>
      </c>
      <c r="R1005" s="6" t="s">
        <v>60</v>
      </c>
      <c r="S1005" s="6" t="s">
        <v>54</v>
      </c>
      <c r="T1005" s="6" t="s">
        <v>29</v>
      </c>
      <c r="U1005" s="6" t="s">
        <v>28</v>
      </c>
      <c r="V1005" s="6" t="s">
        <v>82</v>
      </c>
      <c r="W1005" t="s">
        <v>785</v>
      </c>
    </row>
    <row r="1006" spans="1:23" x14ac:dyDescent="0.3">
      <c r="A1006" s="6" t="s">
        <v>435</v>
      </c>
      <c r="B1006" s="1">
        <v>45768</v>
      </c>
      <c r="C1006" s="6" t="s">
        <v>84</v>
      </c>
      <c r="D1006" s="6" t="s">
        <v>40</v>
      </c>
      <c r="E1006" s="6" t="s">
        <v>68</v>
      </c>
      <c r="F1006" s="6" t="s">
        <v>24</v>
      </c>
      <c r="G1006" s="6" t="s">
        <v>97</v>
      </c>
      <c r="H1006" s="6" t="s">
        <v>48</v>
      </c>
      <c r="I1006" s="6" t="s">
        <v>100</v>
      </c>
      <c r="J1006" s="6" t="s">
        <v>49</v>
      </c>
      <c r="K1006" s="6" t="s">
        <v>48</v>
      </c>
      <c r="L1006" s="6" t="s">
        <v>705</v>
      </c>
      <c r="M1006" s="6" t="s">
        <v>48</v>
      </c>
      <c r="N1006" s="6" t="s">
        <v>28</v>
      </c>
      <c r="O1006" s="6" t="s">
        <v>30</v>
      </c>
      <c r="P1006" s="6" t="s">
        <v>48</v>
      </c>
      <c r="Q1006" s="6" t="s">
        <v>31</v>
      </c>
      <c r="R1006" s="6" t="s">
        <v>40</v>
      </c>
      <c r="S1006" s="6" t="s">
        <v>54</v>
      </c>
      <c r="T1006" s="6" t="s">
        <v>48</v>
      </c>
      <c r="U1006" s="6" t="s">
        <v>28</v>
      </c>
      <c r="V1006" s="6" t="s">
        <v>82</v>
      </c>
      <c r="W1006" t="s">
        <v>785</v>
      </c>
    </row>
    <row r="1007" spans="1:23" x14ac:dyDescent="0.3">
      <c r="A1007" s="6" t="s">
        <v>436</v>
      </c>
      <c r="B1007" s="1">
        <v>45769</v>
      </c>
      <c r="C1007" s="6" t="s">
        <v>84</v>
      </c>
      <c r="D1007" s="6" t="s">
        <v>48</v>
      </c>
      <c r="E1007" s="6" t="s">
        <v>68</v>
      </c>
      <c r="F1007" s="6" t="s">
        <v>24</v>
      </c>
      <c r="G1007" s="6" t="s">
        <v>71</v>
      </c>
      <c r="H1007" s="6" t="s">
        <v>26</v>
      </c>
      <c r="I1007" s="6" t="s">
        <v>45</v>
      </c>
      <c r="J1007" s="6" t="s">
        <v>40</v>
      </c>
      <c r="K1007" s="6" t="s">
        <v>48</v>
      </c>
      <c r="L1007" s="6" t="s">
        <v>54</v>
      </c>
      <c r="M1007" s="6" t="s">
        <v>29</v>
      </c>
      <c r="N1007" s="6" t="s">
        <v>28</v>
      </c>
      <c r="O1007" s="6" t="s">
        <v>26</v>
      </c>
      <c r="P1007" s="6" t="s">
        <v>788</v>
      </c>
      <c r="Q1007" s="6" t="s">
        <v>31</v>
      </c>
      <c r="R1007" s="6" t="s">
        <v>49</v>
      </c>
      <c r="S1007" s="6" t="s">
        <v>54</v>
      </c>
      <c r="T1007" s="6" t="s">
        <v>55</v>
      </c>
      <c r="U1007" s="6" t="s">
        <v>28</v>
      </c>
      <c r="V1007" s="6" t="s">
        <v>82</v>
      </c>
      <c r="W1007" t="s">
        <v>785</v>
      </c>
    </row>
    <row r="1008" spans="1:23" x14ac:dyDescent="0.3">
      <c r="A1008" s="6" t="s">
        <v>437</v>
      </c>
      <c r="B1008" s="1">
        <v>45769</v>
      </c>
      <c r="C1008" s="6" t="s">
        <v>33</v>
      </c>
      <c r="D1008" s="6" t="s">
        <v>95</v>
      </c>
      <c r="E1008" s="6" t="s">
        <v>35</v>
      </c>
      <c r="F1008" s="6" t="s">
        <v>24</v>
      </c>
      <c r="G1008" s="6" t="s">
        <v>61</v>
      </c>
      <c r="H1008" s="6" t="s">
        <v>26</v>
      </c>
      <c r="I1008" s="6" t="s">
        <v>42</v>
      </c>
      <c r="J1008" s="6" t="s">
        <v>95</v>
      </c>
      <c r="K1008" s="6" t="s">
        <v>48</v>
      </c>
      <c r="L1008" s="6" t="s">
        <v>103</v>
      </c>
      <c r="M1008" s="6" t="s">
        <v>55</v>
      </c>
      <c r="N1008" s="6" t="s">
        <v>28</v>
      </c>
      <c r="O1008" s="6" t="s">
        <v>48</v>
      </c>
      <c r="P1008" s="6" t="s">
        <v>48</v>
      </c>
      <c r="Q1008" s="6" t="s">
        <v>48</v>
      </c>
      <c r="R1008" s="6" t="s">
        <v>95</v>
      </c>
      <c r="S1008" s="6" t="s">
        <v>54</v>
      </c>
      <c r="T1008" s="6" t="s">
        <v>48</v>
      </c>
      <c r="U1008" s="6" t="s">
        <v>28</v>
      </c>
      <c r="V1008" s="6" t="s">
        <v>146</v>
      </c>
      <c r="W1008" t="s">
        <v>785</v>
      </c>
    </row>
    <row r="1009" spans="1:23" x14ac:dyDescent="0.3">
      <c r="A1009" s="6" t="s">
        <v>437</v>
      </c>
      <c r="B1009" s="1">
        <v>45769</v>
      </c>
      <c r="C1009" s="6" t="s">
        <v>33</v>
      </c>
      <c r="D1009" s="6" t="s">
        <v>95</v>
      </c>
      <c r="E1009" s="6" t="s">
        <v>35</v>
      </c>
      <c r="F1009" s="6" t="s">
        <v>24</v>
      </c>
      <c r="G1009" s="6" t="s">
        <v>61</v>
      </c>
      <c r="H1009" s="6" t="s">
        <v>26</v>
      </c>
      <c r="I1009" s="6" t="s">
        <v>42</v>
      </c>
      <c r="J1009" s="6" t="s">
        <v>95</v>
      </c>
      <c r="K1009" s="6" t="s">
        <v>48</v>
      </c>
      <c r="L1009" s="6" t="s">
        <v>103</v>
      </c>
      <c r="M1009" s="6" t="s">
        <v>55</v>
      </c>
      <c r="N1009" s="6" t="s">
        <v>28</v>
      </c>
      <c r="O1009" s="6" t="s">
        <v>48</v>
      </c>
      <c r="P1009" s="6" t="s">
        <v>48</v>
      </c>
      <c r="Q1009" s="6" t="s">
        <v>48</v>
      </c>
      <c r="R1009" s="6" t="s">
        <v>95</v>
      </c>
      <c r="S1009" s="6" t="s">
        <v>54</v>
      </c>
      <c r="T1009" s="6" t="s">
        <v>48</v>
      </c>
      <c r="U1009" s="6" t="s">
        <v>28</v>
      </c>
      <c r="V1009" s="6" t="s">
        <v>82</v>
      </c>
      <c r="W1009" t="s">
        <v>785</v>
      </c>
    </row>
    <row r="1010" spans="1:23" x14ac:dyDescent="0.3">
      <c r="A1010" s="6" t="s">
        <v>438</v>
      </c>
      <c r="B1010" s="1">
        <v>45769</v>
      </c>
      <c r="C1010" s="6" t="s">
        <v>90</v>
      </c>
      <c r="D1010" s="6" t="s">
        <v>34</v>
      </c>
      <c r="E1010" s="6" t="s">
        <v>35</v>
      </c>
      <c r="F1010" s="6" t="s">
        <v>24</v>
      </c>
      <c r="G1010" s="6" t="s">
        <v>61</v>
      </c>
      <c r="H1010" s="6" t="s">
        <v>48</v>
      </c>
      <c r="I1010" s="6" t="s">
        <v>100</v>
      </c>
      <c r="J1010" s="6" t="s">
        <v>34</v>
      </c>
      <c r="K1010" s="6" t="s">
        <v>48</v>
      </c>
      <c r="L1010" s="6" t="s">
        <v>54</v>
      </c>
      <c r="M1010" s="6" t="s">
        <v>48</v>
      </c>
      <c r="N1010" s="6" t="s">
        <v>28</v>
      </c>
      <c r="O1010" s="6" t="s">
        <v>30</v>
      </c>
      <c r="P1010" s="6" t="s">
        <v>45</v>
      </c>
      <c r="Q1010" s="6" t="s">
        <v>31</v>
      </c>
      <c r="R1010" s="6" t="s">
        <v>34</v>
      </c>
      <c r="S1010" s="6" t="s">
        <v>54</v>
      </c>
      <c r="T1010" s="6" t="s">
        <v>29</v>
      </c>
      <c r="U1010" s="6" t="s">
        <v>28</v>
      </c>
      <c r="V1010" s="6" t="s">
        <v>82</v>
      </c>
      <c r="W1010" t="s">
        <v>785</v>
      </c>
    </row>
    <row r="1011" spans="1:23" x14ac:dyDescent="0.3">
      <c r="A1011" s="6" t="s">
        <v>439</v>
      </c>
      <c r="B1011" s="1">
        <v>45769</v>
      </c>
      <c r="C1011" s="6" t="s">
        <v>84</v>
      </c>
      <c r="D1011" s="6" t="s">
        <v>78</v>
      </c>
      <c r="E1011" s="6" t="s">
        <v>46</v>
      </c>
      <c r="F1011" s="6" t="s">
        <v>24</v>
      </c>
      <c r="G1011" s="6" t="s">
        <v>61</v>
      </c>
      <c r="H1011" s="6" t="s">
        <v>48</v>
      </c>
      <c r="I1011" s="6" t="s">
        <v>27</v>
      </c>
      <c r="J1011" s="6" t="s">
        <v>78</v>
      </c>
      <c r="K1011" s="6" t="s">
        <v>48</v>
      </c>
      <c r="L1011" s="6" t="s">
        <v>54</v>
      </c>
      <c r="M1011" s="6" t="s">
        <v>48</v>
      </c>
      <c r="N1011" s="6" t="s">
        <v>28</v>
      </c>
      <c r="O1011" s="6" t="s">
        <v>48</v>
      </c>
      <c r="P1011" s="6" t="s">
        <v>48</v>
      </c>
      <c r="Q1011" s="6" t="s">
        <v>48</v>
      </c>
      <c r="R1011" s="6" t="s">
        <v>78</v>
      </c>
      <c r="S1011" s="6" t="s">
        <v>54</v>
      </c>
      <c r="T1011" s="6" t="s">
        <v>48</v>
      </c>
      <c r="U1011" s="6" t="s">
        <v>28</v>
      </c>
      <c r="V1011" s="6" t="s">
        <v>82</v>
      </c>
      <c r="W1011" t="s">
        <v>785</v>
      </c>
    </row>
    <row r="1012" spans="1:23" x14ac:dyDescent="0.3">
      <c r="A1012" s="6" t="s">
        <v>441</v>
      </c>
      <c r="B1012" s="1">
        <v>45771</v>
      </c>
      <c r="C1012" s="6" t="s">
        <v>84</v>
      </c>
      <c r="D1012" s="6" t="s">
        <v>48</v>
      </c>
      <c r="E1012" s="6" t="s">
        <v>68</v>
      </c>
      <c r="F1012" s="6" t="s">
        <v>24</v>
      </c>
      <c r="G1012" s="6" t="s">
        <v>97</v>
      </c>
      <c r="H1012" s="6" t="s">
        <v>48</v>
      </c>
      <c r="I1012" s="6" t="s">
        <v>27</v>
      </c>
      <c r="J1012" s="6" t="s">
        <v>49</v>
      </c>
      <c r="K1012" s="6" t="s">
        <v>48</v>
      </c>
      <c r="L1012" s="6" t="s">
        <v>54</v>
      </c>
      <c r="M1012" s="6" t="s">
        <v>48</v>
      </c>
      <c r="N1012" s="6" t="s">
        <v>28</v>
      </c>
      <c r="O1012" s="6" t="s">
        <v>48</v>
      </c>
      <c r="P1012" s="6" t="s">
        <v>48</v>
      </c>
      <c r="Q1012" s="6" t="s">
        <v>48</v>
      </c>
      <c r="R1012" s="6" t="s">
        <v>49</v>
      </c>
      <c r="S1012" s="6" t="s">
        <v>54</v>
      </c>
      <c r="T1012" s="6" t="s">
        <v>48</v>
      </c>
      <c r="U1012" s="6" t="s">
        <v>28</v>
      </c>
      <c r="V1012" s="6" t="s">
        <v>82</v>
      </c>
      <c r="W1012" t="s">
        <v>785</v>
      </c>
    </row>
    <row r="1013" spans="1:23" x14ac:dyDescent="0.3">
      <c r="A1013" s="6" t="s">
        <v>442</v>
      </c>
      <c r="B1013" s="1">
        <v>45771</v>
      </c>
      <c r="C1013" s="6" t="s">
        <v>84</v>
      </c>
      <c r="D1013" s="6" t="s">
        <v>48</v>
      </c>
      <c r="E1013" s="6" t="s">
        <v>68</v>
      </c>
      <c r="F1013" s="6" t="s">
        <v>24</v>
      </c>
      <c r="G1013" s="6" t="s">
        <v>97</v>
      </c>
      <c r="H1013" s="6" t="s">
        <v>48</v>
      </c>
      <c r="I1013" s="6" t="s">
        <v>27</v>
      </c>
      <c r="J1013" s="6" t="s">
        <v>49</v>
      </c>
      <c r="K1013" s="6" t="s">
        <v>48</v>
      </c>
      <c r="L1013" s="6" t="s">
        <v>54</v>
      </c>
      <c r="M1013" s="6" t="s">
        <v>48</v>
      </c>
      <c r="N1013" s="6" t="s">
        <v>28</v>
      </c>
      <c r="O1013" s="6" t="s">
        <v>48</v>
      </c>
      <c r="P1013" s="6" t="s">
        <v>48</v>
      </c>
      <c r="Q1013" s="6" t="s">
        <v>48</v>
      </c>
      <c r="R1013" s="6" t="s">
        <v>81</v>
      </c>
      <c r="S1013" s="6" t="s">
        <v>54</v>
      </c>
      <c r="T1013" s="6" t="s">
        <v>48</v>
      </c>
      <c r="U1013" s="6" t="s">
        <v>87</v>
      </c>
      <c r="V1013" s="6" t="s">
        <v>82</v>
      </c>
      <c r="W1013" t="s">
        <v>785</v>
      </c>
    </row>
    <row r="1014" spans="1:23" x14ac:dyDescent="0.3">
      <c r="A1014" s="6" t="s">
        <v>443</v>
      </c>
      <c r="B1014" s="1">
        <v>45771</v>
      </c>
      <c r="C1014" s="6" t="s">
        <v>39</v>
      </c>
      <c r="D1014" s="6" t="s">
        <v>70</v>
      </c>
      <c r="E1014" s="6" t="s">
        <v>68</v>
      </c>
      <c r="F1014" s="6" t="s">
        <v>24</v>
      </c>
      <c r="G1014" s="6" t="s">
        <v>132</v>
      </c>
      <c r="H1014" s="6" t="s">
        <v>26</v>
      </c>
      <c r="I1014" s="6" t="s">
        <v>38</v>
      </c>
      <c r="J1014" s="6" t="s">
        <v>70</v>
      </c>
      <c r="K1014" s="6" t="s">
        <v>133</v>
      </c>
      <c r="L1014" s="6" t="s">
        <v>54</v>
      </c>
      <c r="M1014" s="6" t="s">
        <v>32</v>
      </c>
      <c r="N1014" s="6" t="s">
        <v>28</v>
      </c>
      <c r="O1014" s="6" t="s">
        <v>30</v>
      </c>
      <c r="P1014" s="6" t="s">
        <v>45</v>
      </c>
      <c r="Q1014" s="6" t="s">
        <v>31</v>
      </c>
      <c r="R1014" s="6" t="s">
        <v>70</v>
      </c>
      <c r="S1014" s="6" t="s">
        <v>54</v>
      </c>
      <c r="T1014" s="6" t="s">
        <v>32</v>
      </c>
      <c r="U1014" s="6" t="s">
        <v>28</v>
      </c>
      <c r="V1014" s="6" t="s">
        <v>82</v>
      </c>
      <c r="W1014" t="s">
        <v>785</v>
      </c>
    </row>
    <row r="1015" spans="1:23" x14ac:dyDescent="0.3">
      <c r="A1015" s="6" t="s">
        <v>444</v>
      </c>
      <c r="B1015" s="1">
        <v>45771</v>
      </c>
      <c r="C1015" s="6" t="s">
        <v>39</v>
      </c>
      <c r="D1015" s="6" t="s">
        <v>60</v>
      </c>
      <c r="E1015" s="6" t="s">
        <v>68</v>
      </c>
      <c r="F1015" s="6" t="s">
        <v>24</v>
      </c>
      <c r="G1015" s="6" t="s">
        <v>61</v>
      </c>
      <c r="H1015" s="6" t="s">
        <v>26</v>
      </c>
      <c r="I1015" s="6" t="s">
        <v>27</v>
      </c>
      <c r="J1015" s="6" t="s">
        <v>60</v>
      </c>
      <c r="K1015" s="6" t="s">
        <v>102</v>
      </c>
      <c r="L1015" s="6" t="s">
        <v>152</v>
      </c>
      <c r="M1015" s="6" t="s">
        <v>29</v>
      </c>
      <c r="N1015" s="6" t="s">
        <v>28</v>
      </c>
      <c r="O1015" s="6" t="s">
        <v>30</v>
      </c>
      <c r="P1015" s="6" t="s">
        <v>788</v>
      </c>
      <c r="Q1015" s="6" t="s">
        <v>31</v>
      </c>
      <c r="R1015" s="6" t="s">
        <v>60</v>
      </c>
      <c r="S1015" s="6" t="s">
        <v>54</v>
      </c>
      <c r="T1015" s="6" t="s">
        <v>32</v>
      </c>
      <c r="U1015" s="6" t="s">
        <v>28</v>
      </c>
      <c r="V1015" s="6" t="s">
        <v>82</v>
      </c>
      <c r="W1015" t="s">
        <v>785</v>
      </c>
    </row>
    <row r="1016" spans="1:23" x14ac:dyDescent="0.3">
      <c r="A1016" s="6" t="s">
        <v>444</v>
      </c>
      <c r="B1016" s="1">
        <v>45771</v>
      </c>
      <c r="C1016" s="6" t="s">
        <v>39</v>
      </c>
      <c r="D1016" s="6" t="s">
        <v>60</v>
      </c>
      <c r="E1016" s="6" t="s">
        <v>68</v>
      </c>
      <c r="F1016" s="6" t="s">
        <v>24</v>
      </c>
      <c r="G1016" s="6" t="s">
        <v>61</v>
      </c>
      <c r="H1016" s="6" t="s">
        <v>26</v>
      </c>
      <c r="I1016" s="6" t="s">
        <v>27</v>
      </c>
      <c r="J1016" s="6" t="s">
        <v>60</v>
      </c>
      <c r="K1016" s="6" t="s">
        <v>102</v>
      </c>
      <c r="L1016" s="6" t="s">
        <v>152</v>
      </c>
      <c r="M1016" s="6" t="s">
        <v>29</v>
      </c>
      <c r="N1016" s="6" t="s">
        <v>28</v>
      </c>
      <c r="O1016" s="6" t="s">
        <v>30</v>
      </c>
      <c r="P1016" s="6" t="s">
        <v>788</v>
      </c>
      <c r="Q1016" s="6" t="s">
        <v>31</v>
      </c>
      <c r="R1016" s="6" t="s">
        <v>60</v>
      </c>
      <c r="S1016" s="6" t="s">
        <v>54</v>
      </c>
      <c r="T1016" s="6" t="s">
        <v>32</v>
      </c>
      <c r="U1016" s="6" t="s">
        <v>28</v>
      </c>
      <c r="V1016" s="6" t="s">
        <v>146</v>
      </c>
      <c r="W1016" t="s">
        <v>785</v>
      </c>
    </row>
    <row r="1017" spans="1:23" x14ac:dyDescent="0.3">
      <c r="A1017" s="6" t="s">
        <v>445</v>
      </c>
      <c r="B1017" s="1">
        <v>45771</v>
      </c>
      <c r="C1017" s="6" t="s">
        <v>33</v>
      </c>
      <c r="D1017" s="6" t="s">
        <v>48</v>
      </c>
      <c r="E1017" s="6" t="s">
        <v>64</v>
      </c>
      <c r="F1017" s="6" t="s">
        <v>24</v>
      </c>
      <c r="G1017" s="6" t="s">
        <v>69</v>
      </c>
      <c r="H1017" s="6" t="s">
        <v>26</v>
      </c>
      <c r="I1017" s="6" t="s">
        <v>52</v>
      </c>
      <c r="J1017" s="6" t="s">
        <v>49</v>
      </c>
      <c r="K1017" s="6" t="s">
        <v>53</v>
      </c>
      <c r="L1017" s="6" t="s">
        <v>704</v>
      </c>
      <c r="M1017" s="6" t="s">
        <v>48</v>
      </c>
      <c r="N1017" s="6" t="s">
        <v>28</v>
      </c>
      <c r="O1017" s="6" t="s">
        <v>30</v>
      </c>
      <c r="P1017" s="6" t="s">
        <v>788</v>
      </c>
      <c r="Q1017" s="6" t="s">
        <v>48</v>
      </c>
      <c r="R1017" s="6" t="s">
        <v>95</v>
      </c>
      <c r="S1017" s="6" t="s">
        <v>128</v>
      </c>
      <c r="T1017" s="6" t="s">
        <v>29</v>
      </c>
      <c r="U1017" s="6" t="s">
        <v>28</v>
      </c>
      <c r="V1017" s="6" t="s">
        <v>82</v>
      </c>
      <c r="W1017" t="s">
        <v>785</v>
      </c>
    </row>
    <row r="1018" spans="1:23" x14ac:dyDescent="0.3">
      <c r="A1018" s="6" t="s">
        <v>446</v>
      </c>
      <c r="B1018" s="1">
        <v>45772</v>
      </c>
      <c r="C1018" s="6" t="s">
        <v>90</v>
      </c>
      <c r="D1018" s="6" t="s">
        <v>43</v>
      </c>
      <c r="E1018" s="6" t="s">
        <v>44</v>
      </c>
      <c r="F1018" s="6" t="s">
        <v>24</v>
      </c>
      <c r="G1018" s="6" t="s">
        <v>98</v>
      </c>
      <c r="H1018" s="6" t="s">
        <v>26</v>
      </c>
      <c r="I1018" s="6" t="s">
        <v>52</v>
      </c>
      <c r="J1018" s="6" t="s">
        <v>43</v>
      </c>
      <c r="K1018" s="6" t="s">
        <v>48</v>
      </c>
      <c r="L1018" s="6" t="s">
        <v>54</v>
      </c>
      <c r="M1018" s="6" t="s">
        <v>32</v>
      </c>
      <c r="N1018" s="6" t="s">
        <v>28</v>
      </c>
      <c r="O1018" s="6" t="s">
        <v>48</v>
      </c>
      <c r="P1018" s="6" t="s">
        <v>48</v>
      </c>
      <c r="Q1018" s="6" t="s">
        <v>48</v>
      </c>
      <c r="R1018" s="6" t="s">
        <v>43</v>
      </c>
      <c r="S1018" s="6" t="s">
        <v>54</v>
      </c>
      <c r="T1018" s="6" t="s">
        <v>48</v>
      </c>
      <c r="U1018" s="6" t="s">
        <v>118</v>
      </c>
      <c r="V1018" s="6" t="s">
        <v>82</v>
      </c>
      <c r="W1018" t="s">
        <v>785</v>
      </c>
    </row>
    <row r="1019" spans="1:23" x14ac:dyDescent="0.3">
      <c r="A1019" s="6" t="s">
        <v>447</v>
      </c>
      <c r="B1019" s="1">
        <v>45772</v>
      </c>
      <c r="C1019" s="6" t="s">
        <v>343</v>
      </c>
      <c r="D1019" s="6" t="s">
        <v>34</v>
      </c>
      <c r="E1019" s="6" t="s">
        <v>35</v>
      </c>
      <c r="F1019" s="6" t="s">
        <v>24</v>
      </c>
      <c r="G1019" s="6" t="s">
        <v>61</v>
      </c>
      <c r="H1019" s="6" t="s">
        <v>48</v>
      </c>
      <c r="I1019" s="6" t="s">
        <v>38</v>
      </c>
      <c r="J1019" s="6" t="s">
        <v>34</v>
      </c>
      <c r="K1019" s="6" t="s">
        <v>48</v>
      </c>
      <c r="L1019" s="6" t="s">
        <v>54</v>
      </c>
      <c r="M1019" s="6" t="s">
        <v>48</v>
      </c>
      <c r="N1019" s="6" t="s">
        <v>28</v>
      </c>
      <c r="O1019" s="6" t="s">
        <v>26</v>
      </c>
      <c r="P1019" s="6" t="s">
        <v>27</v>
      </c>
      <c r="Q1019" s="6" t="s">
        <v>31</v>
      </c>
      <c r="R1019" s="6" t="s">
        <v>34</v>
      </c>
      <c r="S1019" s="6" t="s">
        <v>54</v>
      </c>
      <c r="T1019" s="6" t="s">
        <v>29</v>
      </c>
      <c r="U1019" s="6" t="s">
        <v>28</v>
      </c>
      <c r="V1019" s="6" t="s">
        <v>137</v>
      </c>
      <c r="W1019" t="s">
        <v>785</v>
      </c>
    </row>
    <row r="1020" spans="1:23" x14ac:dyDescent="0.3">
      <c r="A1020" s="6" t="s">
        <v>448</v>
      </c>
      <c r="B1020" s="1">
        <v>45772</v>
      </c>
      <c r="C1020" s="6" t="s">
        <v>343</v>
      </c>
      <c r="D1020" s="6" t="s">
        <v>34</v>
      </c>
      <c r="E1020" s="6" t="s">
        <v>35</v>
      </c>
      <c r="F1020" s="6" t="s">
        <v>24</v>
      </c>
      <c r="G1020" s="6" t="s">
        <v>61</v>
      </c>
      <c r="H1020" s="6" t="s">
        <v>48</v>
      </c>
      <c r="I1020" s="6" t="s">
        <v>38</v>
      </c>
      <c r="J1020" s="6" t="s">
        <v>34</v>
      </c>
      <c r="K1020" s="6" t="s">
        <v>48</v>
      </c>
      <c r="L1020" s="6" t="s">
        <v>54</v>
      </c>
      <c r="M1020" s="6" t="s">
        <v>48</v>
      </c>
      <c r="N1020" s="6" t="s">
        <v>28</v>
      </c>
      <c r="O1020" s="6" t="s">
        <v>48</v>
      </c>
      <c r="P1020" s="6" t="s">
        <v>48</v>
      </c>
      <c r="Q1020" s="6" t="s">
        <v>48</v>
      </c>
      <c r="R1020" s="6" t="s">
        <v>34</v>
      </c>
      <c r="S1020" s="6" t="s">
        <v>54</v>
      </c>
      <c r="T1020" s="6" t="s">
        <v>48</v>
      </c>
      <c r="U1020" s="6" t="s">
        <v>77</v>
      </c>
      <c r="V1020" s="6" t="s">
        <v>137</v>
      </c>
      <c r="W1020" t="s">
        <v>785</v>
      </c>
    </row>
    <row r="1021" spans="1:23" x14ac:dyDescent="0.3">
      <c r="A1021" s="6" t="s">
        <v>449</v>
      </c>
      <c r="B1021" s="1">
        <v>45772</v>
      </c>
      <c r="C1021" s="6" t="s">
        <v>343</v>
      </c>
      <c r="D1021" s="6" t="s">
        <v>34</v>
      </c>
      <c r="E1021" s="6" t="s">
        <v>35</v>
      </c>
      <c r="F1021" s="6" t="s">
        <v>24</v>
      </c>
      <c r="G1021" s="6" t="s">
        <v>61</v>
      </c>
      <c r="H1021" s="6" t="s">
        <v>48</v>
      </c>
      <c r="I1021" s="6" t="s">
        <v>38</v>
      </c>
      <c r="J1021" s="6" t="s">
        <v>34</v>
      </c>
      <c r="K1021" s="6" t="s">
        <v>48</v>
      </c>
      <c r="L1021" s="6" t="s">
        <v>54</v>
      </c>
      <c r="M1021" s="6" t="s">
        <v>48</v>
      </c>
      <c r="N1021" s="6" t="s">
        <v>28</v>
      </c>
      <c r="O1021" s="6" t="s">
        <v>30</v>
      </c>
      <c r="P1021" s="6" t="s">
        <v>45</v>
      </c>
      <c r="Q1021" s="6" t="s">
        <v>31</v>
      </c>
      <c r="R1021" s="6" t="s">
        <v>34</v>
      </c>
      <c r="S1021" s="6" t="s">
        <v>54</v>
      </c>
      <c r="T1021" s="6" t="s">
        <v>32</v>
      </c>
      <c r="U1021" s="6" t="s">
        <v>28</v>
      </c>
      <c r="V1021" s="6" t="s">
        <v>137</v>
      </c>
      <c r="W1021" t="s">
        <v>785</v>
      </c>
    </row>
    <row r="1022" spans="1:23" x14ac:dyDescent="0.3">
      <c r="A1022" s="6" t="s">
        <v>450</v>
      </c>
      <c r="B1022" s="1">
        <v>45772</v>
      </c>
      <c r="C1022" s="6" t="s">
        <v>57</v>
      </c>
      <c r="D1022" s="6" t="s">
        <v>43</v>
      </c>
      <c r="E1022" s="6" t="s">
        <v>23</v>
      </c>
      <c r="F1022" s="6" t="s">
        <v>24</v>
      </c>
      <c r="G1022" s="6" t="s">
        <v>86</v>
      </c>
      <c r="H1022" s="6" t="s">
        <v>48</v>
      </c>
      <c r="I1022" s="6" t="s">
        <v>27</v>
      </c>
      <c r="J1022" s="6" t="s">
        <v>43</v>
      </c>
      <c r="K1022" s="6" t="s">
        <v>48</v>
      </c>
      <c r="L1022" s="6" t="s">
        <v>54</v>
      </c>
      <c r="M1022" s="6" t="s">
        <v>48</v>
      </c>
      <c r="N1022" s="6" t="s">
        <v>28</v>
      </c>
      <c r="O1022" s="6" t="s">
        <v>48</v>
      </c>
      <c r="P1022" s="6" t="s">
        <v>48</v>
      </c>
      <c r="Q1022" s="6" t="s">
        <v>48</v>
      </c>
      <c r="R1022" s="6" t="s">
        <v>43</v>
      </c>
      <c r="S1022" s="6" t="s">
        <v>54</v>
      </c>
      <c r="T1022" s="6" t="s">
        <v>48</v>
      </c>
      <c r="U1022" s="6" t="s">
        <v>77</v>
      </c>
      <c r="V1022" s="6" t="s">
        <v>146</v>
      </c>
      <c r="W1022" t="s">
        <v>785</v>
      </c>
    </row>
    <row r="1023" spans="1:23" x14ac:dyDescent="0.3">
      <c r="A1023" s="6" t="s">
        <v>450</v>
      </c>
      <c r="B1023" s="1">
        <v>45772</v>
      </c>
      <c r="C1023" s="6" t="s">
        <v>57</v>
      </c>
      <c r="D1023" s="6" t="s">
        <v>43</v>
      </c>
      <c r="E1023" s="6" t="s">
        <v>23</v>
      </c>
      <c r="F1023" s="6" t="s">
        <v>24</v>
      </c>
      <c r="G1023" s="6" t="s">
        <v>86</v>
      </c>
      <c r="H1023" s="6" t="s">
        <v>48</v>
      </c>
      <c r="I1023" s="6" t="s">
        <v>27</v>
      </c>
      <c r="J1023" s="6" t="s">
        <v>43</v>
      </c>
      <c r="K1023" s="6" t="s">
        <v>48</v>
      </c>
      <c r="L1023" s="6" t="s">
        <v>54</v>
      </c>
      <c r="M1023" s="6" t="s">
        <v>48</v>
      </c>
      <c r="N1023" s="6" t="s">
        <v>28</v>
      </c>
      <c r="O1023" s="6" t="s">
        <v>48</v>
      </c>
      <c r="P1023" s="6" t="s">
        <v>48</v>
      </c>
      <c r="Q1023" s="6" t="s">
        <v>48</v>
      </c>
      <c r="R1023" s="6" t="s">
        <v>43</v>
      </c>
      <c r="S1023" s="6" t="s">
        <v>54</v>
      </c>
      <c r="T1023" s="6" t="s">
        <v>48</v>
      </c>
      <c r="U1023" s="6" t="s">
        <v>77</v>
      </c>
      <c r="V1023" s="6" t="s">
        <v>82</v>
      </c>
      <c r="W1023" t="s">
        <v>785</v>
      </c>
    </row>
    <row r="1024" spans="1:23" x14ac:dyDescent="0.3">
      <c r="A1024" s="6" t="s">
        <v>450</v>
      </c>
      <c r="B1024" s="1">
        <v>45772</v>
      </c>
      <c r="C1024" s="6" t="s">
        <v>57</v>
      </c>
      <c r="D1024" s="6" t="s">
        <v>43</v>
      </c>
      <c r="E1024" s="6" t="s">
        <v>23</v>
      </c>
      <c r="F1024" s="6" t="s">
        <v>24</v>
      </c>
      <c r="G1024" s="6" t="s">
        <v>86</v>
      </c>
      <c r="H1024" s="6" t="s">
        <v>48</v>
      </c>
      <c r="I1024" s="6" t="s">
        <v>27</v>
      </c>
      <c r="J1024" s="6" t="s">
        <v>43</v>
      </c>
      <c r="K1024" s="6" t="s">
        <v>48</v>
      </c>
      <c r="L1024" s="6" t="s">
        <v>54</v>
      </c>
      <c r="M1024" s="6" t="s">
        <v>48</v>
      </c>
      <c r="N1024" s="6" t="s">
        <v>28</v>
      </c>
      <c r="O1024" s="6" t="s">
        <v>48</v>
      </c>
      <c r="P1024" s="6" t="s">
        <v>48</v>
      </c>
      <c r="Q1024" s="6" t="s">
        <v>48</v>
      </c>
      <c r="R1024" s="6" t="s">
        <v>43</v>
      </c>
      <c r="S1024" s="6" t="s">
        <v>54</v>
      </c>
      <c r="T1024" s="6" t="s">
        <v>48</v>
      </c>
      <c r="U1024" s="6" t="s">
        <v>77</v>
      </c>
      <c r="V1024" s="6" t="s">
        <v>137</v>
      </c>
      <c r="W1024" t="s">
        <v>785</v>
      </c>
    </row>
    <row r="1025" spans="1:23" x14ac:dyDescent="0.3">
      <c r="A1025" s="6" t="s">
        <v>451</v>
      </c>
      <c r="B1025" s="1">
        <v>45772</v>
      </c>
      <c r="C1025" s="6" t="s">
        <v>21</v>
      </c>
      <c r="D1025" s="6" t="s">
        <v>22</v>
      </c>
      <c r="E1025" s="6" t="s">
        <v>46</v>
      </c>
      <c r="F1025" s="6" t="s">
        <v>24</v>
      </c>
      <c r="G1025" s="6" t="s">
        <v>111</v>
      </c>
      <c r="H1025" s="6" t="s">
        <v>26</v>
      </c>
      <c r="I1025" s="6" t="s">
        <v>38</v>
      </c>
      <c r="J1025" s="6" t="s">
        <v>22</v>
      </c>
      <c r="K1025" s="6" t="s">
        <v>48</v>
      </c>
      <c r="L1025" s="6" t="s">
        <v>54</v>
      </c>
      <c r="M1025" s="6" t="s">
        <v>29</v>
      </c>
      <c r="N1025" s="6" t="s">
        <v>28</v>
      </c>
      <c r="O1025" s="6" t="s">
        <v>26</v>
      </c>
      <c r="P1025" s="6" t="s">
        <v>788</v>
      </c>
      <c r="Q1025" s="6" t="s">
        <v>31</v>
      </c>
      <c r="R1025" s="6" t="s">
        <v>22</v>
      </c>
      <c r="S1025" s="6" t="s">
        <v>54</v>
      </c>
      <c r="T1025" s="6" t="s">
        <v>29</v>
      </c>
      <c r="U1025" s="6" t="s">
        <v>28</v>
      </c>
      <c r="V1025" s="6" t="s">
        <v>82</v>
      </c>
      <c r="W1025" t="s">
        <v>785</v>
      </c>
    </row>
    <row r="1026" spans="1:23" x14ac:dyDescent="0.3">
      <c r="A1026" s="6" t="s">
        <v>451</v>
      </c>
      <c r="B1026" s="1">
        <v>45772</v>
      </c>
      <c r="C1026" s="6" t="s">
        <v>21</v>
      </c>
      <c r="D1026" s="6" t="s">
        <v>22</v>
      </c>
      <c r="E1026" s="6" t="s">
        <v>46</v>
      </c>
      <c r="F1026" s="6" t="s">
        <v>24</v>
      </c>
      <c r="G1026" s="6" t="s">
        <v>111</v>
      </c>
      <c r="H1026" s="6" t="s">
        <v>26</v>
      </c>
      <c r="I1026" s="6" t="s">
        <v>38</v>
      </c>
      <c r="J1026" s="6" t="s">
        <v>22</v>
      </c>
      <c r="K1026" s="6" t="s">
        <v>48</v>
      </c>
      <c r="L1026" s="6" t="s">
        <v>54</v>
      </c>
      <c r="M1026" s="6" t="s">
        <v>29</v>
      </c>
      <c r="N1026" s="6" t="s">
        <v>28</v>
      </c>
      <c r="O1026" s="6" t="s">
        <v>26</v>
      </c>
      <c r="P1026" s="6" t="s">
        <v>788</v>
      </c>
      <c r="Q1026" s="6" t="s">
        <v>31</v>
      </c>
      <c r="R1026" s="6" t="s">
        <v>22</v>
      </c>
      <c r="S1026" s="6" t="s">
        <v>54</v>
      </c>
      <c r="T1026" s="6" t="s">
        <v>29</v>
      </c>
      <c r="U1026" s="6" t="s">
        <v>28</v>
      </c>
      <c r="V1026" s="6" t="s">
        <v>146</v>
      </c>
      <c r="W1026" t="s">
        <v>785</v>
      </c>
    </row>
    <row r="1027" spans="1:23" x14ac:dyDescent="0.3">
      <c r="A1027" s="6" t="s">
        <v>452</v>
      </c>
      <c r="B1027" s="1">
        <v>45773</v>
      </c>
      <c r="C1027" s="6" t="s">
        <v>343</v>
      </c>
      <c r="D1027" s="6" t="s">
        <v>95</v>
      </c>
      <c r="E1027" s="6" t="s">
        <v>64</v>
      </c>
      <c r="F1027" s="6" t="s">
        <v>24</v>
      </c>
      <c r="G1027" s="6" t="s">
        <v>69</v>
      </c>
      <c r="H1027" s="6" t="s">
        <v>48</v>
      </c>
      <c r="I1027" s="6" t="s">
        <v>27</v>
      </c>
      <c r="J1027" s="6" t="s">
        <v>95</v>
      </c>
      <c r="K1027" s="6" t="s">
        <v>48</v>
      </c>
      <c r="L1027" s="6" t="s">
        <v>152</v>
      </c>
      <c r="M1027" s="6" t="s">
        <v>48</v>
      </c>
      <c r="N1027" s="6" t="s">
        <v>28</v>
      </c>
      <c r="O1027" s="6" t="s">
        <v>26</v>
      </c>
      <c r="P1027" s="6" t="s">
        <v>48</v>
      </c>
      <c r="Q1027" s="6" t="s">
        <v>31</v>
      </c>
      <c r="R1027" s="6" t="s">
        <v>95</v>
      </c>
      <c r="S1027" s="6" t="s">
        <v>54</v>
      </c>
      <c r="T1027" s="6" t="s">
        <v>32</v>
      </c>
      <c r="U1027" s="6" t="s">
        <v>28</v>
      </c>
      <c r="V1027" s="6" t="s">
        <v>82</v>
      </c>
      <c r="W1027" t="s">
        <v>785</v>
      </c>
    </row>
    <row r="1028" spans="1:23" x14ac:dyDescent="0.3">
      <c r="A1028" s="6" t="s">
        <v>452</v>
      </c>
      <c r="B1028" s="1">
        <v>45773</v>
      </c>
      <c r="C1028" s="6" t="s">
        <v>343</v>
      </c>
      <c r="D1028" s="6" t="s">
        <v>95</v>
      </c>
      <c r="E1028" s="6" t="s">
        <v>64</v>
      </c>
      <c r="F1028" s="6" t="s">
        <v>24</v>
      </c>
      <c r="G1028" s="6" t="s">
        <v>69</v>
      </c>
      <c r="H1028" s="6" t="s">
        <v>48</v>
      </c>
      <c r="I1028" s="6" t="s">
        <v>27</v>
      </c>
      <c r="J1028" s="6" t="s">
        <v>95</v>
      </c>
      <c r="K1028" s="6" t="s">
        <v>48</v>
      </c>
      <c r="L1028" s="6" t="s">
        <v>152</v>
      </c>
      <c r="M1028" s="6" t="s">
        <v>48</v>
      </c>
      <c r="N1028" s="6" t="s">
        <v>28</v>
      </c>
      <c r="O1028" s="6" t="s">
        <v>26</v>
      </c>
      <c r="P1028" s="6" t="s">
        <v>48</v>
      </c>
      <c r="Q1028" s="6" t="s">
        <v>31</v>
      </c>
      <c r="R1028" s="6" t="s">
        <v>95</v>
      </c>
      <c r="S1028" s="6" t="s">
        <v>54</v>
      </c>
      <c r="T1028" s="6" t="s">
        <v>32</v>
      </c>
      <c r="U1028" s="6" t="s">
        <v>28</v>
      </c>
      <c r="V1028" s="6" t="s">
        <v>146</v>
      </c>
      <c r="W1028" t="s">
        <v>785</v>
      </c>
    </row>
    <row r="1029" spans="1:23" x14ac:dyDescent="0.3">
      <c r="A1029" s="6" t="s">
        <v>452</v>
      </c>
      <c r="B1029" s="1">
        <v>45773</v>
      </c>
      <c r="C1029" s="6" t="s">
        <v>343</v>
      </c>
      <c r="D1029" s="6" t="s">
        <v>95</v>
      </c>
      <c r="E1029" s="6" t="s">
        <v>64</v>
      </c>
      <c r="F1029" s="6" t="s">
        <v>24</v>
      </c>
      <c r="G1029" s="6" t="s">
        <v>69</v>
      </c>
      <c r="H1029" s="6" t="s">
        <v>48</v>
      </c>
      <c r="I1029" s="6" t="s">
        <v>27</v>
      </c>
      <c r="J1029" s="6" t="s">
        <v>95</v>
      </c>
      <c r="K1029" s="6" t="s">
        <v>48</v>
      </c>
      <c r="L1029" s="6" t="s">
        <v>152</v>
      </c>
      <c r="M1029" s="6" t="s">
        <v>48</v>
      </c>
      <c r="N1029" s="6" t="s">
        <v>28</v>
      </c>
      <c r="O1029" s="6" t="s">
        <v>26</v>
      </c>
      <c r="P1029" s="6" t="s">
        <v>48</v>
      </c>
      <c r="Q1029" s="6" t="s">
        <v>31</v>
      </c>
      <c r="R1029" s="6" t="s">
        <v>95</v>
      </c>
      <c r="S1029" s="6" t="s">
        <v>54</v>
      </c>
      <c r="T1029" s="6" t="s">
        <v>32</v>
      </c>
      <c r="U1029" s="6" t="s">
        <v>28</v>
      </c>
      <c r="V1029" s="6" t="s">
        <v>137</v>
      </c>
      <c r="W1029" t="s">
        <v>785</v>
      </c>
    </row>
    <row r="1030" spans="1:23" x14ac:dyDescent="0.3">
      <c r="A1030" s="6" t="s">
        <v>453</v>
      </c>
      <c r="B1030" s="1">
        <v>45773</v>
      </c>
      <c r="C1030" s="6" t="s">
        <v>33</v>
      </c>
      <c r="D1030" s="6" t="s">
        <v>95</v>
      </c>
      <c r="E1030" s="6" t="s">
        <v>23</v>
      </c>
      <c r="F1030" s="6" t="s">
        <v>24</v>
      </c>
      <c r="G1030" s="6" t="s">
        <v>69</v>
      </c>
      <c r="H1030" s="6" t="s">
        <v>48</v>
      </c>
      <c r="I1030" s="6" t="s">
        <v>58</v>
      </c>
      <c r="J1030" s="6" t="s">
        <v>95</v>
      </c>
      <c r="K1030" s="6" t="s">
        <v>48</v>
      </c>
      <c r="L1030" s="6" t="s">
        <v>705</v>
      </c>
      <c r="M1030" s="6" t="s">
        <v>48</v>
      </c>
      <c r="N1030" s="6" t="s">
        <v>28</v>
      </c>
      <c r="O1030" s="6" t="s">
        <v>26</v>
      </c>
      <c r="P1030" s="6" t="s">
        <v>37</v>
      </c>
      <c r="Q1030" s="6" t="s">
        <v>31</v>
      </c>
      <c r="R1030" s="6" t="s">
        <v>95</v>
      </c>
      <c r="S1030" s="6" t="s">
        <v>54</v>
      </c>
      <c r="T1030" s="6" t="s">
        <v>29</v>
      </c>
      <c r="U1030" s="6" t="s">
        <v>28</v>
      </c>
      <c r="V1030" s="6" t="s">
        <v>137</v>
      </c>
      <c r="W1030" t="s">
        <v>785</v>
      </c>
    </row>
    <row r="1031" spans="1:23" x14ac:dyDescent="0.3">
      <c r="A1031" s="6" t="s">
        <v>453</v>
      </c>
      <c r="B1031" s="1">
        <v>45773</v>
      </c>
      <c r="C1031" s="6" t="s">
        <v>33</v>
      </c>
      <c r="D1031" s="6" t="s">
        <v>95</v>
      </c>
      <c r="E1031" s="6" t="s">
        <v>23</v>
      </c>
      <c r="F1031" s="6" t="s">
        <v>24</v>
      </c>
      <c r="G1031" s="6" t="s">
        <v>69</v>
      </c>
      <c r="H1031" s="6" t="s">
        <v>48</v>
      </c>
      <c r="I1031" s="6" t="s">
        <v>58</v>
      </c>
      <c r="J1031" s="6" t="s">
        <v>95</v>
      </c>
      <c r="K1031" s="6" t="s">
        <v>48</v>
      </c>
      <c r="L1031" s="6" t="s">
        <v>705</v>
      </c>
      <c r="M1031" s="6" t="s">
        <v>48</v>
      </c>
      <c r="N1031" s="6" t="s">
        <v>28</v>
      </c>
      <c r="O1031" s="6" t="s">
        <v>26</v>
      </c>
      <c r="P1031" s="6" t="s">
        <v>37</v>
      </c>
      <c r="Q1031" s="6" t="s">
        <v>31</v>
      </c>
      <c r="R1031" s="6" t="s">
        <v>95</v>
      </c>
      <c r="S1031" s="6" t="s">
        <v>54</v>
      </c>
      <c r="T1031" s="6" t="s">
        <v>29</v>
      </c>
      <c r="U1031" s="6" t="s">
        <v>28</v>
      </c>
      <c r="V1031" s="6" t="s">
        <v>82</v>
      </c>
      <c r="W1031" t="s">
        <v>785</v>
      </c>
    </row>
    <row r="1032" spans="1:23" x14ac:dyDescent="0.3">
      <c r="A1032" s="6" t="s">
        <v>453</v>
      </c>
      <c r="B1032" s="1">
        <v>45773</v>
      </c>
      <c r="C1032" s="6" t="s">
        <v>33</v>
      </c>
      <c r="D1032" s="6" t="s">
        <v>95</v>
      </c>
      <c r="E1032" s="6" t="s">
        <v>23</v>
      </c>
      <c r="F1032" s="6" t="s">
        <v>24</v>
      </c>
      <c r="G1032" s="6" t="s">
        <v>69</v>
      </c>
      <c r="H1032" s="6" t="s">
        <v>48</v>
      </c>
      <c r="I1032" s="6" t="s">
        <v>58</v>
      </c>
      <c r="J1032" s="6" t="s">
        <v>95</v>
      </c>
      <c r="K1032" s="6" t="s">
        <v>48</v>
      </c>
      <c r="L1032" s="6" t="s">
        <v>705</v>
      </c>
      <c r="M1032" s="6" t="s">
        <v>48</v>
      </c>
      <c r="N1032" s="6" t="s">
        <v>28</v>
      </c>
      <c r="O1032" s="6" t="s">
        <v>26</v>
      </c>
      <c r="P1032" s="6" t="s">
        <v>37</v>
      </c>
      <c r="Q1032" s="6" t="s">
        <v>31</v>
      </c>
      <c r="R1032" s="6" t="s">
        <v>95</v>
      </c>
      <c r="S1032" s="6" t="s">
        <v>54</v>
      </c>
      <c r="T1032" s="6" t="s">
        <v>29</v>
      </c>
      <c r="U1032" s="6" t="s">
        <v>28</v>
      </c>
      <c r="V1032" s="6" t="s">
        <v>146</v>
      </c>
      <c r="W1032" t="s">
        <v>785</v>
      </c>
    </row>
    <row r="1033" spans="1:23" x14ac:dyDescent="0.3">
      <c r="A1033" s="6" t="s">
        <v>454</v>
      </c>
      <c r="B1033" s="1">
        <v>45773</v>
      </c>
      <c r="C1033" s="6" t="s">
        <v>343</v>
      </c>
      <c r="D1033" s="6" t="s">
        <v>95</v>
      </c>
      <c r="E1033" s="6" t="s">
        <v>64</v>
      </c>
      <c r="F1033" s="6" t="s">
        <v>24</v>
      </c>
      <c r="G1033" s="6" t="s">
        <v>69</v>
      </c>
      <c r="H1033" s="6" t="s">
        <v>48</v>
      </c>
      <c r="I1033" s="6" t="s">
        <v>38</v>
      </c>
      <c r="J1033" s="6" t="s">
        <v>49</v>
      </c>
      <c r="K1033" s="6" t="s">
        <v>48</v>
      </c>
      <c r="L1033" s="6" t="s">
        <v>152</v>
      </c>
      <c r="M1033" s="6" t="s">
        <v>48</v>
      </c>
      <c r="N1033" s="6" t="s">
        <v>28</v>
      </c>
      <c r="O1033" s="6" t="s">
        <v>26</v>
      </c>
      <c r="P1033" s="6" t="s">
        <v>52</v>
      </c>
      <c r="Q1033" s="6" t="s">
        <v>31</v>
      </c>
      <c r="R1033" s="6" t="s">
        <v>95</v>
      </c>
      <c r="S1033" s="6" t="s">
        <v>54</v>
      </c>
      <c r="T1033" s="6" t="s">
        <v>48</v>
      </c>
      <c r="U1033" s="6" t="s">
        <v>28</v>
      </c>
      <c r="V1033" s="6" t="s">
        <v>82</v>
      </c>
      <c r="W1033" t="s">
        <v>785</v>
      </c>
    </row>
    <row r="1034" spans="1:23" x14ac:dyDescent="0.3">
      <c r="A1034" s="6" t="s">
        <v>454</v>
      </c>
      <c r="B1034" s="1">
        <v>45773</v>
      </c>
      <c r="C1034" s="6" t="s">
        <v>343</v>
      </c>
      <c r="D1034" s="6" t="s">
        <v>95</v>
      </c>
      <c r="E1034" s="6" t="s">
        <v>64</v>
      </c>
      <c r="F1034" s="6" t="s">
        <v>24</v>
      </c>
      <c r="G1034" s="6" t="s">
        <v>69</v>
      </c>
      <c r="H1034" s="6" t="s">
        <v>48</v>
      </c>
      <c r="I1034" s="6" t="s">
        <v>38</v>
      </c>
      <c r="J1034" s="6" t="s">
        <v>49</v>
      </c>
      <c r="K1034" s="6" t="s">
        <v>48</v>
      </c>
      <c r="L1034" s="6" t="s">
        <v>152</v>
      </c>
      <c r="M1034" s="6" t="s">
        <v>48</v>
      </c>
      <c r="N1034" s="6" t="s">
        <v>28</v>
      </c>
      <c r="O1034" s="6" t="s">
        <v>26</v>
      </c>
      <c r="P1034" s="6" t="s">
        <v>52</v>
      </c>
      <c r="Q1034" s="6" t="s">
        <v>31</v>
      </c>
      <c r="R1034" s="6" t="s">
        <v>95</v>
      </c>
      <c r="S1034" s="6" t="s">
        <v>54</v>
      </c>
      <c r="T1034" s="6" t="s">
        <v>48</v>
      </c>
      <c r="U1034" s="6" t="s">
        <v>28</v>
      </c>
      <c r="V1034" s="6" t="s">
        <v>146</v>
      </c>
      <c r="W1034" t="s">
        <v>785</v>
      </c>
    </row>
    <row r="1035" spans="1:23" x14ac:dyDescent="0.3">
      <c r="A1035" s="6" t="s">
        <v>455</v>
      </c>
      <c r="B1035" s="1">
        <v>45773</v>
      </c>
      <c r="C1035" s="6" t="s">
        <v>343</v>
      </c>
      <c r="D1035" s="6" t="s">
        <v>95</v>
      </c>
      <c r="E1035" s="6" t="s">
        <v>64</v>
      </c>
      <c r="F1035" s="6" t="s">
        <v>24</v>
      </c>
      <c r="G1035" s="6" t="s">
        <v>69</v>
      </c>
      <c r="H1035" s="6" t="s">
        <v>48</v>
      </c>
      <c r="I1035" s="6" t="s">
        <v>38</v>
      </c>
      <c r="J1035" s="6" t="s">
        <v>49</v>
      </c>
      <c r="K1035" s="6" t="s">
        <v>48</v>
      </c>
      <c r="L1035" s="6" t="s">
        <v>152</v>
      </c>
      <c r="M1035" s="6" t="s">
        <v>48</v>
      </c>
      <c r="N1035" s="6" t="s">
        <v>28</v>
      </c>
      <c r="O1035" s="6" t="s">
        <v>30</v>
      </c>
      <c r="P1035" s="6" t="s">
        <v>48</v>
      </c>
      <c r="Q1035" s="6" t="s">
        <v>31</v>
      </c>
      <c r="R1035" s="6" t="s">
        <v>95</v>
      </c>
      <c r="S1035" s="6" t="s">
        <v>54</v>
      </c>
      <c r="T1035" s="6" t="s">
        <v>48</v>
      </c>
      <c r="U1035" s="6" t="s">
        <v>28</v>
      </c>
      <c r="V1035" s="6" t="s">
        <v>146</v>
      </c>
      <c r="W1035" t="s">
        <v>785</v>
      </c>
    </row>
    <row r="1036" spans="1:23" x14ac:dyDescent="0.3">
      <c r="A1036" s="6" t="s">
        <v>455</v>
      </c>
      <c r="B1036" s="1">
        <v>45773</v>
      </c>
      <c r="C1036" s="6" t="s">
        <v>343</v>
      </c>
      <c r="D1036" s="6" t="s">
        <v>95</v>
      </c>
      <c r="E1036" s="6" t="s">
        <v>64</v>
      </c>
      <c r="F1036" s="6" t="s">
        <v>24</v>
      </c>
      <c r="G1036" s="6" t="s">
        <v>69</v>
      </c>
      <c r="H1036" s="6" t="s">
        <v>48</v>
      </c>
      <c r="I1036" s="6" t="s">
        <v>38</v>
      </c>
      <c r="J1036" s="6" t="s">
        <v>49</v>
      </c>
      <c r="K1036" s="6" t="s">
        <v>48</v>
      </c>
      <c r="L1036" s="6" t="s">
        <v>152</v>
      </c>
      <c r="M1036" s="6" t="s">
        <v>48</v>
      </c>
      <c r="N1036" s="6" t="s">
        <v>28</v>
      </c>
      <c r="O1036" s="6" t="s">
        <v>30</v>
      </c>
      <c r="P1036" s="6" t="s">
        <v>48</v>
      </c>
      <c r="Q1036" s="6" t="s">
        <v>31</v>
      </c>
      <c r="R1036" s="6" t="s">
        <v>95</v>
      </c>
      <c r="S1036" s="6" t="s">
        <v>54</v>
      </c>
      <c r="T1036" s="6" t="s">
        <v>48</v>
      </c>
      <c r="U1036" s="6" t="s">
        <v>28</v>
      </c>
      <c r="V1036" s="6" t="s">
        <v>82</v>
      </c>
      <c r="W1036" t="s">
        <v>785</v>
      </c>
    </row>
    <row r="1037" spans="1:23" x14ac:dyDescent="0.3">
      <c r="A1037" s="6" t="s">
        <v>456</v>
      </c>
      <c r="B1037" s="1">
        <v>45773</v>
      </c>
      <c r="C1037" s="6" t="s">
        <v>343</v>
      </c>
      <c r="D1037" s="6" t="s">
        <v>22</v>
      </c>
      <c r="E1037" s="6" t="s">
        <v>23</v>
      </c>
      <c r="F1037" s="6" t="s">
        <v>24</v>
      </c>
      <c r="G1037" s="6" t="s">
        <v>68</v>
      </c>
      <c r="H1037" s="6" t="s">
        <v>48</v>
      </c>
      <c r="I1037" s="6" t="s">
        <v>38</v>
      </c>
      <c r="J1037" s="6" t="s">
        <v>22</v>
      </c>
      <c r="K1037" s="6" t="s">
        <v>48</v>
      </c>
      <c r="L1037" s="6" t="s">
        <v>54</v>
      </c>
      <c r="M1037" s="6" t="s">
        <v>48</v>
      </c>
      <c r="N1037" s="6" t="s">
        <v>28</v>
      </c>
      <c r="O1037" s="6" t="s">
        <v>26</v>
      </c>
      <c r="P1037" s="6" t="s">
        <v>52</v>
      </c>
      <c r="Q1037" s="6" t="s">
        <v>31</v>
      </c>
      <c r="R1037" s="6" t="s">
        <v>22</v>
      </c>
      <c r="S1037" s="6" t="s">
        <v>154</v>
      </c>
      <c r="T1037" s="6" t="s">
        <v>32</v>
      </c>
      <c r="U1037" s="6" t="s">
        <v>28</v>
      </c>
      <c r="V1037" s="6" t="s">
        <v>137</v>
      </c>
      <c r="W1037" t="s">
        <v>785</v>
      </c>
    </row>
    <row r="1038" spans="1:23" x14ac:dyDescent="0.3">
      <c r="A1038" s="6" t="s">
        <v>456</v>
      </c>
      <c r="B1038" s="1">
        <v>45773</v>
      </c>
      <c r="C1038" s="6" t="s">
        <v>343</v>
      </c>
      <c r="D1038" s="6" t="s">
        <v>22</v>
      </c>
      <c r="E1038" s="6" t="s">
        <v>23</v>
      </c>
      <c r="F1038" s="6" t="s">
        <v>24</v>
      </c>
      <c r="G1038" s="6" t="s">
        <v>68</v>
      </c>
      <c r="H1038" s="6" t="s">
        <v>48</v>
      </c>
      <c r="I1038" s="6" t="s">
        <v>38</v>
      </c>
      <c r="J1038" s="6" t="s">
        <v>22</v>
      </c>
      <c r="K1038" s="6" t="s">
        <v>48</v>
      </c>
      <c r="L1038" s="6" t="s">
        <v>54</v>
      </c>
      <c r="M1038" s="6" t="s">
        <v>48</v>
      </c>
      <c r="N1038" s="6" t="s">
        <v>28</v>
      </c>
      <c r="O1038" s="6" t="s">
        <v>26</v>
      </c>
      <c r="P1038" s="6" t="s">
        <v>52</v>
      </c>
      <c r="Q1038" s="6" t="s">
        <v>31</v>
      </c>
      <c r="R1038" s="6" t="s">
        <v>22</v>
      </c>
      <c r="S1038" s="6" t="s">
        <v>154</v>
      </c>
      <c r="T1038" s="6" t="s">
        <v>32</v>
      </c>
      <c r="U1038" s="6" t="s">
        <v>28</v>
      </c>
      <c r="V1038" s="6" t="s">
        <v>82</v>
      </c>
      <c r="W1038" t="s">
        <v>785</v>
      </c>
    </row>
    <row r="1039" spans="1:23" x14ac:dyDescent="0.3">
      <c r="A1039" s="6" t="s">
        <v>457</v>
      </c>
      <c r="B1039" s="1">
        <v>45775</v>
      </c>
      <c r="C1039" s="6" t="s">
        <v>343</v>
      </c>
      <c r="D1039" s="6" t="s">
        <v>40</v>
      </c>
      <c r="E1039" s="6" t="s">
        <v>68</v>
      </c>
      <c r="F1039" s="6" t="s">
        <v>24</v>
      </c>
      <c r="G1039" s="6" t="s">
        <v>71</v>
      </c>
      <c r="H1039" s="6" t="s">
        <v>48</v>
      </c>
      <c r="I1039" s="6" t="s">
        <v>48</v>
      </c>
      <c r="J1039" s="6" t="s">
        <v>40</v>
      </c>
      <c r="K1039" s="6" t="s">
        <v>48</v>
      </c>
      <c r="L1039" s="6" t="s">
        <v>54</v>
      </c>
      <c r="M1039" s="6" t="s">
        <v>48</v>
      </c>
      <c r="N1039" s="6" t="s">
        <v>28</v>
      </c>
      <c r="O1039" s="6" t="s">
        <v>26</v>
      </c>
      <c r="P1039" s="6" t="s">
        <v>788</v>
      </c>
      <c r="Q1039" s="6" t="s">
        <v>31</v>
      </c>
      <c r="R1039" s="6" t="s">
        <v>40</v>
      </c>
      <c r="S1039" s="6" t="s">
        <v>54</v>
      </c>
      <c r="T1039" s="6" t="s">
        <v>48</v>
      </c>
      <c r="U1039" s="6" t="s">
        <v>28</v>
      </c>
      <c r="V1039" s="6" t="s">
        <v>82</v>
      </c>
      <c r="W1039" t="s">
        <v>785</v>
      </c>
    </row>
    <row r="1040" spans="1:23" x14ac:dyDescent="0.3">
      <c r="A1040" s="6" t="s">
        <v>458</v>
      </c>
      <c r="B1040" s="1">
        <v>45776</v>
      </c>
      <c r="C1040" s="6" t="s">
        <v>33</v>
      </c>
      <c r="D1040" s="6" t="s">
        <v>95</v>
      </c>
      <c r="E1040" s="6" t="s">
        <v>35</v>
      </c>
      <c r="F1040" s="6" t="s">
        <v>24</v>
      </c>
      <c r="G1040" s="6" t="s">
        <v>47</v>
      </c>
      <c r="H1040" s="6" t="s">
        <v>26</v>
      </c>
      <c r="I1040" s="6" t="s">
        <v>27</v>
      </c>
      <c r="J1040" s="6" t="s">
        <v>95</v>
      </c>
      <c r="K1040" s="6" t="s">
        <v>115</v>
      </c>
      <c r="L1040" s="6" t="s">
        <v>54</v>
      </c>
      <c r="M1040" s="6" t="s">
        <v>29</v>
      </c>
      <c r="N1040" s="6" t="s">
        <v>28</v>
      </c>
      <c r="O1040" s="6" t="s">
        <v>48</v>
      </c>
      <c r="P1040" s="6" t="s">
        <v>48</v>
      </c>
      <c r="Q1040" s="6" t="s">
        <v>48</v>
      </c>
      <c r="R1040" s="6" t="s">
        <v>95</v>
      </c>
      <c r="S1040" s="6" t="s">
        <v>54</v>
      </c>
      <c r="T1040" s="6" t="s">
        <v>48</v>
      </c>
      <c r="U1040" s="6" t="s">
        <v>124</v>
      </c>
      <c r="V1040" s="6" t="s">
        <v>82</v>
      </c>
      <c r="W1040" t="s">
        <v>785</v>
      </c>
    </row>
    <row r="1041" spans="1:23" x14ac:dyDescent="0.3">
      <c r="A1041" s="6" t="s">
        <v>459</v>
      </c>
      <c r="B1041" s="1">
        <v>45776</v>
      </c>
      <c r="C1041" s="6" t="s">
        <v>84</v>
      </c>
      <c r="D1041" s="6" t="s">
        <v>48</v>
      </c>
      <c r="E1041" s="6" t="s">
        <v>46</v>
      </c>
      <c r="F1041" s="6" t="s">
        <v>24</v>
      </c>
      <c r="G1041" s="6" t="s">
        <v>69</v>
      </c>
      <c r="H1041" s="6" t="s">
        <v>26</v>
      </c>
      <c r="I1041" s="6" t="s">
        <v>58</v>
      </c>
      <c r="J1041" s="6" t="s">
        <v>93</v>
      </c>
      <c r="K1041" s="6" t="s">
        <v>48</v>
      </c>
      <c r="L1041" s="6" t="s">
        <v>54</v>
      </c>
      <c r="M1041" s="6" t="s">
        <v>55</v>
      </c>
      <c r="N1041" s="6" t="s">
        <v>28</v>
      </c>
      <c r="O1041" s="6" t="s">
        <v>30</v>
      </c>
      <c r="P1041" s="6" t="s">
        <v>48</v>
      </c>
      <c r="Q1041" s="6" t="s">
        <v>48</v>
      </c>
      <c r="R1041" s="6" t="s">
        <v>93</v>
      </c>
      <c r="S1041" s="6" t="s">
        <v>54</v>
      </c>
      <c r="T1041" s="6" t="s">
        <v>48</v>
      </c>
      <c r="U1041" s="6" t="s">
        <v>28</v>
      </c>
      <c r="V1041" s="6" t="s">
        <v>82</v>
      </c>
      <c r="W1041" t="s">
        <v>785</v>
      </c>
    </row>
    <row r="1042" spans="1:23" x14ac:dyDescent="0.3">
      <c r="A1042" s="6" t="s">
        <v>460</v>
      </c>
      <c r="B1042" s="1">
        <v>45777</v>
      </c>
      <c r="C1042" s="6" t="s">
        <v>33</v>
      </c>
      <c r="D1042" s="6" t="s">
        <v>40</v>
      </c>
      <c r="E1042" s="6" t="s">
        <v>68</v>
      </c>
      <c r="F1042" s="6" t="s">
        <v>24</v>
      </c>
      <c r="G1042" s="6" t="s">
        <v>97</v>
      </c>
      <c r="H1042" s="6" t="s">
        <v>26</v>
      </c>
      <c r="I1042" s="6" t="s">
        <v>42</v>
      </c>
      <c r="J1042" s="6" t="s">
        <v>40</v>
      </c>
      <c r="K1042" s="6" t="s">
        <v>115</v>
      </c>
      <c r="L1042" s="6" t="s">
        <v>54</v>
      </c>
      <c r="M1042" s="6" t="s">
        <v>142</v>
      </c>
      <c r="N1042" s="6" t="s">
        <v>28</v>
      </c>
      <c r="O1042" s="6" t="s">
        <v>30</v>
      </c>
      <c r="P1042" s="6" t="s">
        <v>52</v>
      </c>
      <c r="Q1042" s="6" t="s">
        <v>31</v>
      </c>
      <c r="R1042" s="6" t="s">
        <v>40</v>
      </c>
      <c r="S1042" s="6" t="s">
        <v>54</v>
      </c>
      <c r="T1042" s="6" t="s">
        <v>55</v>
      </c>
      <c r="U1042" s="6" t="s">
        <v>28</v>
      </c>
      <c r="V1042" s="6" t="s">
        <v>82</v>
      </c>
      <c r="W1042" t="s">
        <v>785</v>
      </c>
    </row>
    <row r="1043" spans="1:23" x14ac:dyDescent="0.3">
      <c r="A1043" s="6" t="s">
        <v>460</v>
      </c>
      <c r="B1043" s="1">
        <v>45777</v>
      </c>
      <c r="C1043" s="6" t="s">
        <v>33</v>
      </c>
      <c r="D1043" s="6" t="s">
        <v>40</v>
      </c>
      <c r="E1043" s="6" t="s">
        <v>68</v>
      </c>
      <c r="F1043" s="6" t="s">
        <v>24</v>
      </c>
      <c r="G1043" s="6" t="s">
        <v>97</v>
      </c>
      <c r="H1043" s="6" t="s">
        <v>26</v>
      </c>
      <c r="I1043" s="6" t="s">
        <v>42</v>
      </c>
      <c r="J1043" s="6" t="s">
        <v>40</v>
      </c>
      <c r="K1043" s="6" t="s">
        <v>115</v>
      </c>
      <c r="L1043" s="6" t="s">
        <v>54</v>
      </c>
      <c r="M1043" s="6" t="s">
        <v>142</v>
      </c>
      <c r="N1043" s="6" t="s">
        <v>28</v>
      </c>
      <c r="O1043" s="6" t="s">
        <v>30</v>
      </c>
      <c r="P1043" s="6" t="s">
        <v>52</v>
      </c>
      <c r="Q1043" s="6" t="s">
        <v>31</v>
      </c>
      <c r="R1043" s="6" t="s">
        <v>40</v>
      </c>
      <c r="S1043" s="6" t="s">
        <v>54</v>
      </c>
      <c r="T1043" s="6" t="s">
        <v>55</v>
      </c>
      <c r="U1043" s="6" t="s">
        <v>28</v>
      </c>
      <c r="V1043" s="6" t="s">
        <v>137</v>
      </c>
      <c r="W1043" t="s">
        <v>785</v>
      </c>
    </row>
    <row r="1044" spans="1:23" x14ac:dyDescent="0.3">
      <c r="A1044" s="6" t="s">
        <v>460</v>
      </c>
      <c r="B1044" s="1">
        <v>45777</v>
      </c>
      <c r="C1044" s="6" t="s">
        <v>33</v>
      </c>
      <c r="D1044" s="6" t="s">
        <v>40</v>
      </c>
      <c r="E1044" s="6" t="s">
        <v>68</v>
      </c>
      <c r="F1044" s="6" t="s">
        <v>24</v>
      </c>
      <c r="G1044" s="6" t="s">
        <v>97</v>
      </c>
      <c r="H1044" s="6" t="s">
        <v>26</v>
      </c>
      <c r="I1044" s="6" t="s">
        <v>42</v>
      </c>
      <c r="J1044" s="6" t="s">
        <v>40</v>
      </c>
      <c r="K1044" s="6" t="s">
        <v>115</v>
      </c>
      <c r="L1044" s="6" t="s">
        <v>54</v>
      </c>
      <c r="M1044" s="6" t="s">
        <v>142</v>
      </c>
      <c r="N1044" s="6" t="s">
        <v>28</v>
      </c>
      <c r="O1044" s="6" t="s">
        <v>30</v>
      </c>
      <c r="P1044" s="6" t="s">
        <v>52</v>
      </c>
      <c r="Q1044" s="6" t="s">
        <v>31</v>
      </c>
      <c r="R1044" s="6" t="s">
        <v>40</v>
      </c>
      <c r="S1044" s="6" t="s">
        <v>54</v>
      </c>
      <c r="T1044" s="6" t="s">
        <v>55</v>
      </c>
      <c r="U1044" s="6" t="s">
        <v>28</v>
      </c>
      <c r="V1044" s="6" t="s">
        <v>146</v>
      </c>
      <c r="W1044" t="s">
        <v>785</v>
      </c>
    </row>
    <row r="1045" spans="1:23" x14ac:dyDescent="0.3">
      <c r="A1045" s="6" t="s">
        <v>462</v>
      </c>
      <c r="B1045" s="1">
        <v>45777</v>
      </c>
      <c r="C1045" s="6" t="s">
        <v>343</v>
      </c>
      <c r="D1045" s="6" t="s">
        <v>95</v>
      </c>
      <c r="E1045" s="6" t="s">
        <v>23</v>
      </c>
      <c r="F1045" s="6" t="s">
        <v>24</v>
      </c>
      <c r="G1045" s="6" t="s">
        <v>61</v>
      </c>
      <c r="H1045" s="6" t="s">
        <v>26</v>
      </c>
      <c r="I1045" s="6" t="s">
        <v>38</v>
      </c>
      <c r="J1045" s="6" t="s">
        <v>95</v>
      </c>
      <c r="K1045" s="6" t="s">
        <v>48</v>
      </c>
      <c r="L1045" s="6" t="s">
        <v>152</v>
      </c>
      <c r="M1045" s="6" t="s">
        <v>48</v>
      </c>
      <c r="N1045" s="6" t="s">
        <v>28</v>
      </c>
      <c r="O1045" s="6" t="s">
        <v>26</v>
      </c>
      <c r="P1045" s="6" t="s">
        <v>52</v>
      </c>
      <c r="Q1045" s="6" t="s">
        <v>31</v>
      </c>
      <c r="R1045" s="6" t="s">
        <v>95</v>
      </c>
      <c r="S1045" s="6" t="s">
        <v>54</v>
      </c>
      <c r="T1045" s="6" t="s">
        <v>32</v>
      </c>
      <c r="U1045" s="6" t="s">
        <v>28</v>
      </c>
      <c r="V1045" s="6" t="s">
        <v>146</v>
      </c>
      <c r="W1045" t="s">
        <v>785</v>
      </c>
    </row>
    <row r="1046" spans="1:23" x14ac:dyDescent="0.3">
      <c r="A1046" s="6" t="s">
        <v>461</v>
      </c>
      <c r="B1046" s="1">
        <v>45777</v>
      </c>
      <c r="C1046" s="6" t="s">
        <v>343</v>
      </c>
      <c r="D1046" s="6" t="s">
        <v>95</v>
      </c>
      <c r="E1046" s="6" t="s">
        <v>23</v>
      </c>
      <c r="F1046" s="6" t="s">
        <v>24</v>
      </c>
      <c r="G1046" s="6" t="s">
        <v>61</v>
      </c>
      <c r="H1046" s="6" t="s">
        <v>26</v>
      </c>
      <c r="I1046" s="6" t="s">
        <v>38</v>
      </c>
      <c r="J1046" s="6" t="s">
        <v>95</v>
      </c>
      <c r="K1046" s="6" t="s">
        <v>48</v>
      </c>
      <c r="L1046" s="6" t="s">
        <v>152</v>
      </c>
      <c r="M1046" s="6" t="s">
        <v>48</v>
      </c>
      <c r="N1046" s="6" t="s">
        <v>28</v>
      </c>
      <c r="O1046" s="6" t="s">
        <v>26</v>
      </c>
      <c r="P1046" s="6" t="s">
        <v>45</v>
      </c>
      <c r="Q1046" s="6" t="s">
        <v>31</v>
      </c>
      <c r="R1046" s="6" t="s">
        <v>95</v>
      </c>
      <c r="S1046" s="6" t="s">
        <v>54</v>
      </c>
      <c r="T1046" s="6" t="s">
        <v>32</v>
      </c>
      <c r="U1046" s="6" t="s">
        <v>28</v>
      </c>
      <c r="V1046" s="6" t="s">
        <v>146</v>
      </c>
      <c r="W1046" t="s">
        <v>785</v>
      </c>
    </row>
    <row r="1047" spans="1:23" x14ac:dyDescent="0.3">
      <c r="A1047" s="6" t="s">
        <v>463</v>
      </c>
      <c r="B1047" s="1">
        <v>45777</v>
      </c>
      <c r="C1047" s="6" t="s">
        <v>90</v>
      </c>
      <c r="D1047" s="6" t="s">
        <v>40</v>
      </c>
      <c r="E1047" s="6" t="s">
        <v>35</v>
      </c>
      <c r="F1047" s="6" t="s">
        <v>24</v>
      </c>
      <c r="G1047" s="6" t="s">
        <v>107</v>
      </c>
      <c r="H1047" s="6" t="s">
        <v>48</v>
      </c>
      <c r="I1047" s="6" t="s">
        <v>27</v>
      </c>
      <c r="J1047" s="6" t="s">
        <v>40</v>
      </c>
      <c r="K1047" s="6" t="s">
        <v>48</v>
      </c>
      <c r="L1047" s="6" t="s">
        <v>54</v>
      </c>
      <c r="M1047" s="6" t="s">
        <v>48</v>
      </c>
      <c r="N1047" s="6" t="s">
        <v>28</v>
      </c>
      <c r="O1047" s="6" t="s">
        <v>48</v>
      </c>
      <c r="P1047" s="6" t="s">
        <v>48</v>
      </c>
      <c r="Q1047" s="6" t="s">
        <v>48</v>
      </c>
      <c r="R1047" s="6" t="s">
        <v>40</v>
      </c>
      <c r="S1047" s="6" t="s">
        <v>54</v>
      </c>
      <c r="T1047" s="6" t="s">
        <v>48</v>
      </c>
      <c r="U1047" s="6" t="s">
        <v>127</v>
      </c>
      <c r="V1047" s="6" t="s">
        <v>146</v>
      </c>
      <c r="W1047" t="s">
        <v>785</v>
      </c>
    </row>
    <row r="1048" spans="1:23" x14ac:dyDescent="0.3">
      <c r="A1048" s="6" t="s">
        <v>464</v>
      </c>
      <c r="B1048" s="1">
        <v>45777</v>
      </c>
      <c r="C1048" s="6" t="s">
        <v>33</v>
      </c>
      <c r="D1048" s="6" t="s">
        <v>105</v>
      </c>
      <c r="E1048" s="6" t="s">
        <v>73</v>
      </c>
      <c r="F1048" s="6" t="s">
        <v>24</v>
      </c>
      <c r="G1048" s="6" t="s">
        <v>110</v>
      </c>
      <c r="H1048" s="6" t="s">
        <v>26</v>
      </c>
      <c r="I1048" s="6" t="s">
        <v>58</v>
      </c>
      <c r="J1048" s="6" t="s">
        <v>105</v>
      </c>
      <c r="K1048" s="6" t="s">
        <v>48</v>
      </c>
      <c r="L1048" s="6" t="s">
        <v>54</v>
      </c>
      <c r="M1048" s="6" t="s">
        <v>29</v>
      </c>
      <c r="N1048" s="6" t="s">
        <v>28</v>
      </c>
      <c r="O1048" s="6" t="s">
        <v>30</v>
      </c>
      <c r="P1048" s="6" t="s">
        <v>48</v>
      </c>
      <c r="Q1048" s="6" t="s">
        <v>48</v>
      </c>
      <c r="R1048" s="6" t="s">
        <v>105</v>
      </c>
      <c r="S1048" s="6" t="s">
        <v>54</v>
      </c>
      <c r="T1048" s="6" t="s">
        <v>29</v>
      </c>
      <c r="U1048" s="6" t="s">
        <v>28</v>
      </c>
      <c r="V1048" s="6" t="s">
        <v>146</v>
      </c>
      <c r="W1048" t="s">
        <v>785</v>
      </c>
    </row>
    <row r="1049" spans="1:23" x14ac:dyDescent="0.3">
      <c r="A1049" s="6" t="s">
        <v>464</v>
      </c>
      <c r="B1049" s="1">
        <v>45777</v>
      </c>
      <c r="C1049" s="6" t="s">
        <v>33</v>
      </c>
      <c r="D1049" s="6" t="s">
        <v>105</v>
      </c>
      <c r="E1049" s="6" t="s">
        <v>73</v>
      </c>
      <c r="F1049" s="6" t="s">
        <v>24</v>
      </c>
      <c r="G1049" s="6" t="s">
        <v>110</v>
      </c>
      <c r="H1049" s="6" t="s">
        <v>26</v>
      </c>
      <c r="I1049" s="6" t="s">
        <v>58</v>
      </c>
      <c r="J1049" s="6" t="s">
        <v>105</v>
      </c>
      <c r="K1049" s="6" t="s">
        <v>48</v>
      </c>
      <c r="L1049" s="6" t="s">
        <v>54</v>
      </c>
      <c r="M1049" s="6" t="s">
        <v>29</v>
      </c>
      <c r="N1049" s="6" t="s">
        <v>28</v>
      </c>
      <c r="O1049" s="6" t="s">
        <v>30</v>
      </c>
      <c r="P1049" s="6" t="s">
        <v>48</v>
      </c>
      <c r="Q1049" s="6" t="s">
        <v>48</v>
      </c>
      <c r="R1049" s="6" t="s">
        <v>105</v>
      </c>
      <c r="S1049" s="6" t="s">
        <v>54</v>
      </c>
      <c r="T1049" s="6" t="s">
        <v>29</v>
      </c>
      <c r="U1049" s="6" t="s">
        <v>28</v>
      </c>
      <c r="V1049" s="6" t="s">
        <v>82</v>
      </c>
      <c r="W1049" t="s">
        <v>785</v>
      </c>
    </row>
    <row r="1050" spans="1:23" x14ac:dyDescent="0.3">
      <c r="A1050" s="6" t="s">
        <v>465</v>
      </c>
      <c r="B1050" s="1">
        <v>45777</v>
      </c>
      <c r="C1050" s="6" t="s">
        <v>33</v>
      </c>
      <c r="D1050" s="6" t="s">
        <v>105</v>
      </c>
      <c r="E1050" s="6" t="s">
        <v>73</v>
      </c>
      <c r="F1050" s="6" t="s">
        <v>24</v>
      </c>
      <c r="G1050" s="6" t="s">
        <v>110</v>
      </c>
      <c r="H1050" s="6" t="s">
        <v>26</v>
      </c>
      <c r="I1050" s="6" t="s">
        <v>58</v>
      </c>
      <c r="J1050" s="6" t="s">
        <v>105</v>
      </c>
      <c r="K1050" s="6" t="s">
        <v>48</v>
      </c>
      <c r="L1050" s="6" t="s">
        <v>54</v>
      </c>
      <c r="M1050" s="6" t="s">
        <v>29</v>
      </c>
      <c r="N1050" s="6" t="s">
        <v>28</v>
      </c>
      <c r="O1050" s="6" t="s">
        <v>48</v>
      </c>
      <c r="P1050" s="6" t="s">
        <v>48</v>
      </c>
      <c r="Q1050" s="6" t="s">
        <v>48</v>
      </c>
      <c r="R1050" s="6" t="s">
        <v>105</v>
      </c>
      <c r="S1050" s="6" t="s">
        <v>54</v>
      </c>
      <c r="T1050" s="6" t="s">
        <v>29</v>
      </c>
      <c r="U1050" s="6" t="s">
        <v>28</v>
      </c>
      <c r="V1050" s="6" t="s">
        <v>82</v>
      </c>
      <c r="W1050" t="s">
        <v>785</v>
      </c>
    </row>
    <row r="1051" spans="1:23" x14ac:dyDescent="0.3">
      <c r="A1051" s="6" t="s">
        <v>465</v>
      </c>
      <c r="B1051" s="1">
        <v>45777</v>
      </c>
      <c r="C1051" s="6" t="s">
        <v>33</v>
      </c>
      <c r="D1051" s="6" t="s">
        <v>105</v>
      </c>
      <c r="E1051" s="6" t="s">
        <v>73</v>
      </c>
      <c r="F1051" s="6" t="s">
        <v>24</v>
      </c>
      <c r="G1051" s="6" t="s">
        <v>110</v>
      </c>
      <c r="H1051" s="6" t="s">
        <v>26</v>
      </c>
      <c r="I1051" s="6" t="s">
        <v>58</v>
      </c>
      <c r="J1051" s="6" t="s">
        <v>105</v>
      </c>
      <c r="K1051" s="6" t="s">
        <v>48</v>
      </c>
      <c r="L1051" s="6" t="s">
        <v>54</v>
      </c>
      <c r="M1051" s="6" t="s">
        <v>29</v>
      </c>
      <c r="N1051" s="6" t="s">
        <v>28</v>
      </c>
      <c r="O1051" s="6" t="s">
        <v>48</v>
      </c>
      <c r="P1051" s="6" t="s">
        <v>48</v>
      </c>
      <c r="Q1051" s="6" t="s">
        <v>48</v>
      </c>
      <c r="R1051" s="6" t="s">
        <v>105</v>
      </c>
      <c r="S1051" s="6" t="s">
        <v>54</v>
      </c>
      <c r="T1051" s="6" t="s">
        <v>29</v>
      </c>
      <c r="U1051" s="6" t="s">
        <v>28</v>
      </c>
      <c r="V1051" s="6" t="s">
        <v>146</v>
      </c>
      <c r="W1051" t="s">
        <v>785</v>
      </c>
    </row>
    <row r="1052" spans="1:23" x14ac:dyDescent="0.3">
      <c r="A1052" s="6" t="s">
        <v>466</v>
      </c>
      <c r="B1052" s="1">
        <v>45777</v>
      </c>
      <c r="C1052" s="6" t="s">
        <v>343</v>
      </c>
      <c r="D1052" s="6" t="s">
        <v>122</v>
      </c>
      <c r="E1052" s="6" t="s">
        <v>68</v>
      </c>
      <c r="F1052" s="6" t="s">
        <v>24</v>
      </c>
      <c r="G1052" s="6" t="s">
        <v>97</v>
      </c>
      <c r="H1052" s="6" t="s">
        <v>26</v>
      </c>
      <c r="I1052" s="6" t="s">
        <v>42</v>
      </c>
      <c r="J1052" s="6" t="s">
        <v>122</v>
      </c>
      <c r="K1052" s="6" t="s">
        <v>48</v>
      </c>
      <c r="L1052" s="6" t="s">
        <v>54</v>
      </c>
      <c r="M1052" s="6" t="s">
        <v>29</v>
      </c>
      <c r="N1052" s="6" t="s">
        <v>28</v>
      </c>
      <c r="O1052" s="6" t="s">
        <v>26</v>
      </c>
      <c r="P1052" s="6" t="s">
        <v>45</v>
      </c>
      <c r="Q1052" s="6" t="s">
        <v>48</v>
      </c>
      <c r="R1052" s="6" t="s">
        <v>122</v>
      </c>
      <c r="S1052" s="6" t="s">
        <v>54</v>
      </c>
      <c r="T1052" s="6" t="s">
        <v>32</v>
      </c>
      <c r="U1052" s="6" t="s">
        <v>28</v>
      </c>
      <c r="V1052" s="6" t="s">
        <v>146</v>
      </c>
      <c r="W1052" t="s">
        <v>785</v>
      </c>
    </row>
    <row r="1053" spans="1:23" x14ac:dyDescent="0.3">
      <c r="A1053" s="6" t="s">
        <v>466</v>
      </c>
      <c r="B1053" s="1">
        <v>45777</v>
      </c>
      <c r="C1053" s="6" t="s">
        <v>343</v>
      </c>
      <c r="D1053" s="6" t="s">
        <v>122</v>
      </c>
      <c r="E1053" s="6" t="s">
        <v>68</v>
      </c>
      <c r="F1053" s="6" t="s">
        <v>24</v>
      </c>
      <c r="G1053" s="6" t="s">
        <v>97</v>
      </c>
      <c r="H1053" s="6" t="s">
        <v>26</v>
      </c>
      <c r="I1053" s="6" t="s">
        <v>42</v>
      </c>
      <c r="J1053" s="6" t="s">
        <v>122</v>
      </c>
      <c r="K1053" s="6" t="s">
        <v>48</v>
      </c>
      <c r="L1053" s="6" t="s">
        <v>54</v>
      </c>
      <c r="M1053" s="6" t="s">
        <v>29</v>
      </c>
      <c r="N1053" s="6" t="s">
        <v>28</v>
      </c>
      <c r="O1053" s="6" t="s">
        <v>26</v>
      </c>
      <c r="P1053" s="6" t="s">
        <v>45</v>
      </c>
      <c r="Q1053" s="6" t="s">
        <v>48</v>
      </c>
      <c r="R1053" s="6" t="s">
        <v>122</v>
      </c>
      <c r="S1053" s="6" t="s">
        <v>54</v>
      </c>
      <c r="T1053" s="6" t="s">
        <v>32</v>
      </c>
      <c r="U1053" s="6" t="s">
        <v>28</v>
      </c>
      <c r="V1053" s="6" t="s">
        <v>82</v>
      </c>
      <c r="W1053" t="s">
        <v>785</v>
      </c>
    </row>
    <row r="1054" spans="1:23" x14ac:dyDescent="0.3">
      <c r="A1054" s="6" t="s">
        <v>467</v>
      </c>
      <c r="B1054" s="1">
        <v>45779</v>
      </c>
      <c r="C1054" s="6" t="s">
        <v>33</v>
      </c>
      <c r="D1054" s="6" t="s">
        <v>40</v>
      </c>
      <c r="E1054" s="6" t="s">
        <v>64</v>
      </c>
      <c r="F1054" s="6" t="s">
        <v>24</v>
      </c>
      <c r="G1054" s="6" t="s">
        <v>69</v>
      </c>
      <c r="H1054" s="6" t="s">
        <v>26</v>
      </c>
      <c r="I1054" s="6" t="s">
        <v>27</v>
      </c>
      <c r="J1054" s="6" t="s">
        <v>40</v>
      </c>
      <c r="K1054" s="6" t="s">
        <v>133</v>
      </c>
      <c r="L1054" s="6" t="s">
        <v>152</v>
      </c>
      <c r="M1054" s="6" t="s">
        <v>32</v>
      </c>
      <c r="N1054" s="6" t="s">
        <v>28</v>
      </c>
      <c r="O1054" s="6" t="s">
        <v>30</v>
      </c>
      <c r="P1054" s="6" t="s">
        <v>37</v>
      </c>
      <c r="Q1054" s="6" t="s">
        <v>31</v>
      </c>
      <c r="R1054" s="6" t="s">
        <v>40</v>
      </c>
      <c r="S1054" s="6" t="s">
        <v>54</v>
      </c>
      <c r="T1054" s="6" t="s">
        <v>32</v>
      </c>
      <c r="U1054" s="6" t="s">
        <v>28</v>
      </c>
      <c r="V1054" s="6" t="s">
        <v>146</v>
      </c>
      <c r="W1054" t="s">
        <v>786</v>
      </c>
    </row>
    <row r="1055" spans="1:23" x14ac:dyDescent="0.3">
      <c r="A1055" s="6" t="s">
        <v>468</v>
      </c>
      <c r="B1055" s="1">
        <v>45779</v>
      </c>
      <c r="C1055" s="6" t="s">
        <v>33</v>
      </c>
      <c r="D1055" s="6" t="s">
        <v>40</v>
      </c>
      <c r="E1055" s="6" t="s">
        <v>64</v>
      </c>
      <c r="F1055" s="6" t="s">
        <v>24</v>
      </c>
      <c r="G1055" s="6" t="s">
        <v>69</v>
      </c>
      <c r="H1055" s="6" t="s">
        <v>26</v>
      </c>
      <c r="I1055" s="6" t="s">
        <v>27</v>
      </c>
      <c r="J1055" s="6" t="s">
        <v>40</v>
      </c>
      <c r="K1055" s="6" t="s">
        <v>133</v>
      </c>
      <c r="L1055" s="6" t="s">
        <v>152</v>
      </c>
      <c r="M1055" s="6" t="s">
        <v>32</v>
      </c>
      <c r="N1055" s="6" t="s">
        <v>28</v>
      </c>
      <c r="O1055" s="6" t="s">
        <v>30</v>
      </c>
      <c r="P1055" s="6" t="s">
        <v>37</v>
      </c>
      <c r="Q1055" s="6" t="s">
        <v>31</v>
      </c>
      <c r="R1055" s="6" t="s">
        <v>40</v>
      </c>
      <c r="S1055" s="6" t="s">
        <v>54</v>
      </c>
      <c r="T1055" s="6" t="s">
        <v>55</v>
      </c>
      <c r="U1055" s="6" t="s">
        <v>28</v>
      </c>
      <c r="V1055" s="6" t="s">
        <v>146</v>
      </c>
      <c r="W1055" t="s">
        <v>786</v>
      </c>
    </row>
    <row r="1056" spans="1:23" x14ac:dyDescent="0.3">
      <c r="A1056" s="6" t="s">
        <v>469</v>
      </c>
      <c r="B1056" s="1">
        <v>45779</v>
      </c>
      <c r="C1056" s="6" t="s">
        <v>33</v>
      </c>
      <c r="D1056" s="6" t="s">
        <v>22</v>
      </c>
      <c r="E1056" s="6" t="s">
        <v>23</v>
      </c>
      <c r="F1056" s="6" t="s">
        <v>24</v>
      </c>
      <c r="G1056" s="6" t="s">
        <v>61</v>
      </c>
      <c r="H1056" s="6" t="s">
        <v>26</v>
      </c>
      <c r="I1056" s="6" t="s">
        <v>27</v>
      </c>
      <c r="J1056" s="6" t="s">
        <v>22</v>
      </c>
      <c r="K1056" s="6" t="s">
        <v>115</v>
      </c>
      <c r="L1056" s="6" t="s">
        <v>54</v>
      </c>
      <c r="M1056" s="6" t="s">
        <v>29</v>
      </c>
      <c r="N1056" s="6" t="s">
        <v>28</v>
      </c>
      <c r="O1056" s="6" t="s">
        <v>26</v>
      </c>
      <c r="P1056" s="6" t="s">
        <v>788</v>
      </c>
      <c r="Q1056" s="6" t="s">
        <v>31</v>
      </c>
      <c r="R1056" s="6" t="s">
        <v>22</v>
      </c>
      <c r="S1056" s="6" t="s">
        <v>54</v>
      </c>
      <c r="T1056" s="6" t="s">
        <v>55</v>
      </c>
      <c r="U1056" s="6" t="s">
        <v>28</v>
      </c>
      <c r="V1056" s="6" t="s">
        <v>82</v>
      </c>
      <c r="W1056" t="s">
        <v>786</v>
      </c>
    </row>
    <row r="1057" spans="1:23" x14ac:dyDescent="0.3">
      <c r="A1057" s="6" t="s">
        <v>470</v>
      </c>
      <c r="B1057" s="1">
        <v>45779</v>
      </c>
      <c r="C1057" s="6" t="s">
        <v>343</v>
      </c>
      <c r="D1057" s="6" t="s">
        <v>22</v>
      </c>
      <c r="E1057" s="6" t="s">
        <v>44</v>
      </c>
      <c r="F1057" s="6" t="s">
        <v>24</v>
      </c>
      <c r="G1057" s="6" t="s">
        <v>61</v>
      </c>
      <c r="H1057" s="6" t="s">
        <v>26</v>
      </c>
      <c r="I1057" s="6" t="s">
        <v>27</v>
      </c>
      <c r="J1057" s="6" t="s">
        <v>22</v>
      </c>
      <c r="K1057" s="6" t="s">
        <v>48</v>
      </c>
      <c r="L1057" s="6" t="s">
        <v>54</v>
      </c>
      <c r="M1057" s="6" t="s">
        <v>55</v>
      </c>
      <c r="N1057" s="6" t="s">
        <v>28</v>
      </c>
      <c r="O1057" s="6" t="s">
        <v>48</v>
      </c>
      <c r="P1057" s="6" t="s">
        <v>48</v>
      </c>
      <c r="Q1057" s="6" t="s">
        <v>48</v>
      </c>
      <c r="R1057" s="6" t="s">
        <v>22</v>
      </c>
      <c r="S1057" s="6" t="s">
        <v>54</v>
      </c>
      <c r="T1057" s="6" t="s">
        <v>48</v>
      </c>
      <c r="U1057" s="6" t="s">
        <v>59</v>
      </c>
      <c r="V1057" s="6" t="s">
        <v>137</v>
      </c>
      <c r="W1057" t="s">
        <v>786</v>
      </c>
    </row>
    <row r="1058" spans="1:23" x14ac:dyDescent="0.3">
      <c r="A1058" s="6" t="s">
        <v>471</v>
      </c>
      <c r="B1058" s="1">
        <v>45782</v>
      </c>
      <c r="C1058" s="6" t="s">
        <v>343</v>
      </c>
      <c r="D1058" s="6" t="s">
        <v>122</v>
      </c>
      <c r="E1058" s="6" t="s">
        <v>68</v>
      </c>
      <c r="F1058" s="6" t="s">
        <v>24</v>
      </c>
      <c r="G1058" s="6" t="s">
        <v>97</v>
      </c>
      <c r="H1058" s="6" t="s">
        <v>26</v>
      </c>
      <c r="I1058" s="6" t="s">
        <v>66</v>
      </c>
      <c r="J1058" s="6" t="s">
        <v>122</v>
      </c>
      <c r="K1058" s="6" t="s">
        <v>133</v>
      </c>
      <c r="L1058" s="6" t="s">
        <v>704</v>
      </c>
      <c r="M1058" s="6" t="s">
        <v>55</v>
      </c>
      <c r="N1058" s="6" t="s">
        <v>28</v>
      </c>
      <c r="O1058" s="6" t="s">
        <v>48</v>
      </c>
      <c r="P1058" s="6" t="s">
        <v>48</v>
      </c>
      <c r="Q1058" s="6" t="s">
        <v>48</v>
      </c>
      <c r="R1058" s="6" t="s">
        <v>122</v>
      </c>
      <c r="S1058" s="6" t="s">
        <v>54</v>
      </c>
      <c r="T1058" s="6" t="s">
        <v>48</v>
      </c>
      <c r="U1058" s="6" t="s">
        <v>74</v>
      </c>
      <c r="V1058" s="6" t="s">
        <v>82</v>
      </c>
      <c r="W1058" t="s">
        <v>786</v>
      </c>
    </row>
    <row r="1059" spans="1:23" x14ac:dyDescent="0.3">
      <c r="A1059" s="6" t="s">
        <v>473</v>
      </c>
      <c r="B1059" s="1">
        <v>45782</v>
      </c>
      <c r="C1059" s="6" t="s">
        <v>343</v>
      </c>
      <c r="D1059" s="6" t="s">
        <v>122</v>
      </c>
      <c r="E1059" s="6" t="s">
        <v>68</v>
      </c>
      <c r="F1059" s="6" t="s">
        <v>24</v>
      </c>
      <c r="G1059" s="6" t="s">
        <v>97</v>
      </c>
      <c r="H1059" s="6" t="s">
        <v>26</v>
      </c>
      <c r="I1059" s="6" t="s">
        <v>66</v>
      </c>
      <c r="J1059" s="6" t="s">
        <v>122</v>
      </c>
      <c r="K1059" s="6" t="s">
        <v>133</v>
      </c>
      <c r="L1059" s="6" t="s">
        <v>704</v>
      </c>
      <c r="M1059" s="6" t="s">
        <v>55</v>
      </c>
      <c r="N1059" s="6" t="s">
        <v>28</v>
      </c>
      <c r="O1059" s="6" t="s">
        <v>48</v>
      </c>
      <c r="P1059" s="6" t="s">
        <v>48</v>
      </c>
      <c r="Q1059" s="6" t="s">
        <v>48</v>
      </c>
      <c r="R1059" s="6" t="s">
        <v>122</v>
      </c>
      <c r="S1059" s="6" t="s">
        <v>54</v>
      </c>
      <c r="T1059" s="6" t="s">
        <v>48</v>
      </c>
      <c r="U1059" s="6" t="s">
        <v>74</v>
      </c>
      <c r="V1059" s="6" t="s">
        <v>82</v>
      </c>
      <c r="W1059" t="s">
        <v>786</v>
      </c>
    </row>
    <row r="1060" spans="1:23" x14ac:dyDescent="0.3">
      <c r="A1060" s="6" t="s">
        <v>472</v>
      </c>
      <c r="B1060" s="1">
        <v>45782</v>
      </c>
      <c r="C1060" s="6" t="s">
        <v>343</v>
      </c>
      <c r="D1060" s="6" t="s">
        <v>122</v>
      </c>
      <c r="E1060" s="6" t="s">
        <v>68</v>
      </c>
      <c r="F1060" s="6" t="s">
        <v>24</v>
      </c>
      <c r="G1060" s="6" t="s">
        <v>97</v>
      </c>
      <c r="H1060" s="6" t="s">
        <v>26</v>
      </c>
      <c r="I1060" s="6" t="s">
        <v>66</v>
      </c>
      <c r="J1060" s="6" t="s">
        <v>122</v>
      </c>
      <c r="K1060" s="6" t="s">
        <v>133</v>
      </c>
      <c r="L1060" s="6" t="s">
        <v>704</v>
      </c>
      <c r="M1060" s="6" t="s">
        <v>55</v>
      </c>
      <c r="N1060" s="6" t="s">
        <v>28</v>
      </c>
      <c r="O1060" s="6" t="s">
        <v>48</v>
      </c>
      <c r="P1060" s="6" t="s">
        <v>48</v>
      </c>
      <c r="Q1060" s="6" t="s">
        <v>48</v>
      </c>
      <c r="R1060" s="6" t="s">
        <v>122</v>
      </c>
      <c r="S1060" s="6" t="s">
        <v>54</v>
      </c>
      <c r="T1060" s="6" t="s">
        <v>48</v>
      </c>
      <c r="U1060" s="6" t="s">
        <v>74</v>
      </c>
      <c r="V1060" s="6" t="s">
        <v>82</v>
      </c>
      <c r="W1060" t="s">
        <v>786</v>
      </c>
    </row>
    <row r="1061" spans="1:23" x14ac:dyDescent="0.3">
      <c r="A1061" s="6" t="s">
        <v>474</v>
      </c>
      <c r="B1061" s="1">
        <v>45782</v>
      </c>
      <c r="C1061" s="6" t="s">
        <v>33</v>
      </c>
      <c r="D1061" s="6" t="s">
        <v>70</v>
      </c>
      <c r="E1061" s="6" t="s">
        <v>68</v>
      </c>
      <c r="F1061" s="6" t="s">
        <v>24</v>
      </c>
      <c r="G1061" s="6" t="s">
        <v>110</v>
      </c>
      <c r="H1061" s="6" t="s">
        <v>26</v>
      </c>
      <c r="I1061" s="6" t="s">
        <v>42</v>
      </c>
      <c r="J1061" s="6" t="s">
        <v>70</v>
      </c>
      <c r="K1061" s="6" t="s">
        <v>48</v>
      </c>
      <c r="L1061" s="6" t="s">
        <v>54</v>
      </c>
      <c r="M1061" s="6" t="s">
        <v>32</v>
      </c>
      <c r="N1061" s="6" t="s">
        <v>28</v>
      </c>
      <c r="O1061" s="6" t="s">
        <v>26</v>
      </c>
      <c r="P1061" s="6" t="s">
        <v>52</v>
      </c>
      <c r="Q1061" s="6" t="s">
        <v>31</v>
      </c>
      <c r="R1061" s="6" t="s">
        <v>70</v>
      </c>
      <c r="S1061" s="6" t="s">
        <v>54</v>
      </c>
      <c r="T1061" s="6" t="s">
        <v>48</v>
      </c>
      <c r="U1061" s="6" t="s">
        <v>28</v>
      </c>
      <c r="V1061" s="6" t="s">
        <v>82</v>
      </c>
      <c r="W1061" t="s">
        <v>786</v>
      </c>
    </row>
    <row r="1062" spans="1:23" x14ac:dyDescent="0.3">
      <c r="A1062" s="6" t="s">
        <v>475</v>
      </c>
      <c r="B1062" s="1">
        <v>45783</v>
      </c>
      <c r="C1062" s="6" t="s">
        <v>33</v>
      </c>
      <c r="D1062" s="6" t="s">
        <v>34</v>
      </c>
      <c r="E1062" s="6" t="s">
        <v>41</v>
      </c>
      <c r="F1062" s="6" t="s">
        <v>24</v>
      </c>
      <c r="G1062" s="6" t="s">
        <v>69</v>
      </c>
      <c r="H1062" s="6" t="s">
        <v>48</v>
      </c>
      <c r="I1062" s="6" t="s">
        <v>42</v>
      </c>
      <c r="J1062" s="6" t="s">
        <v>34</v>
      </c>
      <c r="K1062" s="6" t="s">
        <v>48</v>
      </c>
      <c r="L1062" s="6" t="s">
        <v>54</v>
      </c>
      <c r="M1062" s="6" t="s">
        <v>48</v>
      </c>
      <c r="N1062" s="6" t="s">
        <v>28</v>
      </c>
      <c r="O1062" s="6" t="s">
        <v>26</v>
      </c>
      <c r="P1062" s="6" t="s">
        <v>788</v>
      </c>
      <c r="Q1062" s="6" t="s">
        <v>31</v>
      </c>
      <c r="R1062" s="6" t="s">
        <v>34</v>
      </c>
      <c r="S1062" s="6" t="s">
        <v>54</v>
      </c>
      <c r="T1062" s="6" t="s">
        <v>32</v>
      </c>
      <c r="U1062" s="6" t="s">
        <v>28</v>
      </c>
      <c r="V1062" s="6" t="s">
        <v>146</v>
      </c>
      <c r="W1062" t="s">
        <v>786</v>
      </c>
    </row>
    <row r="1063" spans="1:23" x14ac:dyDescent="0.3">
      <c r="A1063" s="6" t="s">
        <v>477</v>
      </c>
      <c r="B1063" s="1">
        <v>45783</v>
      </c>
      <c r="C1063" s="6" t="s">
        <v>33</v>
      </c>
      <c r="D1063" s="6" t="s">
        <v>34</v>
      </c>
      <c r="E1063" s="6" t="s">
        <v>41</v>
      </c>
      <c r="F1063" s="6" t="s">
        <v>24</v>
      </c>
      <c r="G1063" s="6" t="s">
        <v>69</v>
      </c>
      <c r="H1063" s="6" t="s">
        <v>48</v>
      </c>
      <c r="I1063" s="6" t="s">
        <v>42</v>
      </c>
      <c r="J1063" s="6" t="s">
        <v>34</v>
      </c>
      <c r="K1063" s="6" t="s">
        <v>48</v>
      </c>
      <c r="L1063" s="6" t="s">
        <v>54</v>
      </c>
      <c r="M1063" s="6" t="s">
        <v>48</v>
      </c>
      <c r="N1063" s="6" t="s">
        <v>28</v>
      </c>
      <c r="O1063" s="6" t="s">
        <v>30</v>
      </c>
      <c r="P1063" s="6" t="s">
        <v>788</v>
      </c>
      <c r="Q1063" s="6" t="s">
        <v>31</v>
      </c>
      <c r="R1063" s="6" t="s">
        <v>34</v>
      </c>
      <c r="S1063" s="6" t="s">
        <v>54</v>
      </c>
      <c r="T1063" s="6" t="s">
        <v>32</v>
      </c>
      <c r="U1063" s="6" t="s">
        <v>28</v>
      </c>
      <c r="V1063" s="6" t="s">
        <v>146</v>
      </c>
      <c r="W1063" t="s">
        <v>786</v>
      </c>
    </row>
    <row r="1064" spans="1:23" x14ac:dyDescent="0.3">
      <c r="A1064" s="6" t="s">
        <v>479</v>
      </c>
      <c r="B1064" s="1">
        <v>45783</v>
      </c>
      <c r="C1064" s="6" t="s">
        <v>33</v>
      </c>
      <c r="D1064" s="6" t="s">
        <v>34</v>
      </c>
      <c r="E1064" s="6" t="s">
        <v>41</v>
      </c>
      <c r="F1064" s="6" t="s">
        <v>24</v>
      </c>
      <c r="G1064" s="6" t="s">
        <v>69</v>
      </c>
      <c r="H1064" s="6" t="s">
        <v>48</v>
      </c>
      <c r="I1064" s="6" t="s">
        <v>42</v>
      </c>
      <c r="J1064" s="6" t="s">
        <v>34</v>
      </c>
      <c r="K1064" s="6" t="s">
        <v>48</v>
      </c>
      <c r="L1064" s="6" t="s">
        <v>54</v>
      </c>
      <c r="M1064" s="6" t="s">
        <v>48</v>
      </c>
      <c r="N1064" s="6" t="s">
        <v>28</v>
      </c>
      <c r="O1064" s="6" t="s">
        <v>26</v>
      </c>
      <c r="P1064" s="6" t="s">
        <v>45</v>
      </c>
      <c r="Q1064" s="6" t="s">
        <v>31</v>
      </c>
      <c r="R1064" s="6" t="s">
        <v>34</v>
      </c>
      <c r="S1064" s="6" t="s">
        <v>54</v>
      </c>
      <c r="T1064" s="6" t="s">
        <v>29</v>
      </c>
      <c r="U1064" s="6" t="s">
        <v>28</v>
      </c>
      <c r="V1064" s="6" t="s">
        <v>146</v>
      </c>
      <c r="W1064" t="s">
        <v>786</v>
      </c>
    </row>
    <row r="1065" spans="1:23" x14ac:dyDescent="0.3">
      <c r="A1065" s="6" t="s">
        <v>478</v>
      </c>
      <c r="B1065" s="1">
        <v>45783</v>
      </c>
      <c r="C1065" s="6" t="s">
        <v>33</v>
      </c>
      <c r="D1065" s="6" t="s">
        <v>34</v>
      </c>
      <c r="E1065" s="6" t="s">
        <v>41</v>
      </c>
      <c r="F1065" s="6" t="s">
        <v>24</v>
      </c>
      <c r="G1065" s="6" t="s">
        <v>69</v>
      </c>
      <c r="H1065" s="6" t="s">
        <v>48</v>
      </c>
      <c r="I1065" s="6" t="s">
        <v>42</v>
      </c>
      <c r="J1065" s="6" t="s">
        <v>34</v>
      </c>
      <c r="K1065" s="6" t="s">
        <v>48</v>
      </c>
      <c r="L1065" s="6" t="s">
        <v>54</v>
      </c>
      <c r="M1065" s="6" t="s">
        <v>48</v>
      </c>
      <c r="N1065" s="6" t="s">
        <v>28</v>
      </c>
      <c r="O1065" s="6" t="s">
        <v>26</v>
      </c>
      <c r="P1065" s="6" t="s">
        <v>45</v>
      </c>
      <c r="Q1065" s="6" t="s">
        <v>31</v>
      </c>
      <c r="R1065" s="6" t="s">
        <v>34</v>
      </c>
      <c r="S1065" s="6" t="s">
        <v>54</v>
      </c>
      <c r="T1065" s="6" t="s">
        <v>29</v>
      </c>
      <c r="U1065" s="6" t="s">
        <v>28</v>
      </c>
      <c r="V1065" s="6" t="s">
        <v>146</v>
      </c>
      <c r="W1065" t="s">
        <v>786</v>
      </c>
    </row>
    <row r="1066" spans="1:23" x14ac:dyDescent="0.3">
      <c r="A1066" s="6" t="s">
        <v>476</v>
      </c>
      <c r="B1066" s="1">
        <v>45783</v>
      </c>
      <c r="C1066" s="6" t="s">
        <v>33</v>
      </c>
      <c r="D1066" s="6" t="s">
        <v>34</v>
      </c>
      <c r="E1066" s="6" t="s">
        <v>41</v>
      </c>
      <c r="F1066" s="6" t="s">
        <v>24</v>
      </c>
      <c r="G1066" s="6" t="s">
        <v>69</v>
      </c>
      <c r="H1066" s="6" t="s">
        <v>48</v>
      </c>
      <c r="I1066" s="6" t="s">
        <v>42</v>
      </c>
      <c r="J1066" s="6" t="s">
        <v>34</v>
      </c>
      <c r="K1066" s="6" t="s">
        <v>48</v>
      </c>
      <c r="L1066" s="6" t="s">
        <v>54</v>
      </c>
      <c r="M1066" s="6" t="s">
        <v>48</v>
      </c>
      <c r="N1066" s="6" t="s">
        <v>28</v>
      </c>
      <c r="O1066" s="6" t="s">
        <v>30</v>
      </c>
      <c r="P1066" s="6" t="s">
        <v>788</v>
      </c>
      <c r="Q1066" s="6" t="s">
        <v>31</v>
      </c>
      <c r="R1066" s="6" t="s">
        <v>34</v>
      </c>
      <c r="S1066" s="6" t="s">
        <v>54</v>
      </c>
      <c r="T1066" s="6" t="s">
        <v>32</v>
      </c>
      <c r="U1066" s="6" t="s">
        <v>28</v>
      </c>
      <c r="V1066" s="6" t="s">
        <v>146</v>
      </c>
      <c r="W1066" t="s">
        <v>786</v>
      </c>
    </row>
    <row r="1067" spans="1:23" x14ac:dyDescent="0.3">
      <c r="A1067" s="6" t="s">
        <v>480</v>
      </c>
      <c r="B1067" s="1">
        <v>45784</v>
      </c>
      <c r="C1067" s="6" t="s">
        <v>33</v>
      </c>
      <c r="D1067" s="6" t="s">
        <v>43</v>
      </c>
      <c r="E1067" s="6" t="s">
        <v>68</v>
      </c>
      <c r="F1067" s="6" t="s">
        <v>24</v>
      </c>
      <c r="G1067" s="6" t="s">
        <v>97</v>
      </c>
      <c r="H1067" s="6" t="s">
        <v>26</v>
      </c>
      <c r="I1067" s="6" t="s">
        <v>45</v>
      </c>
      <c r="J1067" s="6" t="s">
        <v>43</v>
      </c>
      <c r="K1067" s="6" t="s">
        <v>76</v>
      </c>
      <c r="L1067" s="6" t="s">
        <v>54</v>
      </c>
      <c r="M1067" s="6" t="s">
        <v>29</v>
      </c>
      <c r="N1067" s="6" t="s">
        <v>28</v>
      </c>
      <c r="O1067" s="6" t="s">
        <v>26</v>
      </c>
      <c r="P1067" s="6" t="s">
        <v>58</v>
      </c>
      <c r="Q1067" s="6" t="s">
        <v>48</v>
      </c>
      <c r="R1067" s="6" t="s">
        <v>43</v>
      </c>
      <c r="S1067" s="6" t="s">
        <v>54</v>
      </c>
      <c r="T1067" s="6" t="s">
        <v>29</v>
      </c>
      <c r="U1067" s="6" t="s">
        <v>28</v>
      </c>
      <c r="V1067" s="6" t="s">
        <v>82</v>
      </c>
      <c r="W1067" t="s">
        <v>786</v>
      </c>
    </row>
    <row r="1068" spans="1:23" x14ac:dyDescent="0.3">
      <c r="A1068" s="6" t="s">
        <v>481</v>
      </c>
      <c r="B1068" s="1">
        <v>45784</v>
      </c>
      <c r="C1068" s="6" t="s">
        <v>343</v>
      </c>
      <c r="D1068" s="6" t="s">
        <v>22</v>
      </c>
      <c r="E1068" s="6" t="s">
        <v>35</v>
      </c>
      <c r="F1068" s="6" t="s">
        <v>24</v>
      </c>
      <c r="G1068" s="6" t="s">
        <v>46</v>
      </c>
      <c r="H1068" s="6" t="s">
        <v>26</v>
      </c>
      <c r="I1068" s="6" t="s">
        <v>38</v>
      </c>
      <c r="J1068" s="6" t="s">
        <v>22</v>
      </c>
      <c r="K1068" s="6" t="s">
        <v>76</v>
      </c>
      <c r="L1068" s="6" t="s">
        <v>54</v>
      </c>
      <c r="M1068" s="6" t="s">
        <v>32</v>
      </c>
      <c r="N1068" s="6" t="s">
        <v>28</v>
      </c>
      <c r="O1068" s="6" t="s">
        <v>48</v>
      </c>
      <c r="P1068" s="6" t="s">
        <v>38</v>
      </c>
      <c r="Q1068" s="6" t="s">
        <v>48</v>
      </c>
      <c r="R1068" s="6" t="s">
        <v>22</v>
      </c>
      <c r="S1068" s="6" t="s">
        <v>54</v>
      </c>
      <c r="T1068" s="6" t="s">
        <v>48</v>
      </c>
      <c r="U1068" s="6" t="s">
        <v>28</v>
      </c>
      <c r="V1068" s="6" t="s">
        <v>82</v>
      </c>
      <c r="W1068" t="s">
        <v>786</v>
      </c>
    </row>
    <row r="1069" spans="1:23" x14ac:dyDescent="0.3">
      <c r="A1069" s="6" t="s">
        <v>482</v>
      </c>
      <c r="B1069" s="1">
        <v>45785</v>
      </c>
      <c r="C1069" s="6" t="s">
        <v>343</v>
      </c>
      <c r="D1069" s="6" t="s">
        <v>22</v>
      </c>
      <c r="E1069" s="6" t="s">
        <v>68</v>
      </c>
      <c r="F1069" s="6" t="s">
        <v>24</v>
      </c>
      <c r="G1069" s="6" t="s">
        <v>107</v>
      </c>
      <c r="H1069" s="6" t="s">
        <v>26</v>
      </c>
      <c r="I1069" s="6" t="s">
        <v>27</v>
      </c>
      <c r="J1069" s="6" t="s">
        <v>22</v>
      </c>
      <c r="K1069" s="6" t="s">
        <v>48</v>
      </c>
      <c r="L1069" s="6" t="s">
        <v>54</v>
      </c>
      <c r="M1069" s="6" t="s">
        <v>29</v>
      </c>
      <c r="N1069" s="6" t="s">
        <v>28</v>
      </c>
      <c r="O1069" s="6" t="s">
        <v>48</v>
      </c>
      <c r="P1069" s="6" t="s">
        <v>48</v>
      </c>
      <c r="Q1069" s="6" t="s">
        <v>48</v>
      </c>
      <c r="R1069" s="6" t="s">
        <v>22</v>
      </c>
      <c r="S1069" s="6" t="s">
        <v>54</v>
      </c>
      <c r="T1069" s="6" t="s">
        <v>48</v>
      </c>
      <c r="U1069" s="6" t="s">
        <v>121</v>
      </c>
      <c r="V1069" s="6" t="s">
        <v>146</v>
      </c>
      <c r="W1069" t="s">
        <v>786</v>
      </c>
    </row>
    <row r="1070" spans="1:23" x14ac:dyDescent="0.3">
      <c r="A1070" s="6" t="s">
        <v>483</v>
      </c>
      <c r="B1070" s="1">
        <v>45786</v>
      </c>
      <c r="C1070" s="6" t="s">
        <v>343</v>
      </c>
      <c r="D1070" s="6" t="s">
        <v>125</v>
      </c>
      <c r="E1070" s="6" t="s">
        <v>64</v>
      </c>
      <c r="F1070" s="6" t="s">
        <v>24</v>
      </c>
      <c r="G1070" s="6" t="s">
        <v>86</v>
      </c>
      <c r="H1070" s="6" t="s">
        <v>26</v>
      </c>
      <c r="I1070" s="6" t="s">
        <v>58</v>
      </c>
      <c r="J1070" s="6" t="s">
        <v>125</v>
      </c>
      <c r="K1070" s="6" t="s">
        <v>48</v>
      </c>
      <c r="L1070" s="6" t="s">
        <v>54</v>
      </c>
      <c r="M1070" s="6" t="s">
        <v>55</v>
      </c>
      <c r="N1070" s="6" t="s">
        <v>28</v>
      </c>
      <c r="O1070" s="6" t="s">
        <v>48</v>
      </c>
      <c r="P1070" s="6" t="s">
        <v>48</v>
      </c>
      <c r="Q1070" s="6" t="s">
        <v>48</v>
      </c>
      <c r="R1070" s="6" t="s">
        <v>49</v>
      </c>
      <c r="S1070" s="6" t="s">
        <v>54</v>
      </c>
      <c r="T1070" s="6" t="s">
        <v>48</v>
      </c>
      <c r="U1070" s="6" t="s">
        <v>56</v>
      </c>
      <c r="V1070" s="6" t="s">
        <v>82</v>
      </c>
      <c r="W1070" t="s">
        <v>786</v>
      </c>
    </row>
    <row r="1071" spans="1:23" x14ac:dyDescent="0.3">
      <c r="A1071" s="6" t="s">
        <v>484</v>
      </c>
      <c r="B1071" s="1">
        <v>45786</v>
      </c>
      <c r="C1071" s="6" t="s">
        <v>90</v>
      </c>
      <c r="D1071" s="6" t="s">
        <v>22</v>
      </c>
      <c r="E1071" s="6" t="s">
        <v>23</v>
      </c>
      <c r="F1071" s="6" t="s">
        <v>24</v>
      </c>
      <c r="G1071" s="6" t="s">
        <v>86</v>
      </c>
      <c r="H1071" s="6" t="s">
        <v>26</v>
      </c>
      <c r="I1071" s="6" t="s">
        <v>100</v>
      </c>
      <c r="J1071" s="6" t="s">
        <v>22</v>
      </c>
      <c r="K1071" s="6" t="s">
        <v>53</v>
      </c>
      <c r="L1071" s="6" t="s">
        <v>54</v>
      </c>
      <c r="M1071" s="6" t="s">
        <v>48</v>
      </c>
      <c r="N1071" s="6" t="s">
        <v>28</v>
      </c>
      <c r="O1071" s="6" t="s">
        <v>48</v>
      </c>
      <c r="P1071" s="6" t="s">
        <v>48</v>
      </c>
      <c r="Q1071" s="6" t="s">
        <v>48</v>
      </c>
      <c r="R1071" s="6" t="s">
        <v>22</v>
      </c>
      <c r="S1071" s="6" t="s">
        <v>54</v>
      </c>
      <c r="T1071" s="6" t="s">
        <v>48</v>
      </c>
      <c r="U1071" s="6" t="s">
        <v>127</v>
      </c>
      <c r="V1071" s="6" t="s">
        <v>137</v>
      </c>
      <c r="W1071" t="s">
        <v>786</v>
      </c>
    </row>
    <row r="1072" spans="1:23" x14ac:dyDescent="0.3">
      <c r="A1072" s="6" t="s">
        <v>485</v>
      </c>
      <c r="B1072" s="1">
        <v>45786</v>
      </c>
      <c r="C1072" s="6" t="s">
        <v>90</v>
      </c>
      <c r="D1072" s="6" t="s">
        <v>22</v>
      </c>
      <c r="E1072" s="6" t="s">
        <v>23</v>
      </c>
      <c r="F1072" s="6" t="s">
        <v>24</v>
      </c>
      <c r="G1072" s="6" t="s">
        <v>86</v>
      </c>
      <c r="H1072" s="6" t="s">
        <v>26</v>
      </c>
      <c r="I1072" s="6" t="s">
        <v>100</v>
      </c>
      <c r="J1072" s="6" t="s">
        <v>22</v>
      </c>
      <c r="K1072" s="6" t="s">
        <v>53</v>
      </c>
      <c r="L1072" s="6" t="s">
        <v>54</v>
      </c>
      <c r="M1072" s="6" t="s">
        <v>48</v>
      </c>
      <c r="N1072" s="6" t="s">
        <v>28</v>
      </c>
      <c r="O1072" s="6" t="s">
        <v>48</v>
      </c>
      <c r="P1072" s="6" t="s">
        <v>48</v>
      </c>
      <c r="Q1072" s="6" t="s">
        <v>48</v>
      </c>
      <c r="R1072" s="6" t="s">
        <v>22</v>
      </c>
      <c r="S1072" s="6" t="s">
        <v>54</v>
      </c>
      <c r="T1072" s="6" t="s">
        <v>48</v>
      </c>
      <c r="U1072" s="6" t="s">
        <v>127</v>
      </c>
      <c r="V1072" s="6" t="s">
        <v>82</v>
      </c>
      <c r="W1072" t="s">
        <v>786</v>
      </c>
    </row>
    <row r="1073" spans="1:23" x14ac:dyDescent="0.3">
      <c r="A1073" s="6" t="s">
        <v>485</v>
      </c>
      <c r="B1073" s="1">
        <v>45786</v>
      </c>
      <c r="C1073" s="6" t="s">
        <v>90</v>
      </c>
      <c r="D1073" s="6" t="s">
        <v>22</v>
      </c>
      <c r="E1073" s="6" t="s">
        <v>23</v>
      </c>
      <c r="F1073" s="6" t="s">
        <v>24</v>
      </c>
      <c r="G1073" s="6" t="s">
        <v>86</v>
      </c>
      <c r="H1073" s="6" t="s">
        <v>26</v>
      </c>
      <c r="I1073" s="6" t="s">
        <v>100</v>
      </c>
      <c r="J1073" s="6" t="s">
        <v>22</v>
      </c>
      <c r="K1073" s="6" t="s">
        <v>53</v>
      </c>
      <c r="L1073" s="6" t="s">
        <v>54</v>
      </c>
      <c r="M1073" s="6" t="s">
        <v>48</v>
      </c>
      <c r="N1073" s="6" t="s">
        <v>28</v>
      </c>
      <c r="O1073" s="6" t="s">
        <v>48</v>
      </c>
      <c r="P1073" s="6" t="s">
        <v>48</v>
      </c>
      <c r="Q1073" s="6" t="s">
        <v>48</v>
      </c>
      <c r="R1073" s="6" t="s">
        <v>22</v>
      </c>
      <c r="S1073" s="6" t="s">
        <v>54</v>
      </c>
      <c r="T1073" s="6" t="s">
        <v>48</v>
      </c>
      <c r="U1073" s="6" t="s">
        <v>127</v>
      </c>
      <c r="V1073" s="6" t="s">
        <v>137</v>
      </c>
      <c r="W1073" t="s">
        <v>786</v>
      </c>
    </row>
    <row r="1074" spans="1:23" x14ac:dyDescent="0.3">
      <c r="A1074" s="6" t="s">
        <v>484</v>
      </c>
      <c r="B1074" s="1">
        <v>45786</v>
      </c>
      <c r="C1074" s="6" t="s">
        <v>90</v>
      </c>
      <c r="D1074" s="6" t="s">
        <v>22</v>
      </c>
      <c r="E1074" s="6" t="s">
        <v>23</v>
      </c>
      <c r="F1074" s="6" t="s">
        <v>24</v>
      </c>
      <c r="G1074" s="6" t="s">
        <v>86</v>
      </c>
      <c r="H1074" s="6" t="s">
        <v>26</v>
      </c>
      <c r="I1074" s="6" t="s">
        <v>100</v>
      </c>
      <c r="J1074" s="6" t="s">
        <v>22</v>
      </c>
      <c r="K1074" s="6" t="s">
        <v>53</v>
      </c>
      <c r="L1074" s="6" t="s">
        <v>54</v>
      </c>
      <c r="M1074" s="6" t="s">
        <v>48</v>
      </c>
      <c r="N1074" s="6" t="s">
        <v>28</v>
      </c>
      <c r="O1074" s="6" t="s">
        <v>48</v>
      </c>
      <c r="P1074" s="6" t="s">
        <v>48</v>
      </c>
      <c r="Q1074" s="6" t="s">
        <v>48</v>
      </c>
      <c r="R1074" s="6" t="s">
        <v>22</v>
      </c>
      <c r="S1074" s="6" t="s">
        <v>54</v>
      </c>
      <c r="T1074" s="6" t="s">
        <v>48</v>
      </c>
      <c r="U1074" s="6" t="s">
        <v>127</v>
      </c>
      <c r="V1074" s="6" t="s">
        <v>82</v>
      </c>
      <c r="W1074" t="s">
        <v>786</v>
      </c>
    </row>
    <row r="1075" spans="1:23" x14ac:dyDescent="0.3">
      <c r="A1075" s="6" t="s">
        <v>486</v>
      </c>
      <c r="B1075" s="1">
        <v>45786</v>
      </c>
      <c r="C1075" s="6" t="s">
        <v>57</v>
      </c>
      <c r="D1075" s="6" t="s">
        <v>43</v>
      </c>
      <c r="E1075" s="6" t="s">
        <v>64</v>
      </c>
      <c r="F1075" s="6" t="s">
        <v>24</v>
      </c>
      <c r="G1075" s="6" t="s">
        <v>145</v>
      </c>
      <c r="H1075" s="6" t="s">
        <v>26</v>
      </c>
      <c r="I1075" s="6" t="s">
        <v>38</v>
      </c>
      <c r="J1075" s="6" t="s">
        <v>43</v>
      </c>
      <c r="K1075" s="6" t="s">
        <v>48</v>
      </c>
      <c r="L1075" s="6" t="s">
        <v>152</v>
      </c>
      <c r="M1075" s="6" t="s">
        <v>32</v>
      </c>
      <c r="N1075" s="6" t="s">
        <v>28</v>
      </c>
      <c r="O1075" s="6" t="s">
        <v>26</v>
      </c>
      <c r="P1075" s="6" t="s">
        <v>42</v>
      </c>
      <c r="Q1075" s="6" t="s">
        <v>31</v>
      </c>
      <c r="R1075" s="6" t="s">
        <v>43</v>
      </c>
      <c r="S1075" s="6" t="s">
        <v>128</v>
      </c>
      <c r="T1075" s="6" t="s">
        <v>29</v>
      </c>
      <c r="U1075" s="6" t="s">
        <v>28</v>
      </c>
      <c r="V1075" s="6" t="s">
        <v>146</v>
      </c>
      <c r="W1075" t="s">
        <v>786</v>
      </c>
    </row>
    <row r="1076" spans="1:23" x14ac:dyDescent="0.3">
      <c r="A1076" s="6" t="s">
        <v>486</v>
      </c>
      <c r="B1076" s="1">
        <v>45786</v>
      </c>
      <c r="C1076" s="6" t="s">
        <v>57</v>
      </c>
      <c r="D1076" s="6" t="s">
        <v>43</v>
      </c>
      <c r="E1076" s="6" t="s">
        <v>64</v>
      </c>
      <c r="F1076" s="6" t="s">
        <v>24</v>
      </c>
      <c r="G1076" s="6" t="s">
        <v>145</v>
      </c>
      <c r="H1076" s="6" t="s">
        <v>26</v>
      </c>
      <c r="I1076" s="6" t="s">
        <v>38</v>
      </c>
      <c r="J1076" s="6" t="s">
        <v>43</v>
      </c>
      <c r="K1076" s="6" t="s">
        <v>48</v>
      </c>
      <c r="L1076" s="6" t="s">
        <v>152</v>
      </c>
      <c r="M1076" s="6" t="s">
        <v>32</v>
      </c>
      <c r="N1076" s="6" t="s">
        <v>28</v>
      </c>
      <c r="O1076" s="6" t="s">
        <v>26</v>
      </c>
      <c r="P1076" s="6" t="s">
        <v>42</v>
      </c>
      <c r="Q1076" s="6" t="s">
        <v>31</v>
      </c>
      <c r="R1076" s="6" t="s">
        <v>43</v>
      </c>
      <c r="S1076" s="6" t="s">
        <v>128</v>
      </c>
      <c r="T1076" s="6" t="s">
        <v>29</v>
      </c>
      <c r="U1076" s="6" t="s">
        <v>28</v>
      </c>
      <c r="V1076" s="6" t="s">
        <v>82</v>
      </c>
      <c r="W1076" t="s">
        <v>786</v>
      </c>
    </row>
    <row r="1077" spans="1:23" x14ac:dyDescent="0.3">
      <c r="A1077" s="6" t="s">
        <v>487</v>
      </c>
      <c r="B1077" s="1">
        <v>45787</v>
      </c>
      <c r="C1077" s="6" t="s">
        <v>57</v>
      </c>
      <c r="D1077" s="6" t="s">
        <v>122</v>
      </c>
      <c r="E1077" s="6" t="s">
        <v>46</v>
      </c>
      <c r="F1077" s="6" t="s">
        <v>24</v>
      </c>
      <c r="G1077" s="6" t="s">
        <v>61</v>
      </c>
      <c r="H1077" s="6" t="s">
        <v>26</v>
      </c>
      <c r="I1077" s="6" t="s">
        <v>52</v>
      </c>
      <c r="J1077" s="6" t="s">
        <v>122</v>
      </c>
      <c r="K1077" s="6" t="s">
        <v>141</v>
      </c>
      <c r="L1077" s="6" t="s">
        <v>54</v>
      </c>
      <c r="M1077" s="6" t="s">
        <v>29</v>
      </c>
      <c r="N1077" s="6" t="s">
        <v>28</v>
      </c>
      <c r="O1077" s="6" t="s">
        <v>48</v>
      </c>
      <c r="P1077" s="6" t="s">
        <v>48</v>
      </c>
      <c r="Q1077" s="6" t="s">
        <v>48</v>
      </c>
      <c r="R1077" s="6" t="s">
        <v>122</v>
      </c>
      <c r="S1077" s="6" t="s">
        <v>54</v>
      </c>
      <c r="T1077" s="6" t="s">
        <v>48</v>
      </c>
      <c r="U1077" s="6" t="s">
        <v>123</v>
      </c>
      <c r="V1077" s="6" t="s">
        <v>82</v>
      </c>
      <c r="W1077" t="s">
        <v>786</v>
      </c>
    </row>
    <row r="1078" spans="1:23" x14ac:dyDescent="0.3">
      <c r="A1078" s="6" t="s">
        <v>488</v>
      </c>
      <c r="B1078" s="1">
        <v>45788</v>
      </c>
      <c r="C1078" s="6" t="s">
        <v>84</v>
      </c>
      <c r="D1078" s="6" t="s">
        <v>22</v>
      </c>
      <c r="E1078" s="6" t="s">
        <v>68</v>
      </c>
      <c r="F1078" s="6" t="s">
        <v>24</v>
      </c>
      <c r="G1078" s="6" t="s">
        <v>61</v>
      </c>
      <c r="H1078" s="6" t="s">
        <v>26</v>
      </c>
      <c r="I1078" s="6" t="s">
        <v>38</v>
      </c>
      <c r="J1078" s="6" t="s">
        <v>22</v>
      </c>
      <c r="K1078" s="6" t="s">
        <v>48</v>
      </c>
      <c r="L1078" s="6" t="s">
        <v>54</v>
      </c>
      <c r="M1078" s="6" t="s">
        <v>32</v>
      </c>
      <c r="N1078" s="6" t="s">
        <v>28</v>
      </c>
      <c r="O1078" s="6" t="s">
        <v>30</v>
      </c>
      <c r="P1078" s="6" t="s">
        <v>27</v>
      </c>
      <c r="Q1078" s="6" t="s">
        <v>31</v>
      </c>
      <c r="R1078" s="6" t="s">
        <v>49</v>
      </c>
      <c r="S1078" s="6" t="s">
        <v>54</v>
      </c>
      <c r="T1078" s="6" t="s">
        <v>32</v>
      </c>
      <c r="U1078" s="6" t="s">
        <v>28</v>
      </c>
      <c r="V1078" s="6" t="s">
        <v>82</v>
      </c>
      <c r="W1078" t="s">
        <v>786</v>
      </c>
    </row>
    <row r="1079" spans="1:23" x14ac:dyDescent="0.3">
      <c r="A1079" s="6" t="s">
        <v>489</v>
      </c>
      <c r="B1079" s="1">
        <v>45788</v>
      </c>
      <c r="C1079" s="6" t="s">
        <v>343</v>
      </c>
      <c r="D1079" s="6" t="s">
        <v>22</v>
      </c>
      <c r="E1079" s="6" t="s">
        <v>68</v>
      </c>
      <c r="F1079" s="6" t="s">
        <v>24</v>
      </c>
      <c r="G1079" s="6" t="s">
        <v>61</v>
      </c>
      <c r="H1079" s="6" t="s">
        <v>26</v>
      </c>
      <c r="I1079" s="6" t="s">
        <v>27</v>
      </c>
      <c r="J1079" s="6" t="s">
        <v>43</v>
      </c>
      <c r="K1079" s="6" t="s">
        <v>48</v>
      </c>
      <c r="L1079" s="6" t="s">
        <v>152</v>
      </c>
      <c r="M1079" s="6" t="s">
        <v>55</v>
      </c>
      <c r="N1079" s="6" t="s">
        <v>28</v>
      </c>
      <c r="O1079" s="6" t="s">
        <v>26</v>
      </c>
      <c r="P1079" s="6" t="s">
        <v>48</v>
      </c>
      <c r="Q1079" s="6" t="s">
        <v>48</v>
      </c>
      <c r="R1079" s="6" t="s">
        <v>22</v>
      </c>
      <c r="S1079" s="6" t="s">
        <v>54</v>
      </c>
      <c r="T1079" s="6" t="s">
        <v>48</v>
      </c>
      <c r="U1079" s="6" t="s">
        <v>28</v>
      </c>
      <c r="V1079" s="6" t="s">
        <v>137</v>
      </c>
      <c r="W1079" t="s">
        <v>786</v>
      </c>
    </row>
    <row r="1080" spans="1:23" x14ac:dyDescent="0.3">
      <c r="A1080" s="6" t="s">
        <v>490</v>
      </c>
      <c r="B1080" s="1">
        <v>45788</v>
      </c>
      <c r="C1080" s="6" t="s">
        <v>39</v>
      </c>
      <c r="D1080" s="6" t="s">
        <v>43</v>
      </c>
      <c r="E1080" s="6" t="s">
        <v>35</v>
      </c>
      <c r="F1080" s="6" t="s">
        <v>24</v>
      </c>
      <c r="G1080" s="6" t="s">
        <v>36</v>
      </c>
      <c r="H1080" s="6" t="s">
        <v>26</v>
      </c>
      <c r="I1080" s="6" t="s">
        <v>27</v>
      </c>
      <c r="J1080" s="6" t="s">
        <v>43</v>
      </c>
      <c r="K1080" s="6" t="s">
        <v>53</v>
      </c>
      <c r="L1080" s="6" t="s">
        <v>152</v>
      </c>
      <c r="M1080" s="6" t="s">
        <v>29</v>
      </c>
      <c r="N1080" s="6" t="s">
        <v>28</v>
      </c>
      <c r="O1080" s="6" t="s">
        <v>26</v>
      </c>
      <c r="P1080" s="6" t="s">
        <v>42</v>
      </c>
      <c r="Q1080" s="6" t="s">
        <v>48</v>
      </c>
      <c r="R1080" s="6" t="s">
        <v>43</v>
      </c>
      <c r="S1080" s="6" t="s">
        <v>704</v>
      </c>
      <c r="T1080" s="6" t="s">
        <v>55</v>
      </c>
      <c r="U1080" s="6" t="s">
        <v>28</v>
      </c>
      <c r="V1080" s="6" t="s">
        <v>82</v>
      </c>
      <c r="W1080" t="s">
        <v>786</v>
      </c>
    </row>
    <row r="1081" spans="1:23" x14ac:dyDescent="0.3">
      <c r="A1081" s="6" t="s">
        <v>492</v>
      </c>
      <c r="B1081" s="1">
        <v>45789</v>
      </c>
      <c r="C1081" s="6" t="s">
        <v>343</v>
      </c>
      <c r="D1081" s="6" t="s">
        <v>67</v>
      </c>
      <c r="E1081" s="6" t="s">
        <v>68</v>
      </c>
      <c r="F1081" s="6" t="s">
        <v>24</v>
      </c>
      <c r="G1081" s="6" t="s">
        <v>61</v>
      </c>
      <c r="H1081" s="6" t="s">
        <v>26</v>
      </c>
      <c r="I1081" s="6" t="s">
        <v>48</v>
      </c>
      <c r="J1081" s="6" t="s">
        <v>49</v>
      </c>
      <c r="K1081" s="6" t="s">
        <v>48</v>
      </c>
      <c r="L1081" s="6" t="s">
        <v>54</v>
      </c>
      <c r="M1081" s="6" t="s">
        <v>48</v>
      </c>
      <c r="N1081" s="6" t="s">
        <v>28</v>
      </c>
      <c r="O1081" s="6" t="s">
        <v>26</v>
      </c>
      <c r="P1081" s="6" t="s">
        <v>58</v>
      </c>
      <c r="Q1081" s="6" t="s">
        <v>48</v>
      </c>
      <c r="R1081" s="6" t="s">
        <v>49</v>
      </c>
      <c r="S1081" s="6" t="s">
        <v>54</v>
      </c>
      <c r="T1081" s="6" t="s">
        <v>48</v>
      </c>
      <c r="U1081" s="6" t="s">
        <v>28</v>
      </c>
      <c r="V1081" s="6" t="s">
        <v>82</v>
      </c>
      <c r="W1081" t="s">
        <v>786</v>
      </c>
    </row>
    <row r="1082" spans="1:23" x14ac:dyDescent="0.3">
      <c r="A1082" s="6" t="s">
        <v>491</v>
      </c>
      <c r="B1082" s="1">
        <v>45789</v>
      </c>
      <c r="C1082" s="6" t="s">
        <v>343</v>
      </c>
      <c r="D1082" s="6" t="s">
        <v>67</v>
      </c>
      <c r="E1082" s="6" t="s">
        <v>68</v>
      </c>
      <c r="F1082" s="6" t="s">
        <v>24</v>
      </c>
      <c r="G1082" s="6" t="s">
        <v>61</v>
      </c>
      <c r="H1082" s="6" t="s">
        <v>26</v>
      </c>
      <c r="I1082" s="6" t="s">
        <v>48</v>
      </c>
      <c r="J1082" s="6" t="s">
        <v>49</v>
      </c>
      <c r="K1082" s="6" t="s">
        <v>48</v>
      </c>
      <c r="L1082" s="6" t="s">
        <v>54</v>
      </c>
      <c r="M1082" s="6" t="s">
        <v>48</v>
      </c>
      <c r="N1082" s="6" t="s">
        <v>28</v>
      </c>
      <c r="O1082" s="6" t="s">
        <v>26</v>
      </c>
      <c r="P1082" s="6" t="s">
        <v>42</v>
      </c>
      <c r="Q1082" s="6" t="s">
        <v>31</v>
      </c>
      <c r="R1082" s="6" t="s">
        <v>49</v>
      </c>
      <c r="S1082" s="6" t="s">
        <v>54</v>
      </c>
      <c r="T1082" s="6" t="s">
        <v>48</v>
      </c>
      <c r="U1082" s="6" t="s">
        <v>28</v>
      </c>
      <c r="V1082" s="6" t="s">
        <v>82</v>
      </c>
      <c r="W1082" t="s">
        <v>786</v>
      </c>
    </row>
    <row r="1083" spans="1:23" x14ac:dyDescent="0.3">
      <c r="A1083" s="6" t="s">
        <v>493</v>
      </c>
      <c r="B1083" s="1">
        <v>45789</v>
      </c>
      <c r="C1083" s="6" t="s">
        <v>343</v>
      </c>
      <c r="D1083" s="6" t="s">
        <v>67</v>
      </c>
      <c r="E1083" s="6" t="s">
        <v>68</v>
      </c>
      <c r="F1083" s="6" t="s">
        <v>24</v>
      </c>
      <c r="G1083" s="6" t="s">
        <v>61</v>
      </c>
      <c r="H1083" s="6" t="s">
        <v>26</v>
      </c>
      <c r="I1083" s="6" t="s">
        <v>48</v>
      </c>
      <c r="J1083" s="6" t="s">
        <v>49</v>
      </c>
      <c r="K1083" s="6" t="s">
        <v>48</v>
      </c>
      <c r="L1083" s="6" t="s">
        <v>54</v>
      </c>
      <c r="M1083" s="6" t="s">
        <v>48</v>
      </c>
      <c r="N1083" s="6" t="s">
        <v>28</v>
      </c>
      <c r="O1083" s="6" t="s">
        <v>26</v>
      </c>
      <c r="P1083" s="6" t="s">
        <v>58</v>
      </c>
      <c r="Q1083" s="6" t="s">
        <v>31</v>
      </c>
      <c r="R1083" s="6" t="s">
        <v>49</v>
      </c>
      <c r="S1083" s="6" t="s">
        <v>54</v>
      </c>
      <c r="T1083" s="6" t="s">
        <v>48</v>
      </c>
      <c r="U1083" s="6" t="s">
        <v>28</v>
      </c>
      <c r="V1083" s="6" t="s">
        <v>82</v>
      </c>
      <c r="W1083" t="s">
        <v>786</v>
      </c>
    </row>
    <row r="1084" spans="1:23" x14ac:dyDescent="0.3">
      <c r="A1084" s="6" t="s">
        <v>494</v>
      </c>
      <c r="B1084" s="1">
        <v>45789</v>
      </c>
      <c r="C1084" s="6" t="s">
        <v>33</v>
      </c>
      <c r="D1084" s="6" t="s">
        <v>34</v>
      </c>
      <c r="E1084" s="6" t="s">
        <v>68</v>
      </c>
      <c r="F1084" s="6" t="s">
        <v>24</v>
      </c>
      <c r="G1084" s="6" t="s">
        <v>69</v>
      </c>
      <c r="H1084" s="6" t="s">
        <v>48</v>
      </c>
      <c r="I1084" s="6" t="s">
        <v>52</v>
      </c>
      <c r="J1084" s="6" t="s">
        <v>34</v>
      </c>
      <c r="K1084" s="6" t="s">
        <v>48</v>
      </c>
      <c r="L1084" s="6" t="s">
        <v>151</v>
      </c>
      <c r="M1084" s="6" t="s">
        <v>48</v>
      </c>
      <c r="N1084" s="6" t="s">
        <v>28</v>
      </c>
      <c r="O1084" s="6" t="s">
        <v>30</v>
      </c>
      <c r="P1084" s="6" t="s">
        <v>788</v>
      </c>
      <c r="Q1084" s="6" t="s">
        <v>48</v>
      </c>
      <c r="R1084" s="6" t="s">
        <v>34</v>
      </c>
      <c r="S1084" s="6" t="s">
        <v>54</v>
      </c>
      <c r="T1084" s="6" t="s">
        <v>32</v>
      </c>
      <c r="U1084" s="6" t="s">
        <v>28</v>
      </c>
      <c r="V1084" s="6" t="s">
        <v>82</v>
      </c>
      <c r="W1084" t="s">
        <v>786</v>
      </c>
    </row>
    <row r="1085" spans="1:23" x14ac:dyDescent="0.3">
      <c r="A1085" s="6" t="s">
        <v>495</v>
      </c>
      <c r="B1085" s="1">
        <v>45789</v>
      </c>
      <c r="C1085" s="6" t="s">
        <v>33</v>
      </c>
      <c r="D1085" s="6" t="s">
        <v>22</v>
      </c>
      <c r="E1085" s="6" t="s">
        <v>64</v>
      </c>
      <c r="F1085" s="6" t="s">
        <v>24</v>
      </c>
      <c r="G1085" s="6" t="s">
        <v>69</v>
      </c>
      <c r="H1085" s="6" t="s">
        <v>26</v>
      </c>
      <c r="I1085" s="6" t="s">
        <v>52</v>
      </c>
      <c r="J1085" s="6" t="s">
        <v>22</v>
      </c>
      <c r="K1085" s="6" t="s">
        <v>48</v>
      </c>
      <c r="L1085" s="6" t="s">
        <v>54</v>
      </c>
      <c r="M1085" s="6" t="s">
        <v>29</v>
      </c>
      <c r="N1085" s="6" t="s">
        <v>28</v>
      </c>
      <c r="O1085" s="6" t="s">
        <v>26</v>
      </c>
      <c r="P1085" s="6" t="s">
        <v>48</v>
      </c>
      <c r="Q1085" s="6" t="s">
        <v>48</v>
      </c>
      <c r="R1085" s="6" t="s">
        <v>22</v>
      </c>
      <c r="S1085" s="6" t="s">
        <v>54</v>
      </c>
      <c r="T1085" s="6" t="s">
        <v>48</v>
      </c>
      <c r="U1085" s="6" t="s">
        <v>28</v>
      </c>
      <c r="V1085" s="6" t="s">
        <v>82</v>
      </c>
      <c r="W1085" t="s">
        <v>786</v>
      </c>
    </row>
    <row r="1086" spans="1:23" x14ac:dyDescent="0.3">
      <c r="A1086" s="6" t="s">
        <v>496</v>
      </c>
      <c r="B1086" s="1">
        <v>45790</v>
      </c>
      <c r="C1086" s="6" t="s">
        <v>39</v>
      </c>
      <c r="D1086" s="6" t="s">
        <v>83</v>
      </c>
      <c r="E1086" s="6" t="s">
        <v>68</v>
      </c>
      <c r="F1086" s="6" t="s">
        <v>24</v>
      </c>
      <c r="G1086" s="6" t="s">
        <v>86</v>
      </c>
      <c r="H1086" s="6" t="s">
        <v>26</v>
      </c>
      <c r="I1086" s="6" t="s">
        <v>38</v>
      </c>
      <c r="J1086" s="6" t="s">
        <v>83</v>
      </c>
      <c r="K1086" s="6" t="s">
        <v>48</v>
      </c>
      <c r="L1086" s="6" t="s">
        <v>54</v>
      </c>
      <c r="M1086" s="6" t="s">
        <v>29</v>
      </c>
      <c r="N1086" s="6" t="s">
        <v>28</v>
      </c>
      <c r="O1086" s="6" t="s">
        <v>48</v>
      </c>
      <c r="P1086" s="6" t="s">
        <v>48</v>
      </c>
      <c r="Q1086" s="6" t="s">
        <v>48</v>
      </c>
      <c r="R1086" s="6" t="s">
        <v>83</v>
      </c>
      <c r="S1086" s="6" t="s">
        <v>54</v>
      </c>
      <c r="T1086" s="6" t="s">
        <v>48</v>
      </c>
      <c r="U1086" s="6" t="s">
        <v>59</v>
      </c>
      <c r="V1086" s="6" t="s">
        <v>137</v>
      </c>
      <c r="W1086" t="s">
        <v>786</v>
      </c>
    </row>
    <row r="1087" spans="1:23" x14ac:dyDescent="0.3">
      <c r="A1087" s="6" t="s">
        <v>496</v>
      </c>
      <c r="B1087" s="1">
        <v>45790</v>
      </c>
      <c r="C1087" s="6" t="s">
        <v>39</v>
      </c>
      <c r="D1087" s="6" t="s">
        <v>83</v>
      </c>
      <c r="E1087" s="6" t="s">
        <v>68</v>
      </c>
      <c r="F1087" s="6" t="s">
        <v>24</v>
      </c>
      <c r="G1087" s="6" t="s">
        <v>86</v>
      </c>
      <c r="H1087" s="6" t="s">
        <v>26</v>
      </c>
      <c r="I1087" s="6" t="s">
        <v>38</v>
      </c>
      <c r="J1087" s="6" t="s">
        <v>83</v>
      </c>
      <c r="K1087" s="6" t="s">
        <v>48</v>
      </c>
      <c r="L1087" s="6" t="s">
        <v>54</v>
      </c>
      <c r="M1087" s="6" t="s">
        <v>29</v>
      </c>
      <c r="N1087" s="6" t="s">
        <v>28</v>
      </c>
      <c r="O1087" s="6" t="s">
        <v>48</v>
      </c>
      <c r="P1087" s="6" t="s">
        <v>48</v>
      </c>
      <c r="Q1087" s="6" t="s">
        <v>48</v>
      </c>
      <c r="R1087" s="6" t="s">
        <v>83</v>
      </c>
      <c r="S1087" s="6" t="s">
        <v>54</v>
      </c>
      <c r="T1087" s="6" t="s">
        <v>48</v>
      </c>
      <c r="U1087" s="6" t="s">
        <v>59</v>
      </c>
      <c r="V1087" s="6" t="s">
        <v>82</v>
      </c>
      <c r="W1087" t="s">
        <v>786</v>
      </c>
    </row>
    <row r="1088" spans="1:23" x14ac:dyDescent="0.3">
      <c r="A1088" s="6" t="s">
        <v>497</v>
      </c>
      <c r="B1088" s="1">
        <v>45790</v>
      </c>
      <c r="C1088" s="6" t="s">
        <v>33</v>
      </c>
      <c r="D1088" s="6" t="s">
        <v>83</v>
      </c>
      <c r="E1088" s="6" t="s">
        <v>35</v>
      </c>
      <c r="F1088" s="6" t="s">
        <v>24</v>
      </c>
      <c r="G1088" s="6" t="s">
        <v>71</v>
      </c>
      <c r="H1088" s="6" t="s">
        <v>26</v>
      </c>
      <c r="I1088" s="6" t="s">
        <v>42</v>
      </c>
      <c r="J1088" s="6" t="s">
        <v>83</v>
      </c>
      <c r="K1088" s="6" t="s">
        <v>48</v>
      </c>
      <c r="L1088" s="6" t="s">
        <v>152</v>
      </c>
      <c r="M1088" s="6" t="s">
        <v>29</v>
      </c>
      <c r="N1088" s="6" t="s">
        <v>28</v>
      </c>
      <c r="O1088" s="6" t="s">
        <v>26</v>
      </c>
      <c r="P1088" s="6" t="s">
        <v>42</v>
      </c>
      <c r="Q1088" s="6" t="s">
        <v>31</v>
      </c>
      <c r="R1088" s="6" t="s">
        <v>83</v>
      </c>
      <c r="S1088" s="6" t="s">
        <v>54</v>
      </c>
      <c r="T1088" s="6" t="s">
        <v>29</v>
      </c>
      <c r="U1088" s="6" t="s">
        <v>28</v>
      </c>
      <c r="V1088" s="6" t="s">
        <v>82</v>
      </c>
      <c r="W1088" t="s">
        <v>786</v>
      </c>
    </row>
    <row r="1089" spans="1:23" x14ac:dyDescent="0.3">
      <c r="A1089" s="6" t="s">
        <v>498</v>
      </c>
      <c r="B1089" s="1">
        <v>45790</v>
      </c>
      <c r="C1089" s="6" t="s">
        <v>33</v>
      </c>
      <c r="D1089" s="6" t="s">
        <v>83</v>
      </c>
      <c r="E1089" s="6" t="s">
        <v>35</v>
      </c>
      <c r="F1089" s="6" t="s">
        <v>24</v>
      </c>
      <c r="G1089" s="6" t="s">
        <v>71</v>
      </c>
      <c r="H1089" s="6" t="s">
        <v>26</v>
      </c>
      <c r="I1089" s="6" t="s">
        <v>42</v>
      </c>
      <c r="J1089" s="6" t="s">
        <v>83</v>
      </c>
      <c r="K1089" s="6" t="s">
        <v>48</v>
      </c>
      <c r="L1089" s="6" t="s">
        <v>152</v>
      </c>
      <c r="M1089" s="6" t="s">
        <v>29</v>
      </c>
      <c r="N1089" s="6" t="s">
        <v>28</v>
      </c>
      <c r="O1089" s="6" t="s">
        <v>30</v>
      </c>
      <c r="P1089" s="6" t="s">
        <v>45</v>
      </c>
      <c r="Q1089" s="6" t="s">
        <v>31</v>
      </c>
      <c r="R1089" s="6" t="s">
        <v>83</v>
      </c>
      <c r="S1089" s="6" t="s">
        <v>152</v>
      </c>
      <c r="T1089" s="6" t="s">
        <v>32</v>
      </c>
      <c r="U1089" s="6" t="s">
        <v>28</v>
      </c>
      <c r="V1089" s="6" t="s">
        <v>82</v>
      </c>
      <c r="W1089" t="s">
        <v>786</v>
      </c>
    </row>
    <row r="1090" spans="1:23" x14ac:dyDescent="0.3">
      <c r="A1090" s="6" t="s">
        <v>499</v>
      </c>
      <c r="B1090" s="1">
        <v>45790</v>
      </c>
      <c r="C1090" s="6" t="s">
        <v>33</v>
      </c>
      <c r="D1090" s="6" t="s">
        <v>22</v>
      </c>
      <c r="E1090" s="6" t="s">
        <v>68</v>
      </c>
      <c r="F1090" s="6" t="s">
        <v>24</v>
      </c>
      <c r="G1090" s="6" t="s">
        <v>69</v>
      </c>
      <c r="H1090" s="6" t="s">
        <v>26</v>
      </c>
      <c r="I1090" s="6" t="s">
        <v>38</v>
      </c>
      <c r="J1090" s="6" t="s">
        <v>22</v>
      </c>
      <c r="K1090" s="6" t="s">
        <v>48</v>
      </c>
      <c r="L1090" s="6" t="s">
        <v>152</v>
      </c>
      <c r="M1090" s="6" t="s">
        <v>55</v>
      </c>
      <c r="N1090" s="6" t="s">
        <v>28</v>
      </c>
      <c r="O1090" s="6" t="s">
        <v>48</v>
      </c>
      <c r="P1090" s="6" t="s">
        <v>48</v>
      </c>
      <c r="Q1090" s="6" t="s">
        <v>48</v>
      </c>
      <c r="R1090" s="6" t="s">
        <v>22</v>
      </c>
      <c r="S1090" s="6" t="s">
        <v>54</v>
      </c>
      <c r="T1090" s="6" t="s">
        <v>48</v>
      </c>
      <c r="U1090" s="6" t="s">
        <v>28</v>
      </c>
      <c r="V1090" s="6" t="s">
        <v>82</v>
      </c>
      <c r="W1090" t="s">
        <v>786</v>
      </c>
    </row>
    <row r="1091" spans="1:23" x14ac:dyDescent="0.3">
      <c r="A1091" s="6" t="s">
        <v>500</v>
      </c>
      <c r="B1091" s="1">
        <v>45791</v>
      </c>
      <c r="C1091" s="6" t="s">
        <v>343</v>
      </c>
      <c r="D1091" s="6" t="s">
        <v>34</v>
      </c>
      <c r="E1091" s="6" t="s">
        <v>44</v>
      </c>
      <c r="F1091" s="6" t="s">
        <v>24</v>
      </c>
      <c r="G1091" s="6" t="s">
        <v>98</v>
      </c>
      <c r="H1091" s="6" t="s">
        <v>48</v>
      </c>
      <c r="I1091" s="6" t="s">
        <v>42</v>
      </c>
      <c r="J1091" s="6" t="s">
        <v>34</v>
      </c>
      <c r="K1091" s="6" t="s">
        <v>48</v>
      </c>
      <c r="L1091" s="6" t="s">
        <v>54</v>
      </c>
      <c r="M1091" s="6" t="s">
        <v>48</v>
      </c>
      <c r="N1091" s="6" t="s">
        <v>28</v>
      </c>
      <c r="O1091" s="6" t="s">
        <v>48</v>
      </c>
      <c r="P1091" s="6" t="s">
        <v>48</v>
      </c>
      <c r="Q1091" s="6" t="s">
        <v>48</v>
      </c>
      <c r="R1091" s="6" t="s">
        <v>34</v>
      </c>
      <c r="S1091" s="6" t="s">
        <v>54</v>
      </c>
      <c r="T1091" s="6" t="s">
        <v>48</v>
      </c>
      <c r="U1091" s="6" t="s">
        <v>94</v>
      </c>
      <c r="V1091" s="6" t="s">
        <v>137</v>
      </c>
      <c r="W1091" t="s">
        <v>786</v>
      </c>
    </row>
    <row r="1092" spans="1:23" x14ac:dyDescent="0.3">
      <c r="A1092" s="6" t="s">
        <v>502</v>
      </c>
      <c r="B1092" s="1">
        <v>45791</v>
      </c>
      <c r="C1092" s="6" t="s">
        <v>343</v>
      </c>
      <c r="D1092" s="6" t="s">
        <v>34</v>
      </c>
      <c r="E1092" s="6" t="s">
        <v>44</v>
      </c>
      <c r="F1092" s="6" t="s">
        <v>24</v>
      </c>
      <c r="G1092" s="6" t="s">
        <v>98</v>
      </c>
      <c r="H1092" s="6" t="s">
        <v>48</v>
      </c>
      <c r="I1092" s="6" t="s">
        <v>42</v>
      </c>
      <c r="J1092" s="6" t="s">
        <v>34</v>
      </c>
      <c r="K1092" s="6" t="s">
        <v>48</v>
      </c>
      <c r="L1092" s="6" t="s">
        <v>54</v>
      </c>
      <c r="M1092" s="6" t="s">
        <v>48</v>
      </c>
      <c r="N1092" s="6" t="s">
        <v>28</v>
      </c>
      <c r="O1092" s="6" t="s">
        <v>48</v>
      </c>
      <c r="P1092" s="6" t="s">
        <v>48</v>
      </c>
      <c r="Q1092" s="6" t="s">
        <v>48</v>
      </c>
      <c r="R1092" s="6" t="s">
        <v>34</v>
      </c>
      <c r="S1092" s="6" t="s">
        <v>54</v>
      </c>
      <c r="T1092" s="6" t="s">
        <v>48</v>
      </c>
      <c r="U1092" s="6" t="s">
        <v>94</v>
      </c>
      <c r="V1092" s="6" t="s">
        <v>137</v>
      </c>
      <c r="W1092" t="s">
        <v>786</v>
      </c>
    </row>
    <row r="1093" spans="1:23" x14ac:dyDescent="0.3">
      <c r="A1093" s="6" t="s">
        <v>501</v>
      </c>
      <c r="B1093" s="1">
        <v>45791</v>
      </c>
      <c r="C1093" s="6" t="s">
        <v>343</v>
      </c>
      <c r="D1093" s="6" t="s">
        <v>34</v>
      </c>
      <c r="E1093" s="6" t="s">
        <v>44</v>
      </c>
      <c r="F1093" s="6" t="s">
        <v>24</v>
      </c>
      <c r="G1093" s="6" t="s">
        <v>98</v>
      </c>
      <c r="H1093" s="6" t="s">
        <v>48</v>
      </c>
      <c r="I1093" s="6" t="s">
        <v>42</v>
      </c>
      <c r="J1093" s="6" t="s">
        <v>34</v>
      </c>
      <c r="K1093" s="6" t="s">
        <v>48</v>
      </c>
      <c r="L1093" s="6" t="s">
        <v>54</v>
      </c>
      <c r="M1093" s="6" t="s">
        <v>48</v>
      </c>
      <c r="N1093" s="6" t="s">
        <v>28</v>
      </c>
      <c r="O1093" s="6" t="s">
        <v>48</v>
      </c>
      <c r="P1093" s="6" t="s">
        <v>48</v>
      </c>
      <c r="Q1093" s="6" t="s">
        <v>48</v>
      </c>
      <c r="R1093" s="6" t="s">
        <v>34</v>
      </c>
      <c r="S1093" s="6" t="s">
        <v>54</v>
      </c>
      <c r="T1093" s="6" t="s">
        <v>48</v>
      </c>
      <c r="U1093" s="6" t="s">
        <v>94</v>
      </c>
      <c r="V1093" s="6" t="s">
        <v>137</v>
      </c>
      <c r="W1093" t="s">
        <v>786</v>
      </c>
    </row>
    <row r="1094" spans="1:23" x14ac:dyDescent="0.3">
      <c r="A1094" s="6" t="s">
        <v>504</v>
      </c>
      <c r="B1094" s="1">
        <v>45792</v>
      </c>
      <c r="C1094" s="6" t="s">
        <v>33</v>
      </c>
      <c r="D1094" s="6" t="s">
        <v>75</v>
      </c>
      <c r="E1094" s="6" t="s">
        <v>68</v>
      </c>
      <c r="F1094" s="6" t="s">
        <v>24</v>
      </c>
      <c r="G1094" s="6" t="s">
        <v>61</v>
      </c>
      <c r="H1094" s="6" t="s">
        <v>26</v>
      </c>
      <c r="I1094" s="6" t="s">
        <v>42</v>
      </c>
      <c r="J1094" s="6" t="s">
        <v>75</v>
      </c>
      <c r="K1094" s="6" t="s">
        <v>76</v>
      </c>
      <c r="L1094" s="6" t="s">
        <v>704</v>
      </c>
      <c r="M1094" s="6" t="s">
        <v>29</v>
      </c>
      <c r="N1094" s="6" t="s">
        <v>28</v>
      </c>
      <c r="O1094" s="6" t="s">
        <v>48</v>
      </c>
      <c r="P1094" s="6" t="s">
        <v>48</v>
      </c>
      <c r="Q1094" s="6" t="s">
        <v>48</v>
      </c>
      <c r="R1094" s="6" t="s">
        <v>75</v>
      </c>
      <c r="S1094" s="6" t="s">
        <v>54</v>
      </c>
      <c r="T1094" s="6" t="s">
        <v>48</v>
      </c>
      <c r="U1094" s="6" t="s">
        <v>118</v>
      </c>
      <c r="V1094" s="6" t="s">
        <v>146</v>
      </c>
      <c r="W1094" t="s">
        <v>786</v>
      </c>
    </row>
    <row r="1095" spans="1:23" x14ac:dyDescent="0.3">
      <c r="A1095" s="6" t="s">
        <v>503</v>
      </c>
      <c r="B1095" s="1">
        <v>45792</v>
      </c>
      <c r="C1095" s="6" t="s">
        <v>33</v>
      </c>
      <c r="D1095" s="6" t="s">
        <v>75</v>
      </c>
      <c r="E1095" s="6" t="s">
        <v>68</v>
      </c>
      <c r="F1095" s="6" t="s">
        <v>24</v>
      </c>
      <c r="G1095" s="6" t="s">
        <v>61</v>
      </c>
      <c r="H1095" s="6" t="s">
        <v>26</v>
      </c>
      <c r="I1095" s="6" t="s">
        <v>42</v>
      </c>
      <c r="J1095" s="6" t="s">
        <v>75</v>
      </c>
      <c r="K1095" s="6" t="s">
        <v>76</v>
      </c>
      <c r="L1095" s="6" t="s">
        <v>704</v>
      </c>
      <c r="M1095" s="6" t="s">
        <v>29</v>
      </c>
      <c r="N1095" s="6" t="s">
        <v>28</v>
      </c>
      <c r="O1095" s="6" t="s">
        <v>26</v>
      </c>
      <c r="P1095" s="6" t="s">
        <v>788</v>
      </c>
      <c r="Q1095" s="6" t="s">
        <v>31</v>
      </c>
      <c r="R1095" s="6" t="s">
        <v>75</v>
      </c>
      <c r="S1095" s="6" t="s">
        <v>704</v>
      </c>
      <c r="T1095" s="6" t="s">
        <v>32</v>
      </c>
      <c r="U1095" s="6" t="s">
        <v>28</v>
      </c>
      <c r="V1095" s="6" t="s">
        <v>146</v>
      </c>
      <c r="W1095" t="s">
        <v>786</v>
      </c>
    </row>
    <row r="1096" spans="1:23" x14ac:dyDescent="0.3">
      <c r="A1096" s="6" t="s">
        <v>505</v>
      </c>
      <c r="B1096" s="1">
        <v>45792</v>
      </c>
      <c r="C1096" s="6" t="s">
        <v>57</v>
      </c>
      <c r="D1096" s="6" t="s">
        <v>43</v>
      </c>
      <c r="E1096" s="6" t="s">
        <v>35</v>
      </c>
      <c r="F1096" s="6" t="s">
        <v>24</v>
      </c>
      <c r="G1096" s="6" t="s">
        <v>47</v>
      </c>
      <c r="H1096" s="6" t="s">
        <v>26</v>
      </c>
      <c r="I1096" s="6" t="s">
        <v>27</v>
      </c>
      <c r="J1096" s="6" t="s">
        <v>43</v>
      </c>
      <c r="K1096" s="6" t="s">
        <v>76</v>
      </c>
      <c r="L1096" s="6" t="s">
        <v>54</v>
      </c>
      <c r="M1096" s="6" t="s">
        <v>29</v>
      </c>
      <c r="N1096" s="6" t="s">
        <v>28</v>
      </c>
      <c r="O1096" s="6" t="s">
        <v>48</v>
      </c>
      <c r="P1096" s="6" t="s">
        <v>48</v>
      </c>
      <c r="Q1096" s="6" t="s">
        <v>48</v>
      </c>
      <c r="R1096" s="6" t="s">
        <v>43</v>
      </c>
      <c r="S1096" s="6" t="s">
        <v>54</v>
      </c>
      <c r="T1096" s="6" t="s">
        <v>48</v>
      </c>
      <c r="U1096" s="6" t="s">
        <v>109</v>
      </c>
      <c r="V1096" s="6" t="s">
        <v>82</v>
      </c>
      <c r="W1096" t="s">
        <v>786</v>
      </c>
    </row>
    <row r="1097" spans="1:23" x14ac:dyDescent="0.3">
      <c r="A1097" s="6" t="s">
        <v>506</v>
      </c>
      <c r="B1097" s="1">
        <v>45792</v>
      </c>
      <c r="C1097" s="6" t="s">
        <v>57</v>
      </c>
      <c r="D1097" s="6" t="s">
        <v>43</v>
      </c>
      <c r="E1097" s="6" t="s">
        <v>35</v>
      </c>
      <c r="F1097" s="6" t="s">
        <v>24</v>
      </c>
      <c r="G1097" s="6" t="s">
        <v>47</v>
      </c>
      <c r="H1097" s="6" t="s">
        <v>26</v>
      </c>
      <c r="I1097" s="6" t="s">
        <v>27</v>
      </c>
      <c r="J1097" s="6" t="s">
        <v>43</v>
      </c>
      <c r="K1097" s="6" t="s">
        <v>76</v>
      </c>
      <c r="L1097" s="6" t="s">
        <v>54</v>
      </c>
      <c r="M1097" s="6" t="s">
        <v>29</v>
      </c>
      <c r="N1097" s="6" t="s">
        <v>28</v>
      </c>
      <c r="O1097" s="6" t="s">
        <v>48</v>
      </c>
      <c r="P1097" s="6" t="s">
        <v>48</v>
      </c>
      <c r="Q1097" s="6" t="s">
        <v>48</v>
      </c>
      <c r="R1097" s="6" t="s">
        <v>43</v>
      </c>
      <c r="S1097" s="6" t="s">
        <v>54</v>
      </c>
      <c r="T1097" s="6" t="s">
        <v>48</v>
      </c>
      <c r="U1097" s="6" t="s">
        <v>127</v>
      </c>
      <c r="V1097" s="6" t="s">
        <v>82</v>
      </c>
      <c r="W1097" t="s">
        <v>786</v>
      </c>
    </row>
    <row r="1098" spans="1:23" x14ac:dyDescent="0.3">
      <c r="A1098" s="6" t="s">
        <v>507</v>
      </c>
      <c r="B1098" s="1">
        <v>45794</v>
      </c>
      <c r="C1098" s="6" t="s">
        <v>39</v>
      </c>
      <c r="D1098" s="6" t="s">
        <v>70</v>
      </c>
      <c r="E1098" s="6" t="s">
        <v>68</v>
      </c>
      <c r="F1098" s="6" t="s">
        <v>24</v>
      </c>
      <c r="G1098" s="6" t="s">
        <v>61</v>
      </c>
      <c r="H1098" s="6" t="s">
        <v>48</v>
      </c>
      <c r="I1098" s="6" t="s">
        <v>27</v>
      </c>
      <c r="J1098" s="6" t="s">
        <v>49</v>
      </c>
      <c r="K1098" s="6" t="s">
        <v>48</v>
      </c>
      <c r="L1098" s="6" t="s">
        <v>54</v>
      </c>
      <c r="M1098" s="6" t="s">
        <v>48</v>
      </c>
      <c r="N1098" s="6" t="s">
        <v>28</v>
      </c>
      <c r="O1098" s="6" t="s">
        <v>30</v>
      </c>
      <c r="P1098" s="6" t="s">
        <v>48</v>
      </c>
      <c r="Q1098" s="6" t="s">
        <v>48</v>
      </c>
      <c r="R1098" s="6" t="s">
        <v>70</v>
      </c>
      <c r="S1098" s="6" t="s">
        <v>54</v>
      </c>
      <c r="T1098" s="6" t="s">
        <v>48</v>
      </c>
      <c r="U1098" s="6" t="s">
        <v>28</v>
      </c>
      <c r="V1098" s="6" t="s">
        <v>137</v>
      </c>
      <c r="W1098" t="s">
        <v>786</v>
      </c>
    </row>
    <row r="1099" spans="1:23" x14ac:dyDescent="0.3">
      <c r="A1099" s="6" t="s">
        <v>507</v>
      </c>
      <c r="B1099" s="1">
        <v>45794</v>
      </c>
      <c r="C1099" s="6" t="s">
        <v>39</v>
      </c>
      <c r="D1099" s="6" t="s">
        <v>70</v>
      </c>
      <c r="E1099" s="6" t="s">
        <v>68</v>
      </c>
      <c r="F1099" s="6" t="s">
        <v>24</v>
      </c>
      <c r="G1099" s="6" t="s">
        <v>61</v>
      </c>
      <c r="H1099" s="6" t="s">
        <v>48</v>
      </c>
      <c r="I1099" s="6" t="s">
        <v>27</v>
      </c>
      <c r="J1099" s="6" t="s">
        <v>49</v>
      </c>
      <c r="K1099" s="6" t="s">
        <v>48</v>
      </c>
      <c r="L1099" s="6" t="s">
        <v>54</v>
      </c>
      <c r="M1099" s="6" t="s">
        <v>48</v>
      </c>
      <c r="N1099" s="6" t="s">
        <v>28</v>
      </c>
      <c r="O1099" s="6" t="s">
        <v>30</v>
      </c>
      <c r="P1099" s="6" t="s">
        <v>48</v>
      </c>
      <c r="Q1099" s="6" t="s">
        <v>48</v>
      </c>
      <c r="R1099" s="6" t="s">
        <v>70</v>
      </c>
      <c r="S1099" s="6" t="s">
        <v>54</v>
      </c>
      <c r="T1099" s="6" t="s">
        <v>48</v>
      </c>
      <c r="U1099" s="6" t="s">
        <v>28</v>
      </c>
      <c r="V1099" s="6" t="s">
        <v>82</v>
      </c>
      <c r="W1099" t="s">
        <v>786</v>
      </c>
    </row>
    <row r="1100" spans="1:23" x14ac:dyDescent="0.3">
      <c r="A1100" s="6" t="s">
        <v>507</v>
      </c>
      <c r="B1100" s="1">
        <v>45794</v>
      </c>
      <c r="C1100" s="6" t="s">
        <v>39</v>
      </c>
      <c r="D1100" s="6" t="s">
        <v>70</v>
      </c>
      <c r="E1100" s="6" t="s">
        <v>68</v>
      </c>
      <c r="F1100" s="6" t="s">
        <v>24</v>
      </c>
      <c r="G1100" s="6" t="s">
        <v>61</v>
      </c>
      <c r="H1100" s="6" t="s">
        <v>48</v>
      </c>
      <c r="I1100" s="6" t="s">
        <v>27</v>
      </c>
      <c r="J1100" s="6" t="s">
        <v>49</v>
      </c>
      <c r="K1100" s="6" t="s">
        <v>48</v>
      </c>
      <c r="L1100" s="6" t="s">
        <v>54</v>
      </c>
      <c r="M1100" s="6" t="s">
        <v>48</v>
      </c>
      <c r="N1100" s="6" t="s">
        <v>28</v>
      </c>
      <c r="O1100" s="6" t="s">
        <v>30</v>
      </c>
      <c r="P1100" s="6" t="s">
        <v>48</v>
      </c>
      <c r="Q1100" s="6" t="s">
        <v>48</v>
      </c>
      <c r="R1100" s="6" t="s">
        <v>70</v>
      </c>
      <c r="S1100" s="6" t="s">
        <v>54</v>
      </c>
      <c r="T1100" s="6" t="s">
        <v>48</v>
      </c>
      <c r="U1100" s="6" t="s">
        <v>28</v>
      </c>
      <c r="V1100" s="6" t="s">
        <v>146</v>
      </c>
      <c r="W1100" t="s">
        <v>786</v>
      </c>
    </row>
    <row r="1101" spans="1:23" x14ac:dyDescent="0.3">
      <c r="A1101" s="6" t="s">
        <v>508</v>
      </c>
      <c r="B1101" s="1">
        <v>45795</v>
      </c>
      <c r="C1101" s="6" t="s">
        <v>33</v>
      </c>
      <c r="D1101" s="6" t="s">
        <v>92</v>
      </c>
      <c r="E1101" s="6" t="s">
        <v>68</v>
      </c>
      <c r="F1101" s="6" t="s">
        <v>24</v>
      </c>
      <c r="G1101" s="6" t="s">
        <v>69</v>
      </c>
      <c r="H1101" s="6" t="s">
        <v>26</v>
      </c>
      <c r="I1101" s="6" t="s">
        <v>45</v>
      </c>
      <c r="J1101" s="6" t="s">
        <v>92</v>
      </c>
      <c r="K1101" s="6" t="s">
        <v>48</v>
      </c>
      <c r="L1101" s="6" t="s">
        <v>54</v>
      </c>
      <c r="M1101" s="6" t="s">
        <v>29</v>
      </c>
      <c r="N1101" s="6" t="s">
        <v>28</v>
      </c>
      <c r="O1101" s="6" t="s">
        <v>26</v>
      </c>
      <c r="P1101" s="6" t="s">
        <v>52</v>
      </c>
      <c r="Q1101" s="6" t="s">
        <v>31</v>
      </c>
      <c r="R1101" s="6" t="s">
        <v>92</v>
      </c>
      <c r="S1101" s="6" t="s">
        <v>54</v>
      </c>
      <c r="T1101" s="6" t="s">
        <v>32</v>
      </c>
      <c r="U1101" s="6" t="s">
        <v>28</v>
      </c>
      <c r="V1101" s="6" t="s">
        <v>146</v>
      </c>
      <c r="W1101" t="s">
        <v>786</v>
      </c>
    </row>
    <row r="1102" spans="1:23" x14ac:dyDescent="0.3">
      <c r="A1102" s="6" t="s">
        <v>508</v>
      </c>
      <c r="B1102" s="1">
        <v>45795</v>
      </c>
      <c r="C1102" s="6" t="s">
        <v>33</v>
      </c>
      <c r="D1102" s="6" t="s">
        <v>92</v>
      </c>
      <c r="E1102" s="6" t="s">
        <v>68</v>
      </c>
      <c r="F1102" s="6" t="s">
        <v>24</v>
      </c>
      <c r="G1102" s="6" t="s">
        <v>69</v>
      </c>
      <c r="H1102" s="6" t="s">
        <v>26</v>
      </c>
      <c r="I1102" s="6" t="s">
        <v>45</v>
      </c>
      <c r="J1102" s="6" t="s">
        <v>92</v>
      </c>
      <c r="K1102" s="6" t="s">
        <v>48</v>
      </c>
      <c r="L1102" s="6" t="s">
        <v>54</v>
      </c>
      <c r="M1102" s="6" t="s">
        <v>29</v>
      </c>
      <c r="N1102" s="6" t="s">
        <v>28</v>
      </c>
      <c r="O1102" s="6" t="s">
        <v>26</v>
      </c>
      <c r="P1102" s="6" t="s">
        <v>52</v>
      </c>
      <c r="Q1102" s="6" t="s">
        <v>31</v>
      </c>
      <c r="R1102" s="6" t="s">
        <v>92</v>
      </c>
      <c r="S1102" s="6" t="s">
        <v>54</v>
      </c>
      <c r="T1102" s="6" t="s">
        <v>32</v>
      </c>
      <c r="U1102" s="6" t="s">
        <v>28</v>
      </c>
      <c r="V1102" s="6" t="s">
        <v>82</v>
      </c>
      <c r="W1102" t="s">
        <v>786</v>
      </c>
    </row>
    <row r="1103" spans="1:23" x14ac:dyDescent="0.3">
      <c r="A1103" s="6" t="s">
        <v>509</v>
      </c>
      <c r="B1103" s="1">
        <v>45795</v>
      </c>
      <c r="C1103" s="6" t="s">
        <v>39</v>
      </c>
      <c r="D1103" s="6" t="s">
        <v>34</v>
      </c>
      <c r="E1103" s="6" t="s">
        <v>23</v>
      </c>
      <c r="F1103" s="6" t="s">
        <v>24</v>
      </c>
      <c r="G1103" s="6" t="s">
        <v>69</v>
      </c>
      <c r="H1103" s="6" t="s">
        <v>48</v>
      </c>
      <c r="I1103" s="6" t="s">
        <v>27</v>
      </c>
      <c r="J1103" s="6" t="s">
        <v>34</v>
      </c>
      <c r="K1103" s="6" t="s">
        <v>48</v>
      </c>
      <c r="L1103" s="6" t="s">
        <v>54</v>
      </c>
      <c r="M1103" s="6" t="s">
        <v>48</v>
      </c>
      <c r="N1103" s="6" t="s">
        <v>28</v>
      </c>
      <c r="O1103" s="6" t="s">
        <v>30</v>
      </c>
      <c r="P1103" s="6" t="s">
        <v>45</v>
      </c>
      <c r="Q1103" s="6" t="s">
        <v>31</v>
      </c>
      <c r="R1103" s="6" t="s">
        <v>34</v>
      </c>
      <c r="S1103" s="6" t="s">
        <v>54</v>
      </c>
      <c r="T1103" s="6" t="s">
        <v>29</v>
      </c>
      <c r="U1103" s="6" t="s">
        <v>28</v>
      </c>
      <c r="V1103" s="6" t="s">
        <v>146</v>
      </c>
      <c r="W1103" t="s">
        <v>786</v>
      </c>
    </row>
    <row r="1104" spans="1:23" x14ac:dyDescent="0.3">
      <c r="A1104" s="6" t="s">
        <v>509</v>
      </c>
      <c r="B1104" s="1">
        <v>45795</v>
      </c>
      <c r="C1104" s="6" t="s">
        <v>39</v>
      </c>
      <c r="D1104" s="6" t="s">
        <v>34</v>
      </c>
      <c r="E1104" s="6" t="s">
        <v>23</v>
      </c>
      <c r="F1104" s="6" t="s">
        <v>24</v>
      </c>
      <c r="G1104" s="6" t="s">
        <v>69</v>
      </c>
      <c r="H1104" s="6" t="s">
        <v>48</v>
      </c>
      <c r="I1104" s="6" t="s">
        <v>27</v>
      </c>
      <c r="J1104" s="6" t="s">
        <v>34</v>
      </c>
      <c r="K1104" s="6" t="s">
        <v>48</v>
      </c>
      <c r="L1104" s="6" t="s">
        <v>54</v>
      </c>
      <c r="M1104" s="6" t="s">
        <v>48</v>
      </c>
      <c r="N1104" s="6" t="s">
        <v>28</v>
      </c>
      <c r="O1104" s="6" t="s">
        <v>30</v>
      </c>
      <c r="P1104" s="6" t="s">
        <v>45</v>
      </c>
      <c r="Q1104" s="6" t="s">
        <v>31</v>
      </c>
      <c r="R1104" s="6" t="s">
        <v>34</v>
      </c>
      <c r="S1104" s="6" t="s">
        <v>54</v>
      </c>
      <c r="T1104" s="6" t="s">
        <v>29</v>
      </c>
      <c r="U1104" s="6" t="s">
        <v>28</v>
      </c>
      <c r="V1104" s="6" t="s">
        <v>82</v>
      </c>
      <c r="W1104" t="s">
        <v>786</v>
      </c>
    </row>
    <row r="1105" spans="1:23" x14ac:dyDescent="0.3">
      <c r="A1105" s="6" t="s">
        <v>510</v>
      </c>
      <c r="B1105" s="1">
        <v>45796</v>
      </c>
      <c r="C1105" s="6" t="s">
        <v>84</v>
      </c>
      <c r="D1105" s="6" t="s">
        <v>48</v>
      </c>
      <c r="E1105" s="6" t="s">
        <v>46</v>
      </c>
      <c r="F1105" s="6" t="s">
        <v>24</v>
      </c>
      <c r="G1105" s="6" t="s">
        <v>97</v>
      </c>
      <c r="H1105" s="6" t="s">
        <v>26</v>
      </c>
      <c r="I1105" s="6" t="s">
        <v>45</v>
      </c>
      <c r="J1105" s="6" t="s">
        <v>22</v>
      </c>
      <c r="K1105" s="6" t="s">
        <v>48</v>
      </c>
      <c r="L1105" s="6" t="s">
        <v>54</v>
      </c>
      <c r="M1105" s="6" t="s">
        <v>29</v>
      </c>
      <c r="N1105" s="6" t="s">
        <v>28</v>
      </c>
      <c r="O1105" s="6" t="s">
        <v>26</v>
      </c>
      <c r="P1105" s="6" t="s">
        <v>48</v>
      </c>
      <c r="Q1105" s="6" t="s">
        <v>48</v>
      </c>
      <c r="R1105" s="6" t="s">
        <v>49</v>
      </c>
      <c r="S1105" s="6" t="s">
        <v>54</v>
      </c>
      <c r="T1105" s="6" t="s">
        <v>29</v>
      </c>
      <c r="U1105" s="6" t="s">
        <v>28</v>
      </c>
      <c r="V1105" s="6" t="s">
        <v>137</v>
      </c>
      <c r="W1105" t="s">
        <v>786</v>
      </c>
    </row>
    <row r="1106" spans="1:23" x14ac:dyDescent="0.3">
      <c r="A1106" s="6" t="s">
        <v>510</v>
      </c>
      <c r="B1106" s="1">
        <v>45796</v>
      </c>
      <c r="C1106" s="6" t="s">
        <v>84</v>
      </c>
      <c r="D1106" s="6" t="s">
        <v>48</v>
      </c>
      <c r="E1106" s="6" t="s">
        <v>46</v>
      </c>
      <c r="F1106" s="6" t="s">
        <v>24</v>
      </c>
      <c r="G1106" s="6" t="s">
        <v>97</v>
      </c>
      <c r="H1106" s="6" t="s">
        <v>26</v>
      </c>
      <c r="I1106" s="6" t="s">
        <v>45</v>
      </c>
      <c r="J1106" s="6" t="s">
        <v>22</v>
      </c>
      <c r="K1106" s="6" t="s">
        <v>48</v>
      </c>
      <c r="L1106" s="6" t="s">
        <v>54</v>
      </c>
      <c r="M1106" s="6" t="s">
        <v>29</v>
      </c>
      <c r="N1106" s="6" t="s">
        <v>28</v>
      </c>
      <c r="O1106" s="6" t="s">
        <v>26</v>
      </c>
      <c r="P1106" s="6" t="s">
        <v>48</v>
      </c>
      <c r="Q1106" s="6" t="s">
        <v>48</v>
      </c>
      <c r="R1106" s="6" t="s">
        <v>49</v>
      </c>
      <c r="S1106" s="6" t="s">
        <v>54</v>
      </c>
      <c r="T1106" s="6" t="s">
        <v>29</v>
      </c>
      <c r="U1106" s="6" t="s">
        <v>28</v>
      </c>
      <c r="V1106" s="6" t="s">
        <v>82</v>
      </c>
      <c r="W1106" t="s">
        <v>786</v>
      </c>
    </row>
    <row r="1107" spans="1:23" x14ac:dyDescent="0.3">
      <c r="A1107" s="6" t="s">
        <v>511</v>
      </c>
      <c r="B1107" s="1">
        <v>45796</v>
      </c>
      <c r="C1107" s="6" t="s">
        <v>84</v>
      </c>
      <c r="D1107" s="6" t="s">
        <v>48</v>
      </c>
      <c r="E1107" s="6" t="s">
        <v>46</v>
      </c>
      <c r="F1107" s="6" t="s">
        <v>24</v>
      </c>
      <c r="G1107" s="6" t="s">
        <v>46</v>
      </c>
      <c r="H1107" s="6" t="s">
        <v>48</v>
      </c>
      <c r="I1107" s="6" t="s">
        <v>58</v>
      </c>
      <c r="J1107" s="6" t="s">
        <v>49</v>
      </c>
      <c r="K1107" s="6" t="s">
        <v>48</v>
      </c>
      <c r="L1107" s="6" t="s">
        <v>54</v>
      </c>
      <c r="M1107" s="6" t="s">
        <v>129</v>
      </c>
      <c r="N1107" s="6" t="s">
        <v>28</v>
      </c>
      <c r="O1107" s="6" t="s">
        <v>48</v>
      </c>
      <c r="P1107" s="6" t="s">
        <v>48</v>
      </c>
      <c r="Q1107" s="6" t="s">
        <v>48</v>
      </c>
      <c r="R1107" s="6" t="s">
        <v>49</v>
      </c>
      <c r="S1107" s="6" t="s">
        <v>54</v>
      </c>
      <c r="T1107" s="6" t="s">
        <v>48</v>
      </c>
      <c r="U1107" s="6" t="s">
        <v>28</v>
      </c>
      <c r="V1107" s="6" t="s">
        <v>82</v>
      </c>
      <c r="W1107" t="s">
        <v>786</v>
      </c>
    </row>
    <row r="1108" spans="1:23" x14ac:dyDescent="0.3">
      <c r="A1108" s="6" t="s">
        <v>512</v>
      </c>
      <c r="B1108" s="1">
        <v>45796</v>
      </c>
      <c r="C1108" s="6" t="s">
        <v>343</v>
      </c>
      <c r="D1108" s="6" t="s">
        <v>22</v>
      </c>
      <c r="E1108" s="6" t="s">
        <v>46</v>
      </c>
      <c r="F1108" s="6" t="s">
        <v>24</v>
      </c>
      <c r="G1108" s="6" t="s">
        <v>71</v>
      </c>
      <c r="H1108" s="6" t="s">
        <v>26</v>
      </c>
      <c r="I1108" s="6" t="s">
        <v>66</v>
      </c>
      <c r="J1108" s="6" t="s">
        <v>22</v>
      </c>
      <c r="K1108" s="6" t="s">
        <v>48</v>
      </c>
      <c r="L1108" s="6" t="s">
        <v>54</v>
      </c>
      <c r="M1108" s="6" t="s">
        <v>32</v>
      </c>
      <c r="N1108" s="6" t="s">
        <v>28</v>
      </c>
      <c r="O1108" s="6" t="s">
        <v>26</v>
      </c>
      <c r="P1108" s="6" t="s">
        <v>52</v>
      </c>
      <c r="Q1108" s="6" t="s">
        <v>31</v>
      </c>
      <c r="R1108" s="6" t="s">
        <v>22</v>
      </c>
      <c r="S1108" s="6" t="s">
        <v>54</v>
      </c>
      <c r="T1108" s="6" t="s">
        <v>32</v>
      </c>
      <c r="U1108" s="6" t="s">
        <v>28</v>
      </c>
      <c r="V1108" s="6" t="s">
        <v>82</v>
      </c>
      <c r="W1108" t="s">
        <v>786</v>
      </c>
    </row>
    <row r="1109" spans="1:23" x14ac:dyDescent="0.3">
      <c r="A1109" s="6" t="s">
        <v>513</v>
      </c>
      <c r="B1109" s="1">
        <v>45797</v>
      </c>
      <c r="C1109" s="6" t="s">
        <v>39</v>
      </c>
      <c r="D1109" s="6" t="s">
        <v>22</v>
      </c>
      <c r="E1109" s="6" t="s">
        <v>46</v>
      </c>
      <c r="F1109" s="6" t="s">
        <v>24</v>
      </c>
      <c r="G1109" s="6" t="s">
        <v>36</v>
      </c>
      <c r="H1109" s="6" t="s">
        <v>26</v>
      </c>
      <c r="I1109" s="6" t="s">
        <v>45</v>
      </c>
      <c r="J1109" s="6" t="s">
        <v>22</v>
      </c>
      <c r="K1109" s="6" t="s">
        <v>53</v>
      </c>
      <c r="L1109" s="6" t="s">
        <v>152</v>
      </c>
      <c r="M1109" s="6" t="s">
        <v>32</v>
      </c>
      <c r="N1109" s="6" t="s">
        <v>28</v>
      </c>
      <c r="O1109" s="6" t="s">
        <v>30</v>
      </c>
      <c r="P1109" s="6" t="s">
        <v>66</v>
      </c>
      <c r="Q1109" s="6" t="s">
        <v>48</v>
      </c>
      <c r="R1109" s="6" t="s">
        <v>22</v>
      </c>
      <c r="S1109" s="6" t="s">
        <v>128</v>
      </c>
      <c r="T1109" s="6" t="s">
        <v>48</v>
      </c>
      <c r="U1109" s="6" t="s">
        <v>28</v>
      </c>
      <c r="V1109" s="6" t="s">
        <v>82</v>
      </c>
      <c r="W1109" t="s">
        <v>786</v>
      </c>
    </row>
    <row r="1110" spans="1:23" x14ac:dyDescent="0.3">
      <c r="A1110" s="6" t="s">
        <v>513</v>
      </c>
      <c r="B1110" s="1">
        <v>45797</v>
      </c>
      <c r="C1110" s="6" t="s">
        <v>39</v>
      </c>
      <c r="D1110" s="6" t="s">
        <v>22</v>
      </c>
      <c r="E1110" s="6" t="s">
        <v>46</v>
      </c>
      <c r="F1110" s="6" t="s">
        <v>24</v>
      </c>
      <c r="G1110" s="6" t="s">
        <v>36</v>
      </c>
      <c r="H1110" s="6" t="s">
        <v>26</v>
      </c>
      <c r="I1110" s="6" t="s">
        <v>45</v>
      </c>
      <c r="J1110" s="6" t="s">
        <v>22</v>
      </c>
      <c r="K1110" s="6" t="s">
        <v>53</v>
      </c>
      <c r="L1110" s="6" t="s">
        <v>152</v>
      </c>
      <c r="M1110" s="6" t="s">
        <v>32</v>
      </c>
      <c r="N1110" s="6" t="s">
        <v>28</v>
      </c>
      <c r="O1110" s="6" t="s">
        <v>30</v>
      </c>
      <c r="P1110" s="6" t="s">
        <v>66</v>
      </c>
      <c r="Q1110" s="6" t="s">
        <v>48</v>
      </c>
      <c r="R1110" s="6" t="s">
        <v>22</v>
      </c>
      <c r="S1110" s="6" t="s">
        <v>128</v>
      </c>
      <c r="T1110" s="6" t="s">
        <v>48</v>
      </c>
      <c r="U1110" s="6" t="s">
        <v>28</v>
      </c>
      <c r="V1110" s="6" t="s">
        <v>146</v>
      </c>
      <c r="W1110" t="s">
        <v>786</v>
      </c>
    </row>
    <row r="1111" spans="1:23" x14ac:dyDescent="0.3">
      <c r="A1111" s="6" t="s">
        <v>513</v>
      </c>
      <c r="B1111" s="1">
        <v>45797</v>
      </c>
      <c r="C1111" s="6" t="s">
        <v>39</v>
      </c>
      <c r="D1111" s="6" t="s">
        <v>22</v>
      </c>
      <c r="E1111" s="6" t="s">
        <v>46</v>
      </c>
      <c r="F1111" s="6" t="s">
        <v>24</v>
      </c>
      <c r="G1111" s="6" t="s">
        <v>36</v>
      </c>
      <c r="H1111" s="6" t="s">
        <v>26</v>
      </c>
      <c r="I1111" s="6" t="s">
        <v>45</v>
      </c>
      <c r="J1111" s="6" t="s">
        <v>22</v>
      </c>
      <c r="K1111" s="6" t="s">
        <v>53</v>
      </c>
      <c r="L1111" s="6" t="s">
        <v>152</v>
      </c>
      <c r="M1111" s="6" t="s">
        <v>32</v>
      </c>
      <c r="N1111" s="6" t="s">
        <v>28</v>
      </c>
      <c r="O1111" s="6" t="s">
        <v>30</v>
      </c>
      <c r="P1111" s="6" t="s">
        <v>66</v>
      </c>
      <c r="Q1111" s="6" t="s">
        <v>48</v>
      </c>
      <c r="R1111" s="6" t="s">
        <v>22</v>
      </c>
      <c r="S1111" s="6" t="s">
        <v>128</v>
      </c>
      <c r="T1111" s="6" t="s">
        <v>48</v>
      </c>
      <c r="U1111" s="6" t="s">
        <v>28</v>
      </c>
      <c r="V1111" s="6" t="s">
        <v>137</v>
      </c>
      <c r="W1111" t="s">
        <v>786</v>
      </c>
    </row>
    <row r="1112" spans="1:23" x14ac:dyDescent="0.3">
      <c r="A1112" s="6" t="s">
        <v>514</v>
      </c>
      <c r="B1112" s="1">
        <v>45797</v>
      </c>
      <c r="C1112" s="6" t="s">
        <v>33</v>
      </c>
      <c r="D1112" s="6" t="s">
        <v>92</v>
      </c>
      <c r="E1112" s="6" t="s">
        <v>46</v>
      </c>
      <c r="F1112" s="6" t="s">
        <v>24</v>
      </c>
      <c r="G1112" s="6" t="s">
        <v>46</v>
      </c>
      <c r="H1112" s="6" t="s">
        <v>48</v>
      </c>
      <c r="I1112" s="6" t="s">
        <v>100</v>
      </c>
      <c r="J1112" s="6" t="s">
        <v>92</v>
      </c>
      <c r="K1112" s="6" t="s">
        <v>48</v>
      </c>
      <c r="L1112" s="6" t="s">
        <v>54</v>
      </c>
      <c r="M1112" s="6" t="s">
        <v>48</v>
      </c>
      <c r="N1112" s="6" t="s">
        <v>28</v>
      </c>
      <c r="O1112" s="6" t="s">
        <v>26</v>
      </c>
      <c r="P1112" s="6" t="s">
        <v>52</v>
      </c>
      <c r="Q1112" s="6" t="s">
        <v>48</v>
      </c>
      <c r="R1112" s="6" t="s">
        <v>92</v>
      </c>
      <c r="S1112" s="6" t="s">
        <v>54</v>
      </c>
      <c r="T1112" s="6" t="s">
        <v>55</v>
      </c>
      <c r="U1112" s="6" t="s">
        <v>28</v>
      </c>
      <c r="V1112" s="6" t="s">
        <v>82</v>
      </c>
      <c r="W1112" t="s">
        <v>786</v>
      </c>
    </row>
    <row r="1113" spans="1:23" x14ac:dyDescent="0.3">
      <c r="A1113" s="6" t="s">
        <v>516</v>
      </c>
      <c r="B1113" s="1">
        <v>45798</v>
      </c>
      <c r="C1113" s="6" t="s">
        <v>33</v>
      </c>
      <c r="D1113" s="6" t="s">
        <v>60</v>
      </c>
      <c r="E1113" s="6" t="s">
        <v>35</v>
      </c>
      <c r="F1113" s="6" t="s">
        <v>24</v>
      </c>
      <c r="G1113" s="6" t="s">
        <v>61</v>
      </c>
      <c r="H1113" s="6" t="s">
        <v>26</v>
      </c>
      <c r="I1113" s="6" t="s">
        <v>38</v>
      </c>
      <c r="J1113" s="6" t="s">
        <v>60</v>
      </c>
      <c r="K1113" s="6" t="s">
        <v>48</v>
      </c>
      <c r="L1113" s="6" t="s">
        <v>54</v>
      </c>
      <c r="M1113" s="6" t="s">
        <v>29</v>
      </c>
      <c r="N1113" s="6" t="s">
        <v>28</v>
      </c>
      <c r="O1113" s="6" t="s">
        <v>26</v>
      </c>
      <c r="P1113" s="6" t="s">
        <v>45</v>
      </c>
      <c r="Q1113" s="6" t="s">
        <v>31</v>
      </c>
      <c r="R1113" s="6" t="s">
        <v>60</v>
      </c>
      <c r="S1113" s="6" t="s">
        <v>54</v>
      </c>
      <c r="T1113" s="6" t="s">
        <v>32</v>
      </c>
      <c r="U1113" s="6" t="s">
        <v>28</v>
      </c>
      <c r="V1113" s="6" t="s">
        <v>146</v>
      </c>
      <c r="W1113" t="s">
        <v>786</v>
      </c>
    </row>
    <row r="1114" spans="1:23" x14ac:dyDescent="0.3">
      <c r="A1114" s="6" t="s">
        <v>515</v>
      </c>
      <c r="B1114" s="1">
        <v>45798</v>
      </c>
      <c r="C1114" s="6" t="s">
        <v>33</v>
      </c>
      <c r="D1114" s="6" t="s">
        <v>60</v>
      </c>
      <c r="E1114" s="6" t="s">
        <v>35</v>
      </c>
      <c r="F1114" s="6" t="s">
        <v>24</v>
      </c>
      <c r="G1114" s="6" t="s">
        <v>61</v>
      </c>
      <c r="H1114" s="6" t="s">
        <v>26</v>
      </c>
      <c r="I1114" s="6" t="s">
        <v>38</v>
      </c>
      <c r="J1114" s="6" t="s">
        <v>60</v>
      </c>
      <c r="K1114" s="6" t="s">
        <v>48</v>
      </c>
      <c r="L1114" s="6" t="s">
        <v>54</v>
      </c>
      <c r="M1114" s="6" t="s">
        <v>29</v>
      </c>
      <c r="N1114" s="6" t="s">
        <v>28</v>
      </c>
      <c r="O1114" s="6" t="s">
        <v>48</v>
      </c>
      <c r="P1114" s="6" t="s">
        <v>48</v>
      </c>
      <c r="Q1114" s="6" t="s">
        <v>48</v>
      </c>
      <c r="R1114" s="6" t="s">
        <v>60</v>
      </c>
      <c r="S1114" s="6" t="s">
        <v>54</v>
      </c>
      <c r="T1114" s="6" t="s">
        <v>48</v>
      </c>
      <c r="U1114" s="6" t="s">
        <v>130</v>
      </c>
      <c r="V1114" s="6" t="s">
        <v>146</v>
      </c>
      <c r="W1114" t="s">
        <v>786</v>
      </c>
    </row>
    <row r="1115" spans="1:23" x14ac:dyDescent="0.3">
      <c r="A1115" s="6" t="s">
        <v>517</v>
      </c>
      <c r="B1115" s="1">
        <v>45798</v>
      </c>
      <c r="C1115" s="6" t="s">
        <v>84</v>
      </c>
      <c r="D1115" s="6" t="s">
        <v>67</v>
      </c>
      <c r="E1115" s="6" t="s">
        <v>64</v>
      </c>
      <c r="F1115" s="6" t="s">
        <v>24</v>
      </c>
      <c r="G1115" s="6" t="s">
        <v>61</v>
      </c>
      <c r="H1115" s="6" t="s">
        <v>26</v>
      </c>
      <c r="I1115" s="6" t="s">
        <v>27</v>
      </c>
      <c r="J1115" s="6" t="s">
        <v>67</v>
      </c>
      <c r="K1115" s="6" t="s">
        <v>48</v>
      </c>
      <c r="L1115" s="6" t="s">
        <v>54</v>
      </c>
      <c r="M1115" s="6" t="s">
        <v>48</v>
      </c>
      <c r="N1115" s="6" t="s">
        <v>28</v>
      </c>
      <c r="O1115" s="6" t="s">
        <v>26</v>
      </c>
      <c r="P1115" s="6" t="s">
        <v>58</v>
      </c>
      <c r="Q1115" s="6" t="s">
        <v>48</v>
      </c>
      <c r="R1115" s="6" t="s">
        <v>67</v>
      </c>
      <c r="S1115" s="6" t="s">
        <v>54</v>
      </c>
      <c r="T1115" s="6" t="s">
        <v>55</v>
      </c>
      <c r="U1115" s="6" t="s">
        <v>28</v>
      </c>
      <c r="V1115" s="6" t="s">
        <v>82</v>
      </c>
      <c r="W1115" t="s">
        <v>786</v>
      </c>
    </row>
    <row r="1116" spans="1:23" x14ac:dyDescent="0.3">
      <c r="A1116" s="6" t="s">
        <v>518</v>
      </c>
      <c r="B1116" s="1">
        <v>45798</v>
      </c>
      <c r="C1116" s="6" t="s">
        <v>84</v>
      </c>
      <c r="D1116" s="6" t="s">
        <v>67</v>
      </c>
      <c r="E1116" s="6" t="s">
        <v>64</v>
      </c>
      <c r="F1116" s="6" t="s">
        <v>24</v>
      </c>
      <c r="G1116" s="6" t="s">
        <v>61</v>
      </c>
      <c r="H1116" s="6" t="s">
        <v>26</v>
      </c>
      <c r="I1116" s="6" t="s">
        <v>27</v>
      </c>
      <c r="J1116" s="6" t="s">
        <v>67</v>
      </c>
      <c r="K1116" s="6" t="s">
        <v>48</v>
      </c>
      <c r="L1116" s="6" t="s">
        <v>54</v>
      </c>
      <c r="M1116" s="6" t="s">
        <v>48</v>
      </c>
      <c r="N1116" s="6" t="s">
        <v>28</v>
      </c>
      <c r="O1116" s="6" t="s">
        <v>26</v>
      </c>
      <c r="P1116" s="6" t="s">
        <v>42</v>
      </c>
      <c r="Q1116" s="6" t="s">
        <v>31</v>
      </c>
      <c r="R1116" s="6" t="s">
        <v>67</v>
      </c>
      <c r="S1116" s="6" t="s">
        <v>54</v>
      </c>
      <c r="T1116" s="6" t="s">
        <v>32</v>
      </c>
      <c r="U1116" s="6" t="s">
        <v>28</v>
      </c>
      <c r="V1116" s="6" t="s">
        <v>82</v>
      </c>
      <c r="W1116" t="s">
        <v>786</v>
      </c>
    </row>
    <row r="1117" spans="1:23" x14ac:dyDescent="0.3">
      <c r="A1117" s="6" t="s">
        <v>519</v>
      </c>
      <c r="B1117" s="1">
        <v>45798</v>
      </c>
      <c r="C1117" s="6" t="s">
        <v>84</v>
      </c>
      <c r="D1117" s="6" t="s">
        <v>67</v>
      </c>
      <c r="E1117" s="6" t="s">
        <v>64</v>
      </c>
      <c r="F1117" s="6" t="s">
        <v>24</v>
      </c>
      <c r="G1117" s="6" t="s">
        <v>61</v>
      </c>
      <c r="H1117" s="6" t="s">
        <v>26</v>
      </c>
      <c r="I1117" s="6" t="s">
        <v>27</v>
      </c>
      <c r="J1117" s="6" t="s">
        <v>67</v>
      </c>
      <c r="K1117" s="6" t="s">
        <v>48</v>
      </c>
      <c r="L1117" s="6" t="s">
        <v>54</v>
      </c>
      <c r="M1117" s="6" t="s">
        <v>48</v>
      </c>
      <c r="N1117" s="6" t="s">
        <v>28</v>
      </c>
      <c r="O1117" s="6" t="s">
        <v>26</v>
      </c>
      <c r="P1117" s="6" t="s">
        <v>58</v>
      </c>
      <c r="Q1117" s="6" t="s">
        <v>48</v>
      </c>
      <c r="R1117" s="6" t="s">
        <v>67</v>
      </c>
      <c r="S1117" s="6" t="s">
        <v>54</v>
      </c>
      <c r="T1117" s="6" t="s">
        <v>55</v>
      </c>
      <c r="U1117" s="6" t="s">
        <v>28</v>
      </c>
      <c r="V1117" s="6" t="s">
        <v>82</v>
      </c>
      <c r="W1117" t="s">
        <v>786</v>
      </c>
    </row>
    <row r="1118" spans="1:23" x14ac:dyDescent="0.3">
      <c r="A1118" s="6" t="s">
        <v>520</v>
      </c>
      <c r="B1118" s="1">
        <v>45798</v>
      </c>
      <c r="C1118" s="6" t="s">
        <v>84</v>
      </c>
      <c r="D1118" s="6" t="s">
        <v>22</v>
      </c>
      <c r="E1118" s="6" t="s">
        <v>23</v>
      </c>
      <c r="F1118" s="6" t="s">
        <v>24</v>
      </c>
      <c r="G1118" s="6" t="s">
        <v>61</v>
      </c>
      <c r="H1118" s="6" t="s">
        <v>48</v>
      </c>
      <c r="I1118" s="6" t="s">
        <v>100</v>
      </c>
      <c r="J1118" s="6" t="s">
        <v>49</v>
      </c>
      <c r="K1118" s="6" t="s">
        <v>48</v>
      </c>
      <c r="L1118" s="6" t="s">
        <v>54</v>
      </c>
      <c r="M1118" s="6" t="s">
        <v>48</v>
      </c>
      <c r="N1118" s="6" t="s">
        <v>28</v>
      </c>
      <c r="O1118" s="6" t="s">
        <v>26</v>
      </c>
      <c r="P1118" s="6" t="s">
        <v>48</v>
      </c>
      <c r="Q1118" s="6" t="s">
        <v>31</v>
      </c>
      <c r="R1118" s="6" t="s">
        <v>22</v>
      </c>
      <c r="S1118" s="6" t="s">
        <v>54</v>
      </c>
      <c r="T1118" s="6" t="s">
        <v>32</v>
      </c>
      <c r="U1118" s="6" t="s">
        <v>28</v>
      </c>
      <c r="V1118" s="6" t="s">
        <v>82</v>
      </c>
      <c r="W1118" t="s">
        <v>786</v>
      </c>
    </row>
    <row r="1119" spans="1:23" x14ac:dyDescent="0.3">
      <c r="A1119" s="6" t="s">
        <v>521</v>
      </c>
      <c r="B1119" s="1">
        <v>45799</v>
      </c>
      <c r="C1119" s="6" t="s">
        <v>84</v>
      </c>
      <c r="D1119" s="6" t="s">
        <v>48</v>
      </c>
      <c r="E1119" s="6" t="s">
        <v>35</v>
      </c>
      <c r="F1119" s="6" t="s">
        <v>24</v>
      </c>
      <c r="G1119" s="6" t="s">
        <v>97</v>
      </c>
      <c r="H1119" s="6" t="s">
        <v>48</v>
      </c>
      <c r="I1119" s="6" t="s">
        <v>100</v>
      </c>
      <c r="J1119" s="6" t="s">
        <v>49</v>
      </c>
      <c r="K1119" s="6" t="s">
        <v>48</v>
      </c>
      <c r="L1119" s="6" t="s">
        <v>54</v>
      </c>
      <c r="M1119" s="6" t="s">
        <v>48</v>
      </c>
      <c r="N1119" s="6" t="s">
        <v>28</v>
      </c>
      <c r="O1119" s="6" t="s">
        <v>26</v>
      </c>
      <c r="P1119" s="6" t="s">
        <v>37</v>
      </c>
      <c r="Q1119" s="6" t="s">
        <v>48</v>
      </c>
      <c r="R1119" s="6" t="s">
        <v>22</v>
      </c>
      <c r="S1119" s="6" t="s">
        <v>128</v>
      </c>
      <c r="T1119" s="6" t="s">
        <v>29</v>
      </c>
      <c r="U1119" s="6" t="s">
        <v>28</v>
      </c>
      <c r="V1119" s="6" t="s">
        <v>82</v>
      </c>
      <c r="W1119" t="s">
        <v>786</v>
      </c>
    </row>
    <row r="1120" spans="1:23" x14ac:dyDescent="0.3">
      <c r="A1120" s="6" t="s">
        <v>521</v>
      </c>
      <c r="B1120" s="1">
        <v>45799</v>
      </c>
      <c r="C1120" s="6" t="s">
        <v>84</v>
      </c>
      <c r="D1120" s="6" t="s">
        <v>48</v>
      </c>
      <c r="E1120" s="6" t="s">
        <v>35</v>
      </c>
      <c r="F1120" s="6" t="s">
        <v>24</v>
      </c>
      <c r="G1120" s="6" t="s">
        <v>97</v>
      </c>
      <c r="H1120" s="6" t="s">
        <v>48</v>
      </c>
      <c r="I1120" s="6" t="s">
        <v>100</v>
      </c>
      <c r="J1120" s="6" t="s">
        <v>49</v>
      </c>
      <c r="K1120" s="6" t="s">
        <v>48</v>
      </c>
      <c r="L1120" s="6" t="s">
        <v>54</v>
      </c>
      <c r="M1120" s="6" t="s">
        <v>48</v>
      </c>
      <c r="N1120" s="6" t="s">
        <v>28</v>
      </c>
      <c r="O1120" s="6" t="s">
        <v>26</v>
      </c>
      <c r="P1120" s="6" t="s">
        <v>37</v>
      </c>
      <c r="Q1120" s="6" t="s">
        <v>48</v>
      </c>
      <c r="R1120" s="6" t="s">
        <v>22</v>
      </c>
      <c r="S1120" s="6" t="s">
        <v>128</v>
      </c>
      <c r="T1120" s="6" t="s">
        <v>29</v>
      </c>
      <c r="U1120" s="6" t="s">
        <v>28</v>
      </c>
      <c r="V1120" s="6" t="s">
        <v>146</v>
      </c>
      <c r="W1120" t="s">
        <v>786</v>
      </c>
    </row>
    <row r="1121" spans="1:23" x14ac:dyDescent="0.3">
      <c r="A1121" s="6" t="s">
        <v>521</v>
      </c>
      <c r="B1121" s="1">
        <v>45799</v>
      </c>
      <c r="C1121" s="6" t="s">
        <v>84</v>
      </c>
      <c r="D1121" s="6" t="s">
        <v>48</v>
      </c>
      <c r="E1121" s="6" t="s">
        <v>35</v>
      </c>
      <c r="F1121" s="6" t="s">
        <v>24</v>
      </c>
      <c r="G1121" s="6" t="s">
        <v>97</v>
      </c>
      <c r="H1121" s="6" t="s">
        <v>48</v>
      </c>
      <c r="I1121" s="6" t="s">
        <v>100</v>
      </c>
      <c r="J1121" s="6" t="s">
        <v>49</v>
      </c>
      <c r="K1121" s="6" t="s">
        <v>48</v>
      </c>
      <c r="L1121" s="6" t="s">
        <v>54</v>
      </c>
      <c r="M1121" s="6" t="s">
        <v>48</v>
      </c>
      <c r="N1121" s="6" t="s">
        <v>28</v>
      </c>
      <c r="O1121" s="6" t="s">
        <v>26</v>
      </c>
      <c r="P1121" s="6" t="s">
        <v>37</v>
      </c>
      <c r="Q1121" s="6" t="s">
        <v>48</v>
      </c>
      <c r="R1121" s="6" t="s">
        <v>22</v>
      </c>
      <c r="S1121" s="6" t="s">
        <v>128</v>
      </c>
      <c r="T1121" s="6" t="s">
        <v>29</v>
      </c>
      <c r="U1121" s="6" t="s">
        <v>28</v>
      </c>
      <c r="V1121" s="6" t="s">
        <v>137</v>
      </c>
      <c r="W1121" t="s">
        <v>786</v>
      </c>
    </row>
    <row r="1122" spans="1:23" x14ac:dyDescent="0.3">
      <c r="A1122" s="6" t="s">
        <v>522</v>
      </c>
      <c r="B1122" s="1">
        <v>45799</v>
      </c>
      <c r="C1122" s="6" t="s">
        <v>39</v>
      </c>
      <c r="D1122" s="6" t="s">
        <v>43</v>
      </c>
      <c r="E1122" s="6" t="s">
        <v>46</v>
      </c>
      <c r="F1122" s="6" t="s">
        <v>24</v>
      </c>
      <c r="G1122" s="6" t="s">
        <v>147</v>
      </c>
      <c r="H1122" s="6" t="s">
        <v>26</v>
      </c>
      <c r="I1122" s="6" t="s">
        <v>100</v>
      </c>
      <c r="J1122" s="6" t="s">
        <v>43</v>
      </c>
      <c r="K1122" s="6" t="s">
        <v>76</v>
      </c>
      <c r="L1122" s="6" t="s">
        <v>54</v>
      </c>
      <c r="M1122" s="6" t="s">
        <v>32</v>
      </c>
      <c r="N1122" s="6" t="s">
        <v>28</v>
      </c>
      <c r="O1122" s="6" t="s">
        <v>26</v>
      </c>
      <c r="P1122" s="6" t="s">
        <v>37</v>
      </c>
      <c r="Q1122" s="6" t="s">
        <v>31</v>
      </c>
      <c r="R1122" s="6" t="s">
        <v>43</v>
      </c>
      <c r="S1122" s="6" t="s">
        <v>128</v>
      </c>
      <c r="T1122" s="6" t="s">
        <v>32</v>
      </c>
      <c r="U1122" s="6" t="s">
        <v>28</v>
      </c>
      <c r="V1122" s="6" t="s">
        <v>82</v>
      </c>
      <c r="W1122" t="s">
        <v>786</v>
      </c>
    </row>
    <row r="1123" spans="1:23" x14ac:dyDescent="0.3">
      <c r="A1123" s="6" t="s">
        <v>524</v>
      </c>
      <c r="B1123" s="1">
        <v>45799</v>
      </c>
      <c r="C1123" s="6" t="s">
        <v>33</v>
      </c>
      <c r="D1123" s="6" t="s">
        <v>22</v>
      </c>
      <c r="E1123" s="6" t="s">
        <v>35</v>
      </c>
      <c r="F1123" s="6" t="s">
        <v>24</v>
      </c>
      <c r="G1123" s="6" t="s">
        <v>86</v>
      </c>
      <c r="H1123" s="6" t="s">
        <v>26</v>
      </c>
      <c r="I1123" s="6" t="s">
        <v>38</v>
      </c>
      <c r="J1123" s="6" t="s">
        <v>22</v>
      </c>
      <c r="K1123" s="6" t="s">
        <v>48</v>
      </c>
      <c r="L1123" s="6" t="s">
        <v>54</v>
      </c>
      <c r="M1123" s="6" t="s">
        <v>142</v>
      </c>
      <c r="N1123" s="6" t="s">
        <v>28</v>
      </c>
      <c r="O1123" s="6" t="s">
        <v>48</v>
      </c>
      <c r="P1123" s="6" t="s">
        <v>48</v>
      </c>
      <c r="Q1123" s="6" t="s">
        <v>48</v>
      </c>
      <c r="R1123" s="6" t="s">
        <v>22</v>
      </c>
      <c r="S1123" s="6" t="s">
        <v>54</v>
      </c>
      <c r="T1123" s="6" t="s">
        <v>48</v>
      </c>
      <c r="U1123" s="6" t="s">
        <v>56</v>
      </c>
      <c r="V1123" s="6" t="s">
        <v>82</v>
      </c>
      <c r="W1123" t="s">
        <v>786</v>
      </c>
    </row>
    <row r="1124" spans="1:23" x14ac:dyDescent="0.3">
      <c r="A1124" s="6" t="s">
        <v>523</v>
      </c>
      <c r="B1124" s="1">
        <v>45799</v>
      </c>
      <c r="C1124" s="6" t="s">
        <v>33</v>
      </c>
      <c r="D1124" s="6" t="s">
        <v>22</v>
      </c>
      <c r="E1124" s="6" t="s">
        <v>35</v>
      </c>
      <c r="F1124" s="6" t="s">
        <v>24</v>
      </c>
      <c r="G1124" s="6" t="s">
        <v>86</v>
      </c>
      <c r="H1124" s="6" t="s">
        <v>26</v>
      </c>
      <c r="I1124" s="6" t="s">
        <v>38</v>
      </c>
      <c r="J1124" s="6" t="s">
        <v>22</v>
      </c>
      <c r="K1124" s="6" t="s">
        <v>48</v>
      </c>
      <c r="L1124" s="6" t="s">
        <v>54</v>
      </c>
      <c r="M1124" s="6" t="s">
        <v>142</v>
      </c>
      <c r="N1124" s="6" t="s">
        <v>28</v>
      </c>
      <c r="O1124" s="6" t="s">
        <v>48</v>
      </c>
      <c r="P1124" s="6" t="s">
        <v>48</v>
      </c>
      <c r="Q1124" s="6" t="s">
        <v>48</v>
      </c>
      <c r="R1124" s="6" t="s">
        <v>22</v>
      </c>
      <c r="S1124" s="6" t="s">
        <v>54</v>
      </c>
      <c r="T1124" s="6" t="s">
        <v>48</v>
      </c>
      <c r="U1124" s="6" t="s">
        <v>87</v>
      </c>
      <c r="V1124" s="6" t="s">
        <v>82</v>
      </c>
      <c r="W1124" t="s">
        <v>786</v>
      </c>
    </row>
    <row r="1125" spans="1:23" x14ac:dyDescent="0.3">
      <c r="A1125" s="6" t="s">
        <v>526</v>
      </c>
      <c r="B1125" s="1">
        <v>45799</v>
      </c>
      <c r="C1125" s="6" t="s">
        <v>33</v>
      </c>
      <c r="D1125" s="6" t="s">
        <v>22</v>
      </c>
      <c r="E1125" s="6" t="s">
        <v>35</v>
      </c>
      <c r="F1125" s="6" t="s">
        <v>24</v>
      </c>
      <c r="G1125" s="6" t="s">
        <v>86</v>
      </c>
      <c r="H1125" s="6" t="s">
        <v>26</v>
      </c>
      <c r="I1125" s="6" t="s">
        <v>38</v>
      </c>
      <c r="J1125" s="6" t="s">
        <v>22</v>
      </c>
      <c r="K1125" s="6" t="s">
        <v>48</v>
      </c>
      <c r="L1125" s="6" t="s">
        <v>54</v>
      </c>
      <c r="M1125" s="6" t="s">
        <v>142</v>
      </c>
      <c r="N1125" s="6" t="s">
        <v>28</v>
      </c>
      <c r="O1125" s="6" t="s">
        <v>48</v>
      </c>
      <c r="P1125" s="6" t="s">
        <v>48</v>
      </c>
      <c r="Q1125" s="6" t="s">
        <v>48</v>
      </c>
      <c r="R1125" s="6" t="s">
        <v>22</v>
      </c>
      <c r="S1125" s="6" t="s">
        <v>54</v>
      </c>
      <c r="T1125" s="6" t="s">
        <v>48</v>
      </c>
      <c r="U1125" s="6" t="s">
        <v>56</v>
      </c>
      <c r="V1125" s="6" t="s">
        <v>82</v>
      </c>
      <c r="W1125" t="s">
        <v>786</v>
      </c>
    </row>
    <row r="1126" spans="1:23" x14ac:dyDescent="0.3">
      <c r="A1126" s="6" t="s">
        <v>528</v>
      </c>
      <c r="B1126" s="1">
        <v>45799</v>
      </c>
      <c r="C1126" s="6" t="s">
        <v>33</v>
      </c>
      <c r="D1126" s="6" t="s">
        <v>22</v>
      </c>
      <c r="E1126" s="6" t="s">
        <v>35</v>
      </c>
      <c r="F1126" s="6" t="s">
        <v>24</v>
      </c>
      <c r="G1126" s="6" t="s">
        <v>86</v>
      </c>
      <c r="H1126" s="6" t="s">
        <v>26</v>
      </c>
      <c r="I1126" s="6" t="s">
        <v>38</v>
      </c>
      <c r="J1126" s="6" t="s">
        <v>22</v>
      </c>
      <c r="K1126" s="6" t="s">
        <v>48</v>
      </c>
      <c r="L1126" s="6" t="s">
        <v>54</v>
      </c>
      <c r="M1126" s="6" t="s">
        <v>142</v>
      </c>
      <c r="N1126" s="6" t="s">
        <v>28</v>
      </c>
      <c r="O1126" s="6" t="s">
        <v>48</v>
      </c>
      <c r="P1126" s="6" t="s">
        <v>48</v>
      </c>
      <c r="Q1126" s="6" t="s">
        <v>48</v>
      </c>
      <c r="R1126" s="6" t="s">
        <v>22</v>
      </c>
      <c r="S1126" s="6" t="s">
        <v>54</v>
      </c>
      <c r="T1126" s="6" t="s">
        <v>48</v>
      </c>
      <c r="U1126" s="6" t="s">
        <v>56</v>
      </c>
      <c r="V1126" s="6" t="s">
        <v>82</v>
      </c>
      <c r="W1126" t="s">
        <v>786</v>
      </c>
    </row>
    <row r="1127" spans="1:23" x14ac:dyDescent="0.3">
      <c r="A1127" s="6" t="s">
        <v>527</v>
      </c>
      <c r="B1127" s="1">
        <v>45799</v>
      </c>
      <c r="C1127" s="6" t="s">
        <v>33</v>
      </c>
      <c r="D1127" s="6" t="s">
        <v>22</v>
      </c>
      <c r="E1127" s="6" t="s">
        <v>35</v>
      </c>
      <c r="F1127" s="6" t="s">
        <v>24</v>
      </c>
      <c r="G1127" s="6" t="s">
        <v>86</v>
      </c>
      <c r="H1127" s="6" t="s">
        <v>26</v>
      </c>
      <c r="I1127" s="6" t="s">
        <v>38</v>
      </c>
      <c r="J1127" s="6" t="s">
        <v>22</v>
      </c>
      <c r="K1127" s="6" t="s">
        <v>48</v>
      </c>
      <c r="L1127" s="6" t="s">
        <v>54</v>
      </c>
      <c r="M1127" s="6" t="s">
        <v>142</v>
      </c>
      <c r="N1127" s="6" t="s">
        <v>28</v>
      </c>
      <c r="O1127" s="6" t="s">
        <v>48</v>
      </c>
      <c r="P1127" s="6" t="s">
        <v>48</v>
      </c>
      <c r="Q1127" s="6" t="s">
        <v>48</v>
      </c>
      <c r="R1127" s="6" t="s">
        <v>22</v>
      </c>
      <c r="S1127" s="6" t="s">
        <v>54</v>
      </c>
      <c r="T1127" s="6" t="s">
        <v>48</v>
      </c>
      <c r="U1127" s="6" t="s">
        <v>56</v>
      </c>
      <c r="V1127" s="6" t="s">
        <v>82</v>
      </c>
      <c r="W1127" t="s">
        <v>786</v>
      </c>
    </row>
    <row r="1128" spans="1:23" x14ac:dyDescent="0.3">
      <c r="A1128" s="6" t="s">
        <v>525</v>
      </c>
      <c r="B1128" s="1">
        <v>45799</v>
      </c>
      <c r="C1128" s="6" t="s">
        <v>33</v>
      </c>
      <c r="D1128" s="6" t="s">
        <v>22</v>
      </c>
      <c r="E1128" s="6" t="s">
        <v>35</v>
      </c>
      <c r="F1128" s="6" t="s">
        <v>24</v>
      </c>
      <c r="G1128" s="6" t="s">
        <v>86</v>
      </c>
      <c r="H1128" s="6" t="s">
        <v>26</v>
      </c>
      <c r="I1128" s="6" t="s">
        <v>38</v>
      </c>
      <c r="J1128" s="6" t="s">
        <v>22</v>
      </c>
      <c r="K1128" s="6" t="s">
        <v>48</v>
      </c>
      <c r="L1128" s="6" t="s">
        <v>54</v>
      </c>
      <c r="M1128" s="6" t="s">
        <v>142</v>
      </c>
      <c r="N1128" s="6" t="s">
        <v>28</v>
      </c>
      <c r="O1128" s="6" t="s">
        <v>30</v>
      </c>
      <c r="P1128" s="6" t="s">
        <v>48</v>
      </c>
      <c r="Q1128" s="6" t="s">
        <v>48</v>
      </c>
      <c r="R1128" s="6" t="s">
        <v>22</v>
      </c>
      <c r="S1128" s="6" t="s">
        <v>54</v>
      </c>
      <c r="T1128" s="6" t="s">
        <v>48</v>
      </c>
      <c r="U1128" s="6" t="s">
        <v>28</v>
      </c>
      <c r="V1128" s="6" t="s">
        <v>82</v>
      </c>
      <c r="W1128" t="s">
        <v>786</v>
      </c>
    </row>
    <row r="1129" spans="1:23" x14ac:dyDescent="0.3">
      <c r="A1129" s="6" t="s">
        <v>529</v>
      </c>
      <c r="B1129" s="1">
        <v>45800</v>
      </c>
      <c r="C1129" s="6" t="s">
        <v>343</v>
      </c>
      <c r="D1129" s="6" t="s">
        <v>43</v>
      </c>
      <c r="E1129" s="6" t="s">
        <v>68</v>
      </c>
      <c r="F1129" s="6" t="s">
        <v>24</v>
      </c>
      <c r="G1129" s="6" t="s">
        <v>85</v>
      </c>
      <c r="H1129" s="6" t="s">
        <v>26</v>
      </c>
      <c r="I1129" s="6" t="s">
        <v>37</v>
      </c>
      <c r="J1129" s="6" t="s">
        <v>43</v>
      </c>
      <c r="K1129" s="6" t="s">
        <v>120</v>
      </c>
      <c r="L1129" s="6" t="s">
        <v>54</v>
      </c>
      <c r="M1129" s="6" t="s">
        <v>32</v>
      </c>
      <c r="N1129" s="6" t="s">
        <v>28</v>
      </c>
      <c r="O1129" s="6" t="s">
        <v>26</v>
      </c>
      <c r="P1129" s="6" t="s">
        <v>52</v>
      </c>
      <c r="Q1129" s="6" t="s">
        <v>31</v>
      </c>
      <c r="R1129" s="6" t="s">
        <v>43</v>
      </c>
      <c r="S1129" s="6" t="s">
        <v>54</v>
      </c>
      <c r="T1129" s="6" t="s">
        <v>29</v>
      </c>
      <c r="U1129" s="6" t="s">
        <v>28</v>
      </c>
      <c r="V1129" s="6" t="s">
        <v>82</v>
      </c>
      <c r="W1129" t="s">
        <v>786</v>
      </c>
    </row>
    <row r="1130" spans="1:23" x14ac:dyDescent="0.3">
      <c r="A1130" s="6" t="s">
        <v>530</v>
      </c>
      <c r="B1130" s="1">
        <v>45801</v>
      </c>
      <c r="C1130" s="6" t="s">
        <v>21</v>
      </c>
      <c r="D1130" s="6" t="s">
        <v>43</v>
      </c>
      <c r="E1130" s="6" t="s">
        <v>41</v>
      </c>
      <c r="F1130" s="6" t="s">
        <v>24</v>
      </c>
      <c r="G1130" s="6" t="s">
        <v>69</v>
      </c>
      <c r="H1130" s="6" t="s">
        <v>26</v>
      </c>
      <c r="I1130" s="6" t="s">
        <v>27</v>
      </c>
      <c r="J1130" s="6" t="s">
        <v>43</v>
      </c>
      <c r="K1130" s="6" t="s">
        <v>48</v>
      </c>
      <c r="L1130" s="6" t="s">
        <v>54</v>
      </c>
      <c r="M1130" s="6" t="s">
        <v>29</v>
      </c>
      <c r="N1130" s="6" t="s">
        <v>28</v>
      </c>
      <c r="O1130" s="6" t="s">
        <v>30</v>
      </c>
      <c r="P1130" s="6" t="s">
        <v>37</v>
      </c>
      <c r="Q1130" s="6" t="s">
        <v>48</v>
      </c>
      <c r="R1130" s="6" t="s">
        <v>43</v>
      </c>
      <c r="S1130" s="6" t="s">
        <v>54</v>
      </c>
      <c r="T1130" s="6" t="s">
        <v>29</v>
      </c>
      <c r="U1130" s="6" t="s">
        <v>28</v>
      </c>
      <c r="V1130" s="6" t="s">
        <v>82</v>
      </c>
      <c r="W1130" t="s">
        <v>786</v>
      </c>
    </row>
    <row r="1131" spans="1:23" x14ac:dyDescent="0.3">
      <c r="A1131" s="6" t="s">
        <v>530</v>
      </c>
      <c r="B1131" s="1">
        <v>45801</v>
      </c>
      <c r="C1131" s="6" t="s">
        <v>21</v>
      </c>
      <c r="D1131" s="6" t="s">
        <v>43</v>
      </c>
      <c r="E1131" s="6" t="s">
        <v>41</v>
      </c>
      <c r="F1131" s="6" t="s">
        <v>24</v>
      </c>
      <c r="G1131" s="6" t="s">
        <v>69</v>
      </c>
      <c r="H1131" s="6" t="s">
        <v>26</v>
      </c>
      <c r="I1131" s="6" t="s">
        <v>27</v>
      </c>
      <c r="J1131" s="6" t="s">
        <v>43</v>
      </c>
      <c r="K1131" s="6" t="s">
        <v>48</v>
      </c>
      <c r="L1131" s="6" t="s">
        <v>54</v>
      </c>
      <c r="M1131" s="6" t="s">
        <v>29</v>
      </c>
      <c r="N1131" s="6" t="s">
        <v>28</v>
      </c>
      <c r="O1131" s="6" t="s">
        <v>30</v>
      </c>
      <c r="P1131" s="6" t="s">
        <v>37</v>
      </c>
      <c r="Q1131" s="6" t="s">
        <v>48</v>
      </c>
      <c r="R1131" s="6" t="s">
        <v>43</v>
      </c>
      <c r="S1131" s="6" t="s">
        <v>54</v>
      </c>
      <c r="T1131" s="6" t="s">
        <v>29</v>
      </c>
      <c r="U1131" s="6" t="s">
        <v>28</v>
      </c>
      <c r="V1131" s="6" t="s">
        <v>137</v>
      </c>
      <c r="W1131" t="s">
        <v>786</v>
      </c>
    </row>
    <row r="1132" spans="1:23" x14ac:dyDescent="0.3">
      <c r="A1132" s="6" t="s">
        <v>531</v>
      </c>
      <c r="B1132" s="1">
        <v>45802</v>
      </c>
      <c r="C1132" s="6" t="s">
        <v>33</v>
      </c>
      <c r="D1132" s="6" t="s">
        <v>83</v>
      </c>
      <c r="E1132" s="6" t="s">
        <v>35</v>
      </c>
      <c r="F1132" s="6" t="s">
        <v>24</v>
      </c>
      <c r="G1132" s="6" t="s">
        <v>69</v>
      </c>
      <c r="H1132" s="6" t="s">
        <v>26</v>
      </c>
      <c r="I1132" s="6" t="s">
        <v>37</v>
      </c>
      <c r="J1132" s="6" t="s">
        <v>83</v>
      </c>
      <c r="K1132" s="6" t="s">
        <v>102</v>
      </c>
      <c r="L1132" s="6" t="s">
        <v>54</v>
      </c>
      <c r="M1132" s="6" t="s">
        <v>32</v>
      </c>
      <c r="N1132" s="6" t="s">
        <v>28</v>
      </c>
      <c r="O1132" s="6" t="s">
        <v>26</v>
      </c>
      <c r="P1132" s="6" t="s">
        <v>66</v>
      </c>
      <c r="Q1132" s="6" t="s">
        <v>48</v>
      </c>
      <c r="R1132" s="6" t="s">
        <v>83</v>
      </c>
      <c r="S1132" s="6" t="s">
        <v>54</v>
      </c>
      <c r="T1132" s="6" t="s">
        <v>32</v>
      </c>
      <c r="U1132" s="6" t="s">
        <v>28</v>
      </c>
      <c r="V1132" s="6" t="s">
        <v>82</v>
      </c>
      <c r="W1132" t="s">
        <v>786</v>
      </c>
    </row>
    <row r="1133" spans="1:23" x14ac:dyDescent="0.3">
      <c r="A1133" s="6" t="s">
        <v>532</v>
      </c>
      <c r="B1133" s="1">
        <v>45802</v>
      </c>
      <c r="C1133" s="6" t="s">
        <v>33</v>
      </c>
      <c r="D1133" s="6" t="s">
        <v>83</v>
      </c>
      <c r="E1133" s="6" t="s">
        <v>35</v>
      </c>
      <c r="F1133" s="6" t="s">
        <v>24</v>
      </c>
      <c r="G1133" s="6" t="s">
        <v>69</v>
      </c>
      <c r="H1133" s="6" t="s">
        <v>26</v>
      </c>
      <c r="I1133" s="6" t="s">
        <v>37</v>
      </c>
      <c r="J1133" s="6" t="s">
        <v>83</v>
      </c>
      <c r="K1133" s="6" t="s">
        <v>102</v>
      </c>
      <c r="L1133" s="6" t="s">
        <v>54</v>
      </c>
      <c r="M1133" s="6" t="s">
        <v>32</v>
      </c>
      <c r="N1133" s="6" t="s">
        <v>28</v>
      </c>
      <c r="O1133" s="6" t="s">
        <v>26</v>
      </c>
      <c r="P1133" s="6" t="s">
        <v>37</v>
      </c>
      <c r="Q1133" s="6" t="s">
        <v>48</v>
      </c>
      <c r="R1133" s="6" t="s">
        <v>83</v>
      </c>
      <c r="S1133" s="6" t="s">
        <v>54</v>
      </c>
      <c r="T1133" s="6" t="s">
        <v>32</v>
      </c>
      <c r="U1133" s="6" t="s">
        <v>28</v>
      </c>
      <c r="V1133" s="6" t="s">
        <v>82</v>
      </c>
      <c r="W1133" t="s">
        <v>786</v>
      </c>
    </row>
    <row r="1134" spans="1:23" x14ac:dyDescent="0.3">
      <c r="A1134" s="6" t="s">
        <v>533</v>
      </c>
      <c r="B1134" s="1">
        <v>45802</v>
      </c>
      <c r="C1134" s="6" t="s">
        <v>343</v>
      </c>
      <c r="D1134" s="6" t="s">
        <v>83</v>
      </c>
      <c r="E1134" s="6" t="s">
        <v>68</v>
      </c>
      <c r="F1134" s="6" t="s">
        <v>24</v>
      </c>
      <c r="G1134" s="6" t="s">
        <v>97</v>
      </c>
      <c r="H1134" s="6" t="s">
        <v>48</v>
      </c>
      <c r="I1134" s="6" t="s">
        <v>27</v>
      </c>
      <c r="J1134" s="6" t="s">
        <v>83</v>
      </c>
      <c r="K1134" s="6" t="s">
        <v>48</v>
      </c>
      <c r="L1134" s="6" t="s">
        <v>152</v>
      </c>
      <c r="M1134" s="6" t="s">
        <v>48</v>
      </c>
      <c r="N1134" s="6" t="s">
        <v>158</v>
      </c>
      <c r="O1134" s="6" t="s">
        <v>30</v>
      </c>
      <c r="P1134" s="6" t="s">
        <v>48</v>
      </c>
      <c r="Q1134" s="6" t="s">
        <v>31</v>
      </c>
      <c r="R1134" s="6" t="s">
        <v>83</v>
      </c>
      <c r="S1134" s="6" t="s">
        <v>54</v>
      </c>
      <c r="T1134" s="6" t="s">
        <v>48</v>
      </c>
      <c r="U1134" s="6" t="s">
        <v>28</v>
      </c>
      <c r="V1134" s="6" t="s">
        <v>146</v>
      </c>
      <c r="W1134" t="s">
        <v>786</v>
      </c>
    </row>
    <row r="1135" spans="1:23" x14ac:dyDescent="0.3">
      <c r="A1135" s="6" t="s">
        <v>533</v>
      </c>
      <c r="B1135" s="1">
        <v>45802</v>
      </c>
      <c r="C1135" s="6" t="s">
        <v>343</v>
      </c>
      <c r="D1135" s="6" t="s">
        <v>83</v>
      </c>
      <c r="E1135" s="6" t="s">
        <v>68</v>
      </c>
      <c r="F1135" s="6" t="s">
        <v>24</v>
      </c>
      <c r="G1135" s="6" t="s">
        <v>97</v>
      </c>
      <c r="H1135" s="6" t="s">
        <v>48</v>
      </c>
      <c r="I1135" s="6" t="s">
        <v>27</v>
      </c>
      <c r="J1135" s="6" t="s">
        <v>83</v>
      </c>
      <c r="K1135" s="6" t="s">
        <v>48</v>
      </c>
      <c r="L1135" s="6" t="s">
        <v>152</v>
      </c>
      <c r="M1135" s="6" t="s">
        <v>48</v>
      </c>
      <c r="N1135" s="6" t="s">
        <v>158</v>
      </c>
      <c r="O1135" s="6" t="s">
        <v>30</v>
      </c>
      <c r="P1135" s="6" t="s">
        <v>48</v>
      </c>
      <c r="Q1135" s="6" t="s">
        <v>31</v>
      </c>
      <c r="R1135" s="6" t="s">
        <v>83</v>
      </c>
      <c r="S1135" s="6" t="s">
        <v>54</v>
      </c>
      <c r="T1135" s="6" t="s">
        <v>48</v>
      </c>
      <c r="U1135" s="6" t="s">
        <v>28</v>
      </c>
      <c r="V1135" s="6" t="s">
        <v>82</v>
      </c>
      <c r="W1135" t="s">
        <v>786</v>
      </c>
    </row>
    <row r="1136" spans="1:23" x14ac:dyDescent="0.3">
      <c r="A1136" s="6" t="s">
        <v>534</v>
      </c>
      <c r="B1136" s="1">
        <v>45803</v>
      </c>
      <c r="C1136" s="6" t="s">
        <v>343</v>
      </c>
      <c r="D1136" s="6" t="s">
        <v>22</v>
      </c>
      <c r="E1136" s="6" t="s">
        <v>46</v>
      </c>
      <c r="F1136" s="6" t="s">
        <v>24</v>
      </c>
      <c r="G1136" s="6" t="s">
        <v>69</v>
      </c>
      <c r="H1136" s="6" t="s">
        <v>26</v>
      </c>
      <c r="I1136" s="6" t="s">
        <v>45</v>
      </c>
      <c r="J1136" s="6" t="s">
        <v>22</v>
      </c>
      <c r="K1136" s="6" t="s">
        <v>102</v>
      </c>
      <c r="L1136" s="6" t="s">
        <v>128</v>
      </c>
      <c r="M1136" s="6" t="s">
        <v>55</v>
      </c>
      <c r="N1136" s="6" t="s">
        <v>28</v>
      </c>
      <c r="O1136" s="6" t="s">
        <v>30</v>
      </c>
      <c r="P1136" s="6" t="s">
        <v>45</v>
      </c>
      <c r="Q1136" s="6" t="s">
        <v>48</v>
      </c>
      <c r="R1136" s="6" t="s">
        <v>22</v>
      </c>
      <c r="S1136" s="6" t="s">
        <v>54</v>
      </c>
      <c r="T1136" s="6" t="s">
        <v>48</v>
      </c>
      <c r="U1136" s="6" t="s">
        <v>28</v>
      </c>
      <c r="V1136" s="6" t="s">
        <v>146</v>
      </c>
      <c r="W1136" t="s">
        <v>786</v>
      </c>
    </row>
    <row r="1137" spans="1:23" x14ac:dyDescent="0.3">
      <c r="A1137" s="6" t="s">
        <v>535</v>
      </c>
      <c r="B1137" s="1">
        <v>45804</v>
      </c>
      <c r="C1137" s="6" t="s">
        <v>84</v>
      </c>
      <c r="D1137" s="6" t="s">
        <v>122</v>
      </c>
      <c r="E1137" s="6" t="s">
        <v>46</v>
      </c>
      <c r="F1137" s="6" t="s">
        <v>24</v>
      </c>
      <c r="G1137" s="6" t="s">
        <v>71</v>
      </c>
      <c r="H1137" s="6" t="s">
        <v>48</v>
      </c>
      <c r="I1137" s="6" t="s">
        <v>48</v>
      </c>
      <c r="J1137" s="6" t="s">
        <v>49</v>
      </c>
      <c r="K1137" s="6" t="s">
        <v>48</v>
      </c>
      <c r="L1137" s="6" t="s">
        <v>54</v>
      </c>
      <c r="M1137" s="6" t="s">
        <v>48</v>
      </c>
      <c r="N1137" s="6" t="s">
        <v>28</v>
      </c>
      <c r="O1137" s="6" t="s">
        <v>26</v>
      </c>
      <c r="P1137" s="6" t="s">
        <v>42</v>
      </c>
      <c r="Q1137" s="6" t="s">
        <v>31</v>
      </c>
      <c r="R1137" s="6" t="s">
        <v>122</v>
      </c>
      <c r="S1137" s="6" t="s">
        <v>54</v>
      </c>
      <c r="T1137" s="6" t="s">
        <v>48</v>
      </c>
      <c r="U1137" s="6" t="s">
        <v>28</v>
      </c>
      <c r="V1137" s="6" t="s">
        <v>146</v>
      </c>
      <c r="W1137" t="s">
        <v>786</v>
      </c>
    </row>
    <row r="1138" spans="1:23" x14ac:dyDescent="0.3">
      <c r="A1138" s="6" t="s">
        <v>536</v>
      </c>
      <c r="B1138" s="1">
        <v>45805</v>
      </c>
      <c r="C1138" s="6" t="s">
        <v>90</v>
      </c>
      <c r="D1138" s="6" t="s">
        <v>43</v>
      </c>
      <c r="E1138" s="6" t="s">
        <v>68</v>
      </c>
      <c r="F1138" s="6" t="s">
        <v>24</v>
      </c>
      <c r="G1138" s="6" t="s">
        <v>107</v>
      </c>
      <c r="H1138" s="6" t="s">
        <v>26</v>
      </c>
      <c r="I1138" s="6" t="s">
        <v>66</v>
      </c>
      <c r="J1138" s="6" t="s">
        <v>43</v>
      </c>
      <c r="K1138" s="6" t="s">
        <v>48</v>
      </c>
      <c r="L1138" s="6" t="s">
        <v>54</v>
      </c>
      <c r="M1138" s="6" t="s">
        <v>48</v>
      </c>
      <c r="N1138" s="6" t="s">
        <v>28</v>
      </c>
      <c r="O1138" s="6" t="s">
        <v>48</v>
      </c>
      <c r="P1138" s="6" t="s">
        <v>48</v>
      </c>
      <c r="Q1138" s="6" t="s">
        <v>48</v>
      </c>
      <c r="R1138" s="6" t="s">
        <v>43</v>
      </c>
      <c r="S1138" s="6" t="s">
        <v>54</v>
      </c>
      <c r="T1138" s="6" t="s">
        <v>48</v>
      </c>
      <c r="U1138" s="6" t="s">
        <v>118</v>
      </c>
      <c r="V1138" s="6" t="s">
        <v>146</v>
      </c>
      <c r="W1138" t="s">
        <v>786</v>
      </c>
    </row>
    <row r="1139" spans="1:23" x14ac:dyDescent="0.3">
      <c r="A1139" s="6" t="s">
        <v>537</v>
      </c>
      <c r="B1139" s="1">
        <v>45806</v>
      </c>
      <c r="C1139" s="6" t="s">
        <v>33</v>
      </c>
      <c r="D1139" s="6" t="s">
        <v>22</v>
      </c>
      <c r="E1139" s="6" t="s">
        <v>44</v>
      </c>
      <c r="F1139" s="6" t="s">
        <v>24</v>
      </c>
      <c r="G1139" s="6" t="s">
        <v>110</v>
      </c>
      <c r="H1139" s="6" t="s">
        <v>26</v>
      </c>
      <c r="I1139" s="6" t="s">
        <v>37</v>
      </c>
      <c r="J1139" s="6" t="s">
        <v>22</v>
      </c>
      <c r="K1139" s="6" t="s">
        <v>48</v>
      </c>
      <c r="L1139" s="6" t="s">
        <v>54</v>
      </c>
      <c r="M1139" s="6" t="s">
        <v>32</v>
      </c>
      <c r="N1139" s="6" t="s">
        <v>28</v>
      </c>
      <c r="O1139" s="6" t="s">
        <v>26</v>
      </c>
      <c r="P1139" s="6" t="s">
        <v>52</v>
      </c>
      <c r="Q1139" s="6" t="s">
        <v>31</v>
      </c>
      <c r="R1139" s="6" t="s">
        <v>22</v>
      </c>
      <c r="S1139" s="6" t="s">
        <v>54</v>
      </c>
      <c r="T1139" s="6" t="s">
        <v>32</v>
      </c>
      <c r="U1139" s="6" t="s">
        <v>28</v>
      </c>
      <c r="V1139" s="6" t="s">
        <v>82</v>
      </c>
      <c r="W1139" t="s">
        <v>786</v>
      </c>
    </row>
    <row r="1140" spans="1:23" x14ac:dyDescent="0.3">
      <c r="A1140" s="6" t="s">
        <v>538</v>
      </c>
      <c r="B1140" s="1">
        <v>45806</v>
      </c>
      <c r="C1140" s="6" t="s">
        <v>33</v>
      </c>
      <c r="D1140" s="6" t="s">
        <v>22</v>
      </c>
      <c r="E1140" s="6" t="s">
        <v>44</v>
      </c>
      <c r="F1140" s="6" t="s">
        <v>24</v>
      </c>
      <c r="G1140" s="6" t="s">
        <v>110</v>
      </c>
      <c r="H1140" s="6" t="s">
        <v>26</v>
      </c>
      <c r="I1140" s="6" t="s">
        <v>37</v>
      </c>
      <c r="J1140" s="6" t="s">
        <v>22</v>
      </c>
      <c r="K1140" s="6" t="s">
        <v>48</v>
      </c>
      <c r="L1140" s="6" t="s">
        <v>54</v>
      </c>
      <c r="M1140" s="6" t="s">
        <v>32</v>
      </c>
      <c r="N1140" s="6" t="s">
        <v>28</v>
      </c>
      <c r="O1140" s="6" t="s">
        <v>30</v>
      </c>
      <c r="P1140" s="6" t="s">
        <v>788</v>
      </c>
      <c r="Q1140" s="6" t="s">
        <v>31</v>
      </c>
      <c r="R1140" s="6" t="s">
        <v>22</v>
      </c>
      <c r="S1140" s="6" t="s">
        <v>54</v>
      </c>
      <c r="T1140" s="6" t="s">
        <v>32</v>
      </c>
      <c r="U1140" s="6" t="s">
        <v>28</v>
      </c>
      <c r="V1140" s="6" t="s">
        <v>82</v>
      </c>
      <c r="W1140" t="s">
        <v>786</v>
      </c>
    </row>
    <row r="1141" spans="1:23" x14ac:dyDescent="0.3">
      <c r="A1141" s="6" t="s">
        <v>539</v>
      </c>
      <c r="B1141" s="1">
        <v>45806</v>
      </c>
      <c r="C1141" s="6" t="s">
        <v>33</v>
      </c>
      <c r="D1141" s="6" t="s">
        <v>22</v>
      </c>
      <c r="E1141" s="6" t="s">
        <v>44</v>
      </c>
      <c r="F1141" s="6" t="s">
        <v>24</v>
      </c>
      <c r="G1141" s="6" t="s">
        <v>110</v>
      </c>
      <c r="H1141" s="6" t="s">
        <v>26</v>
      </c>
      <c r="I1141" s="6" t="s">
        <v>37</v>
      </c>
      <c r="J1141" s="6" t="s">
        <v>22</v>
      </c>
      <c r="K1141" s="6" t="s">
        <v>48</v>
      </c>
      <c r="L1141" s="6" t="s">
        <v>54</v>
      </c>
      <c r="M1141" s="6" t="s">
        <v>32</v>
      </c>
      <c r="N1141" s="6" t="s">
        <v>28</v>
      </c>
      <c r="O1141" s="6" t="s">
        <v>26</v>
      </c>
      <c r="P1141" s="6" t="s">
        <v>52</v>
      </c>
      <c r="Q1141" s="6" t="s">
        <v>31</v>
      </c>
      <c r="R1141" s="6" t="s">
        <v>22</v>
      </c>
      <c r="S1141" s="6" t="s">
        <v>54</v>
      </c>
      <c r="T1141" s="6" t="s">
        <v>48</v>
      </c>
      <c r="U1141" s="6" t="s">
        <v>28</v>
      </c>
      <c r="V1141" s="6" t="s">
        <v>82</v>
      </c>
      <c r="W1141" t="s">
        <v>786</v>
      </c>
    </row>
    <row r="1142" spans="1:23" x14ac:dyDescent="0.3">
      <c r="A1142" s="6" t="s">
        <v>540</v>
      </c>
      <c r="B1142" s="1">
        <v>45806</v>
      </c>
      <c r="C1142" s="6" t="s">
        <v>33</v>
      </c>
      <c r="D1142" s="6" t="s">
        <v>22</v>
      </c>
      <c r="E1142" s="6" t="s">
        <v>44</v>
      </c>
      <c r="F1142" s="6" t="s">
        <v>24</v>
      </c>
      <c r="G1142" s="6" t="s">
        <v>110</v>
      </c>
      <c r="H1142" s="6" t="s">
        <v>26</v>
      </c>
      <c r="I1142" s="6" t="s">
        <v>37</v>
      </c>
      <c r="J1142" s="6" t="s">
        <v>22</v>
      </c>
      <c r="K1142" s="6" t="s">
        <v>48</v>
      </c>
      <c r="L1142" s="6" t="s">
        <v>54</v>
      </c>
      <c r="M1142" s="6" t="s">
        <v>32</v>
      </c>
      <c r="N1142" s="6" t="s">
        <v>28</v>
      </c>
      <c r="O1142" s="6" t="s">
        <v>30</v>
      </c>
      <c r="P1142" s="6" t="s">
        <v>58</v>
      </c>
      <c r="Q1142" s="6" t="s">
        <v>31</v>
      </c>
      <c r="R1142" s="6" t="s">
        <v>22</v>
      </c>
      <c r="S1142" s="6" t="s">
        <v>54</v>
      </c>
      <c r="T1142" s="6" t="s">
        <v>48</v>
      </c>
      <c r="U1142" s="6" t="s">
        <v>28</v>
      </c>
      <c r="V1142" s="6" t="s">
        <v>82</v>
      </c>
      <c r="W1142" t="s">
        <v>786</v>
      </c>
    </row>
    <row r="1143" spans="1:23" x14ac:dyDescent="0.3">
      <c r="A1143" s="6" t="s">
        <v>541</v>
      </c>
      <c r="B1143" s="1">
        <v>45810</v>
      </c>
      <c r="C1143" s="6" t="s">
        <v>33</v>
      </c>
      <c r="D1143" s="6" t="s">
        <v>22</v>
      </c>
      <c r="E1143" s="6" t="s">
        <v>68</v>
      </c>
      <c r="F1143" s="6" t="s">
        <v>24</v>
      </c>
      <c r="G1143" s="6" t="s">
        <v>69</v>
      </c>
      <c r="H1143" s="6" t="s">
        <v>26</v>
      </c>
      <c r="I1143" s="6" t="s">
        <v>38</v>
      </c>
      <c r="J1143" s="6" t="s">
        <v>22</v>
      </c>
      <c r="K1143" s="6" t="s">
        <v>48</v>
      </c>
      <c r="L1143" s="6" t="s">
        <v>54</v>
      </c>
      <c r="M1143" s="6" t="s">
        <v>32</v>
      </c>
      <c r="N1143" s="6" t="s">
        <v>28</v>
      </c>
      <c r="O1143" s="6" t="s">
        <v>26</v>
      </c>
      <c r="P1143" s="6" t="s">
        <v>27</v>
      </c>
      <c r="Q1143" s="6" t="s">
        <v>31</v>
      </c>
      <c r="R1143" s="6" t="s">
        <v>22</v>
      </c>
      <c r="S1143" s="6" t="s">
        <v>54</v>
      </c>
      <c r="T1143" s="6" t="s">
        <v>48</v>
      </c>
      <c r="U1143" s="6" t="s">
        <v>28</v>
      </c>
      <c r="V1143" s="6" t="s">
        <v>82</v>
      </c>
      <c r="W1143" t="s">
        <v>787</v>
      </c>
    </row>
    <row r="1144" spans="1:23" x14ac:dyDescent="0.3">
      <c r="A1144" s="6" t="s">
        <v>542</v>
      </c>
      <c r="B1144" s="1">
        <v>45810</v>
      </c>
      <c r="C1144" s="6" t="s">
        <v>343</v>
      </c>
      <c r="D1144" s="6" t="s">
        <v>22</v>
      </c>
      <c r="E1144" s="6" t="s">
        <v>64</v>
      </c>
      <c r="F1144" s="6" t="s">
        <v>24</v>
      </c>
      <c r="G1144" s="6" t="s">
        <v>61</v>
      </c>
      <c r="H1144" s="6" t="s">
        <v>26</v>
      </c>
      <c r="I1144" s="6" t="s">
        <v>27</v>
      </c>
      <c r="J1144" s="6" t="s">
        <v>22</v>
      </c>
      <c r="K1144" s="6" t="s">
        <v>53</v>
      </c>
      <c r="L1144" s="6" t="s">
        <v>54</v>
      </c>
      <c r="M1144" s="6" t="s">
        <v>55</v>
      </c>
      <c r="N1144" s="6" t="s">
        <v>28</v>
      </c>
      <c r="O1144" s="6" t="s">
        <v>48</v>
      </c>
      <c r="P1144" s="6" t="s">
        <v>48</v>
      </c>
      <c r="Q1144" s="6" t="s">
        <v>48</v>
      </c>
      <c r="R1144" s="6" t="s">
        <v>22</v>
      </c>
      <c r="S1144" s="6" t="s">
        <v>54</v>
      </c>
      <c r="T1144" s="6" t="s">
        <v>48</v>
      </c>
      <c r="U1144" s="6" t="s">
        <v>28</v>
      </c>
      <c r="V1144" s="6" t="s">
        <v>146</v>
      </c>
      <c r="W1144" t="s">
        <v>787</v>
      </c>
    </row>
    <row r="1145" spans="1:23" x14ac:dyDescent="0.3">
      <c r="A1145" s="6" t="s">
        <v>542</v>
      </c>
      <c r="B1145" s="1">
        <v>45810</v>
      </c>
      <c r="C1145" s="6" t="s">
        <v>343</v>
      </c>
      <c r="D1145" s="6" t="s">
        <v>22</v>
      </c>
      <c r="E1145" s="6" t="s">
        <v>64</v>
      </c>
      <c r="F1145" s="6" t="s">
        <v>24</v>
      </c>
      <c r="G1145" s="6" t="s">
        <v>61</v>
      </c>
      <c r="H1145" s="6" t="s">
        <v>26</v>
      </c>
      <c r="I1145" s="6" t="s">
        <v>27</v>
      </c>
      <c r="J1145" s="6" t="s">
        <v>22</v>
      </c>
      <c r="K1145" s="6" t="s">
        <v>53</v>
      </c>
      <c r="L1145" s="6" t="s">
        <v>54</v>
      </c>
      <c r="M1145" s="6" t="s">
        <v>55</v>
      </c>
      <c r="N1145" s="6" t="s">
        <v>28</v>
      </c>
      <c r="O1145" s="6" t="s">
        <v>48</v>
      </c>
      <c r="P1145" s="6" t="s">
        <v>48</v>
      </c>
      <c r="Q1145" s="6" t="s">
        <v>48</v>
      </c>
      <c r="R1145" s="6" t="s">
        <v>22</v>
      </c>
      <c r="S1145" s="6" t="s">
        <v>54</v>
      </c>
      <c r="T1145" s="6" t="s">
        <v>48</v>
      </c>
      <c r="U1145" s="6" t="s">
        <v>28</v>
      </c>
      <c r="V1145" s="6" t="s">
        <v>82</v>
      </c>
      <c r="W1145" t="s">
        <v>787</v>
      </c>
    </row>
    <row r="1146" spans="1:23" x14ac:dyDescent="0.3">
      <c r="A1146" s="6" t="s">
        <v>543</v>
      </c>
      <c r="B1146" s="1">
        <v>45812</v>
      </c>
      <c r="C1146" s="6" t="s">
        <v>343</v>
      </c>
      <c r="D1146" s="6" t="s">
        <v>78</v>
      </c>
      <c r="E1146" s="6" t="s">
        <v>41</v>
      </c>
      <c r="F1146" s="6" t="s">
        <v>24</v>
      </c>
      <c r="G1146" s="6" t="s">
        <v>61</v>
      </c>
      <c r="H1146" s="6" t="s">
        <v>26</v>
      </c>
      <c r="I1146" s="6" t="s">
        <v>58</v>
      </c>
      <c r="J1146" s="6" t="s">
        <v>78</v>
      </c>
      <c r="K1146" s="6" t="s">
        <v>48</v>
      </c>
      <c r="L1146" s="6" t="s">
        <v>54</v>
      </c>
      <c r="M1146" s="6" t="s">
        <v>29</v>
      </c>
      <c r="N1146" s="6" t="s">
        <v>28</v>
      </c>
      <c r="O1146" s="6" t="s">
        <v>48</v>
      </c>
      <c r="P1146" s="6" t="s">
        <v>48</v>
      </c>
      <c r="Q1146" s="6" t="s">
        <v>48</v>
      </c>
      <c r="R1146" s="6" t="s">
        <v>78</v>
      </c>
      <c r="S1146" s="6" t="s">
        <v>54</v>
      </c>
      <c r="T1146" s="6" t="s">
        <v>48</v>
      </c>
      <c r="U1146" s="6" t="s">
        <v>59</v>
      </c>
      <c r="V1146" s="6" t="s">
        <v>146</v>
      </c>
      <c r="W1146" t="s">
        <v>787</v>
      </c>
    </row>
    <row r="1147" spans="1:23" x14ac:dyDescent="0.3">
      <c r="A1147" s="6" t="s">
        <v>543</v>
      </c>
      <c r="B1147" s="1">
        <v>45812</v>
      </c>
      <c r="C1147" s="6" t="s">
        <v>343</v>
      </c>
      <c r="D1147" s="6" t="s">
        <v>78</v>
      </c>
      <c r="E1147" s="6" t="s">
        <v>41</v>
      </c>
      <c r="F1147" s="6" t="s">
        <v>24</v>
      </c>
      <c r="G1147" s="6" t="s">
        <v>61</v>
      </c>
      <c r="H1147" s="6" t="s">
        <v>26</v>
      </c>
      <c r="I1147" s="6" t="s">
        <v>58</v>
      </c>
      <c r="J1147" s="6" t="s">
        <v>78</v>
      </c>
      <c r="K1147" s="6" t="s">
        <v>48</v>
      </c>
      <c r="L1147" s="6" t="s">
        <v>54</v>
      </c>
      <c r="M1147" s="6" t="s">
        <v>29</v>
      </c>
      <c r="N1147" s="6" t="s">
        <v>28</v>
      </c>
      <c r="O1147" s="6" t="s">
        <v>48</v>
      </c>
      <c r="P1147" s="6" t="s">
        <v>48</v>
      </c>
      <c r="Q1147" s="6" t="s">
        <v>48</v>
      </c>
      <c r="R1147" s="6" t="s">
        <v>78</v>
      </c>
      <c r="S1147" s="6" t="s">
        <v>54</v>
      </c>
      <c r="T1147" s="6" t="s">
        <v>48</v>
      </c>
      <c r="U1147" s="6" t="s">
        <v>59</v>
      </c>
      <c r="V1147" s="6" t="s">
        <v>137</v>
      </c>
      <c r="W1147" t="s">
        <v>787</v>
      </c>
    </row>
    <row r="1148" spans="1:23" x14ac:dyDescent="0.3">
      <c r="A1148" s="6" t="s">
        <v>544</v>
      </c>
      <c r="B1148" s="1">
        <v>45812</v>
      </c>
      <c r="C1148" s="6" t="s">
        <v>343</v>
      </c>
      <c r="D1148" s="6" t="s">
        <v>50</v>
      </c>
      <c r="E1148" s="6" t="s">
        <v>46</v>
      </c>
      <c r="F1148" s="6" t="s">
        <v>24</v>
      </c>
      <c r="G1148" s="6" t="s">
        <v>71</v>
      </c>
      <c r="H1148" s="6" t="s">
        <v>48</v>
      </c>
      <c r="I1148" s="6" t="s">
        <v>58</v>
      </c>
      <c r="J1148" s="6" t="s">
        <v>50</v>
      </c>
      <c r="K1148" s="6" t="s">
        <v>48</v>
      </c>
      <c r="L1148" s="6" t="s">
        <v>128</v>
      </c>
      <c r="M1148" s="6" t="s">
        <v>48</v>
      </c>
      <c r="N1148" s="6" t="s">
        <v>28</v>
      </c>
      <c r="O1148" s="6" t="s">
        <v>48</v>
      </c>
      <c r="P1148" s="6" t="s">
        <v>48</v>
      </c>
      <c r="Q1148" s="6" t="s">
        <v>48</v>
      </c>
      <c r="R1148" s="6" t="s">
        <v>50</v>
      </c>
      <c r="S1148" s="6" t="s">
        <v>54</v>
      </c>
      <c r="T1148" s="6" t="s">
        <v>48</v>
      </c>
      <c r="U1148" s="6" t="s">
        <v>59</v>
      </c>
      <c r="V1148" s="6" t="s">
        <v>146</v>
      </c>
      <c r="W1148" t="s">
        <v>787</v>
      </c>
    </row>
    <row r="1149" spans="1:23" x14ac:dyDescent="0.3">
      <c r="A1149" s="6" t="s">
        <v>544</v>
      </c>
      <c r="B1149" s="1">
        <v>45812</v>
      </c>
      <c r="C1149" s="6" t="s">
        <v>343</v>
      </c>
      <c r="D1149" s="6" t="s">
        <v>50</v>
      </c>
      <c r="E1149" s="6" t="s">
        <v>46</v>
      </c>
      <c r="F1149" s="6" t="s">
        <v>24</v>
      </c>
      <c r="G1149" s="6" t="s">
        <v>71</v>
      </c>
      <c r="H1149" s="6" t="s">
        <v>48</v>
      </c>
      <c r="I1149" s="6" t="s">
        <v>58</v>
      </c>
      <c r="J1149" s="6" t="s">
        <v>50</v>
      </c>
      <c r="K1149" s="6" t="s">
        <v>48</v>
      </c>
      <c r="L1149" s="6" t="s">
        <v>128</v>
      </c>
      <c r="M1149" s="6" t="s">
        <v>48</v>
      </c>
      <c r="N1149" s="6" t="s">
        <v>28</v>
      </c>
      <c r="O1149" s="6" t="s">
        <v>48</v>
      </c>
      <c r="P1149" s="6" t="s">
        <v>48</v>
      </c>
      <c r="Q1149" s="6" t="s">
        <v>48</v>
      </c>
      <c r="R1149" s="6" t="s">
        <v>50</v>
      </c>
      <c r="S1149" s="6" t="s">
        <v>54</v>
      </c>
      <c r="T1149" s="6" t="s">
        <v>48</v>
      </c>
      <c r="U1149" s="6" t="s">
        <v>59</v>
      </c>
      <c r="V1149" s="6" t="s">
        <v>82</v>
      </c>
      <c r="W1149" t="s">
        <v>787</v>
      </c>
    </row>
    <row r="1150" spans="1:23" x14ac:dyDescent="0.3">
      <c r="A1150" s="6" t="s">
        <v>545</v>
      </c>
      <c r="B1150" s="1">
        <v>45813</v>
      </c>
      <c r="C1150" s="6" t="s">
        <v>84</v>
      </c>
      <c r="D1150" s="6" t="s">
        <v>81</v>
      </c>
      <c r="E1150" s="6" t="s">
        <v>73</v>
      </c>
      <c r="F1150" s="6" t="s">
        <v>24</v>
      </c>
      <c r="G1150" s="6" t="s">
        <v>114</v>
      </c>
      <c r="H1150" s="6" t="s">
        <v>26</v>
      </c>
      <c r="I1150" s="6" t="s">
        <v>38</v>
      </c>
      <c r="J1150" s="6" t="s">
        <v>81</v>
      </c>
      <c r="K1150" s="6" t="s">
        <v>48</v>
      </c>
      <c r="L1150" s="6" t="s">
        <v>54</v>
      </c>
      <c r="M1150" s="6" t="s">
        <v>32</v>
      </c>
      <c r="N1150" s="6" t="s">
        <v>28</v>
      </c>
      <c r="O1150" s="6" t="s">
        <v>30</v>
      </c>
      <c r="P1150" s="6" t="s">
        <v>45</v>
      </c>
      <c r="Q1150" s="6" t="s">
        <v>31</v>
      </c>
      <c r="R1150" s="6" t="s">
        <v>81</v>
      </c>
      <c r="S1150" s="6" t="s">
        <v>54</v>
      </c>
      <c r="T1150" s="6" t="s">
        <v>48</v>
      </c>
      <c r="U1150" s="6" t="s">
        <v>28</v>
      </c>
      <c r="V1150" s="6" t="s">
        <v>82</v>
      </c>
      <c r="W1150" t="s">
        <v>787</v>
      </c>
    </row>
    <row r="1151" spans="1:23" x14ac:dyDescent="0.3">
      <c r="A1151" s="6" t="s">
        <v>547</v>
      </c>
      <c r="B1151" s="1">
        <v>45814</v>
      </c>
      <c r="C1151" s="6" t="s">
        <v>84</v>
      </c>
      <c r="D1151" s="6" t="s">
        <v>83</v>
      </c>
      <c r="E1151" s="6" t="s">
        <v>46</v>
      </c>
      <c r="F1151" s="6" t="s">
        <v>24</v>
      </c>
      <c r="G1151" s="6" t="s">
        <v>61</v>
      </c>
      <c r="H1151" s="6" t="s">
        <v>48</v>
      </c>
      <c r="I1151" s="6" t="s">
        <v>37</v>
      </c>
      <c r="J1151" s="6" t="s">
        <v>49</v>
      </c>
      <c r="K1151" s="6" t="s">
        <v>48</v>
      </c>
      <c r="L1151" s="6" t="s">
        <v>54</v>
      </c>
      <c r="M1151" s="6" t="s">
        <v>48</v>
      </c>
      <c r="N1151" s="6" t="s">
        <v>28</v>
      </c>
      <c r="O1151" s="6" t="s">
        <v>30</v>
      </c>
      <c r="P1151" s="6" t="s">
        <v>27</v>
      </c>
      <c r="Q1151" s="6" t="s">
        <v>31</v>
      </c>
      <c r="R1151" s="6" t="s">
        <v>83</v>
      </c>
      <c r="S1151" s="6" t="s">
        <v>54</v>
      </c>
      <c r="T1151" s="6" t="s">
        <v>48</v>
      </c>
      <c r="U1151" s="6" t="s">
        <v>28</v>
      </c>
      <c r="V1151" s="6" t="s">
        <v>82</v>
      </c>
      <c r="W1151" t="s">
        <v>787</v>
      </c>
    </row>
    <row r="1152" spans="1:23" x14ac:dyDescent="0.3">
      <c r="A1152" s="6" t="s">
        <v>548</v>
      </c>
      <c r="B1152" s="1">
        <v>45814</v>
      </c>
      <c r="C1152" s="6" t="s">
        <v>84</v>
      </c>
      <c r="D1152" s="6" t="s">
        <v>83</v>
      </c>
      <c r="E1152" s="6" t="s">
        <v>46</v>
      </c>
      <c r="F1152" s="6" t="s">
        <v>24</v>
      </c>
      <c r="G1152" s="6" t="s">
        <v>61</v>
      </c>
      <c r="H1152" s="6" t="s">
        <v>48</v>
      </c>
      <c r="I1152" s="6" t="s">
        <v>37</v>
      </c>
      <c r="J1152" s="6" t="s">
        <v>49</v>
      </c>
      <c r="K1152" s="6" t="s">
        <v>48</v>
      </c>
      <c r="L1152" s="6" t="s">
        <v>54</v>
      </c>
      <c r="M1152" s="6" t="s">
        <v>48</v>
      </c>
      <c r="N1152" s="6" t="s">
        <v>28</v>
      </c>
      <c r="O1152" s="6" t="s">
        <v>26</v>
      </c>
      <c r="P1152" s="6" t="s">
        <v>108</v>
      </c>
      <c r="Q1152" s="6" t="s">
        <v>31</v>
      </c>
      <c r="R1152" s="6" t="s">
        <v>49</v>
      </c>
      <c r="S1152" s="6" t="s">
        <v>54</v>
      </c>
      <c r="T1152" s="6" t="s">
        <v>48</v>
      </c>
      <c r="U1152" s="6" t="s">
        <v>28</v>
      </c>
      <c r="V1152" s="6" t="s">
        <v>82</v>
      </c>
      <c r="W1152" t="s">
        <v>787</v>
      </c>
    </row>
    <row r="1153" spans="1:23" x14ac:dyDescent="0.3">
      <c r="A1153" s="6" t="s">
        <v>546</v>
      </c>
      <c r="B1153" s="1">
        <v>45814</v>
      </c>
      <c r="C1153" s="6" t="s">
        <v>84</v>
      </c>
      <c r="D1153" s="6" t="s">
        <v>83</v>
      </c>
      <c r="E1153" s="6" t="s">
        <v>46</v>
      </c>
      <c r="F1153" s="6" t="s">
        <v>24</v>
      </c>
      <c r="G1153" s="6" t="s">
        <v>61</v>
      </c>
      <c r="H1153" s="6" t="s">
        <v>48</v>
      </c>
      <c r="I1153" s="6" t="s">
        <v>37</v>
      </c>
      <c r="J1153" s="6" t="s">
        <v>49</v>
      </c>
      <c r="K1153" s="6" t="s">
        <v>48</v>
      </c>
      <c r="L1153" s="6" t="s">
        <v>54</v>
      </c>
      <c r="M1153" s="6" t="s">
        <v>48</v>
      </c>
      <c r="N1153" s="6" t="s">
        <v>28</v>
      </c>
      <c r="O1153" s="6" t="s">
        <v>26</v>
      </c>
      <c r="P1153" s="6" t="s">
        <v>138</v>
      </c>
      <c r="Q1153" s="6" t="s">
        <v>31</v>
      </c>
      <c r="R1153" s="6" t="s">
        <v>49</v>
      </c>
      <c r="S1153" s="6" t="s">
        <v>54</v>
      </c>
      <c r="T1153" s="6" t="s">
        <v>48</v>
      </c>
      <c r="U1153" s="6" t="s">
        <v>28</v>
      </c>
      <c r="V1153" s="6" t="s">
        <v>82</v>
      </c>
      <c r="W1153" t="s">
        <v>787</v>
      </c>
    </row>
    <row r="1154" spans="1:23" x14ac:dyDescent="0.3">
      <c r="A1154" s="6" t="s">
        <v>550</v>
      </c>
      <c r="B1154" s="1">
        <v>45814</v>
      </c>
      <c r="C1154" s="6" t="s">
        <v>84</v>
      </c>
      <c r="D1154" s="6" t="s">
        <v>83</v>
      </c>
      <c r="E1154" s="6" t="s">
        <v>46</v>
      </c>
      <c r="F1154" s="6" t="s">
        <v>24</v>
      </c>
      <c r="G1154" s="6" t="s">
        <v>61</v>
      </c>
      <c r="H1154" s="6" t="s">
        <v>48</v>
      </c>
      <c r="I1154" s="6" t="s">
        <v>37</v>
      </c>
      <c r="J1154" s="6" t="s">
        <v>49</v>
      </c>
      <c r="K1154" s="6" t="s">
        <v>48</v>
      </c>
      <c r="L1154" s="6" t="s">
        <v>54</v>
      </c>
      <c r="M1154" s="6" t="s">
        <v>48</v>
      </c>
      <c r="N1154" s="6" t="s">
        <v>28</v>
      </c>
      <c r="O1154" s="6" t="s">
        <v>26</v>
      </c>
      <c r="P1154" s="6" t="s">
        <v>138</v>
      </c>
      <c r="Q1154" s="6" t="s">
        <v>31</v>
      </c>
      <c r="R1154" s="6" t="s">
        <v>49</v>
      </c>
      <c r="S1154" s="6" t="s">
        <v>54</v>
      </c>
      <c r="T1154" s="6" t="s">
        <v>48</v>
      </c>
      <c r="U1154" s="6" t="s">
        <v>28</v>
      </c>
      <c r="V1154" s="6" t="s">
        <v>82</v>
      </c>
      <c r="W1154" t="s">
        <v>787</v>
      </c>
    </row>
    <row r="1155" spans="1:23" x14ac:dyDescent="0.3">
      <c r="A1155" s="6" t="s">
        <v>549</v>
      </c>
      <c r="B1155" s="1">
        <v>45814</v>
      </c>
      <c r="C1155" s="6" t="s">
        <v>84</v>
      </c>
      <c r="D1155" s="6" t="s">
        <v>83</v>
      </c>
      <c r="E1155" s="6" t="s">
        <v>46</v>
      </c>
      <c r="F1155" s="6" t="s">
        <v>24</v>
      </c>
      <c r="G1155" s="6" t="s">
        <v>61</v>
      </c>
      <c r="H1155" s="6" t="s">
        <v>48</v>
      </c>
      <c r="I1155" s="6" t="s">
        <v>37</v>
      </c>
      <c r="J1155" s="6" t="s">
        <v>49</v>
      </c>
      <c r="K1155" s="6" t="s">
        <v>48</v>
      </c>
      <c r="L1155" s="6" t="s">
        <v>54</v>
      </c>
      <c r="M1155" s="6" t="s">
        <v>48</v>
      </c>
      <c r="N1155" s="6" t="s">
        <v>28</v>
      </c>
      <c r="O1155" s="6" t="s">
        <v>48</v>
      </c>
      <c r="P1155" s="6" t="s">
        <v>48</v>
      </c>
      <c r="Q1155" s="6" t="s">
        <v>31</v>
      </c>
      <c r="R1155" s="6" t="s">
        <v>49</v>
      </c>
      <c r="S1155" s="6" t="s">
        <v>54</v>
      </c>
      <c r="T1155" s="6" t="s">
        <v>48</v>
      </c>
      <c r="U1155" s="6" t="s">
        <v>28</v>
      </c>
      <c r="V1155" s="6" t="s">
        <v>82</v>
      </c>
      <c r="W1155" t="s">
        <v>787</v>
      </c>
    </row>
    <row r="1156" spans="1:23" x14ac:dyDescent="0.3">
      <c r="A1156" s="6" t="s">
        <v>551</v>
      </c>
      <c r="B1156" s="1">
        <v>45814</v>
      </c>
      <c r="C1156" s="6" t="s">
        <v>33</v>
      </c>
      <c r="D1156" s="6" t="s">
        <v>95</v>
      </c>
      <c r="E1156" s="6" t="s">
        <v>64</v>
      </c>
      <c r="F1156" s="6" t="s">
        <v>24</v>
      </c>
      <c r="G1156" s="6" t="s">
        <v>69</v>
      </c>
      <c r="H1156" s="6" t="s">
        <v>26</v>
      </c>
      <c r="I1156" s="6" t="s">
        <v>42</v>
      </c>
      <c r="J1156" s="6" t="s">
        <v>95</v>
      </c>
      <c r="K1156" s="6" t="s">
        <v>48</v>
      </c>
      <c r="L1156" s="6" t="s">
        <v>54</v>
      </c>
      <c r="M1156" s="6" t="s">
        <v>32</v>
      </c>
      <c r="N1156" s="6" t="s">
        <v>28</v>
      </c>
      <c r="O1156" s="6" t="s">
        <v>30</v>
      </c>
      <c r="P1156" s="6" t="s">
        <v>45</v>
      </c>
      <c r="Q1156" s="6" t="s">
        <v>31</v>
      </c>
      <c r="R1156" s="6" t="s">
        <v>95</v>
      </c>
      <c r="S1156" s="6" t="s">
        <v>54</v>
      </c>
      <c r="T1156" s="6" t="s">
        <v>32</v>
      </c>
      <c r="U1156" s="6" t="s">
        <v>28</v>
      </c>
      <c r="V1156" s="6" t="s">
        <v>82</v>
      </c>
      <c r="W1156" t="s">
        <v>787</v>
      </c>
    </row>
    <row r="1157" spans="1:23" x14ac:dyDescent="0.3">
      <c r="A1157" s="6" t="s">
        <v>553</v>
      </c>
      <c r="B1157" s="1">
        <v>45815</v>
      </c>
      <c r="C1157" s="6" t="s">
        <v>343</v>
      </c>
      <c r="D1157" s="6" t="s">
        <v>95</v>
      </c>
      <c r="E1157" s="6" t="s">
        <v>64</v>
      </c>
      <c r="F1157" s="6" t="s">
        <v>24</v>
      </c>
      <c r="G1157" s="6" t="s">
        <v>69</v>
      </c>
      <c r="H1157" s="6" t="s">
        <v>148</v>
      </c>
      <c r="I1157" s="6" t="s">
        <v>37</v>
      </c>
      <c r="J1157" s="6" t="s">
        <v>49</v>
      </c>
      <c r="K1157" s="6" t="s">
        <v>48</v>
      </c>
      <c r="L1157" s="6" t="s">
        <v>54</v>
      </c>
      <c r="M1157" s="6" t="s">
        <v>29</v>
      </c>
      <c r="N1157" s="6" t="s">
        <v>28</v>
      </c>
      <c r="O1157" s="6" t="s">
        <v>48</v>
      </c>
      <c r="P1157" s="6" t="s">
        <v>48</v>
      </c>
      <c r="Q1157" s="6" t="s">
        <v>48</v>
      </c>
      <c r="R1157" s="6" t="s">
        <v>95</v>
      </c>
      <c r="S1157" s="6" t="s">
        <v>54</v>
      </c>
      <c r="T1157" s="6" t="s">
        <v>48</v>
      </c>
      <c r="U1157" s="6" t="s">
        <v>28</v>
      </c>
      <c r="V1157" s="6" t="s">
        <v>146</v>
      </c>
      <c r="W1157" t="s">
        <v>787</v>
      </c>
    </row>
    <row r="1158" spans="1:23" x14ac:dyDescent="0.3">
      <c r="A1158" s="6" t="s">
        <v>552</v>
      </c>
      <c r="B1158" s="1">
        <v>45815</v>
      </c>
      <c r="C1158" s="6" t="s">
        <v>343</v>
      </c>
      <c r="D1158" s="6" t="s">
        <v>95</v>
      </c>
      <c r="E1158" s="6" t="s">
        <v>64</v>
      </c>
      <c r="F1158" s="6" t="s">
        <v>24</v>
      </c>
      <c r="G1158" s="6" t="s">
        <v>69</v>
      </c>
      <c r="H1158" s="6" t="s">
        <v>148</v>
      </c>
      <c r="I1158" s="6" t="s">
        <v>37</v>
      </c>
      <c r="J1158" s="6" t="s">
        <v>49</v>
      </c>
      <c r="K1158" s="6" t="s">
        <v>48</v>
      </c>
      <c r="L1158" s="6" t="s">
        <v>54</v>
      </c>
      <c r="M1158" s="6" t="s">
        <v>29</v>
      </c>
      <c r="N1158" s="6" t="s">
        <v>28</v>
      </c>
      <c r="O1158" s="6" t="s">
        <v>48</v>
      </c>
      <c r="P1158" s="6" t="s">
        <v>48</v>
      </c>
      <c r="Q1158" s="6" t="s">
        <v>48</v>
      </c>
      <c r="R1158" s="6" t="s">
        <v>95</v>
      </c>
      <c r="S1158" s="6" t="s">
        <v>54</v>
      </c>
      <c r="T1158" s="6" t="s">
        <v>48</v>
      </c>
      <c r="U1158" s="6" t="s">
        <v>28</v>
      </c>
      <c r="V1158" s="6" t="s">
        <v>137</v>
      </c>
      <c r="W1158" t="s">
        <v>787</v>
      </c>
    </row>
    <row r="1159" spans="1:23" x14ac:dyDescent="0.3">
      <c r="A1159" s="6" t="s">
        <v>552</v>
      </c>
      <c r="B1159" s="1">
        <v>45815</v>
      </c>
      <c r="C1159" s="6" t="s">
        <v>343</v>
      </c>
      <c r="D1159" s="6" t="s">
        <v>95</v>
      </c>
      <c r="E1159" s="6" t="s">
        <v>64</v>
      </c>
      <c r="F1159" s="6" t="s">
        <v>24</v>
      </c>
      <c r="G1159" s="6" t="s">
        <v>69</v>
      </c>
      <c r="H1159" s="6" t="s">
        <v>148</v>
      </c>
      <c r="I1159" s="6" t="s">
        <v>37</v>
      </c>
      <c r="J1159" s="6" t="s">
        <v>49</v>
      </c>
      <c r="K1159" s="6" t="s">
        <v>48</v>
      </c>
      <c r="L1159" s="6" t="s">
        <v>54</v>
      </c>
      <c r="M1159" s="6" t="s">
        <v>29</v>
      </c>
      <c r="N1159" s="6" t="s">
        <v>28</v>
      </c>
      <c r="O1159" s="6" t="s">
        <v>48</v>
      </c>
      <c r="P1159" s="6" t="s">
        <v>48</v>
      </c>
      <c r="Q1159" s="6" t="s">
        <v>48</v>
      </c>
      <c r="R1159" s="6" t="s">
        <v>95</v>
      </c>
      <c r="S1159" s="6" t="s">
        <v>54</v>
      </c>
      <c r="T1159" s="6" t="s">
        <v>48</v>
      </c>
      <c r="U1159" s="6" t="s">
        <v>28</v>
      </c>
      <c r="V1159" s="6" t="s">
        <v>146</v>
      </c>
      <c r="W1159" t="s">
        <v>787</v>
      </c>
    </row>
    <row r="1160" spans="1:23" x14ac:dyDescent="0.3">
      <c r="A1160" s="6" t="s">
        <v>553</v>
      </c>
      <c r="B1160" s="1">
        <v>45815</v>
      </c>
      <c r="C1160" s="6" t="s">
        <v>343</v>
      </c>
      <c r="D1160" s="6" t="s">
        <v>95</v>
      </c>
      <c r="E1160" s="6" t="s">
        <v>64</v>
      </c>
      <c r="F1160" s="6" t="s">
        <v>24</v>
      </c>
      <c r="G1160" s="6" t="s">
        <v>69</v>
      </c>
      <c r="H1160" s="6" t="s">
        <v>148</v>
      </c>
      <c r="I1160" s="6" t="s">
        <v>37</v>
      </c>
      <c r="J1160" s="6" t="s">
        <v>49</v>
      </c>
      <c r="K1160" s="6" t="s">
        <v>48</v>
      </c>
      <c r="L1160" s="6" t="s">
        <v>54</v>
      </c>
      <c r="M1160" s="6" t="s">
        <v>29</v>
      </c>
      <c r="N1160" s="6" t="s">
        <v>28</v>
      </c>
      <c r="O1160" s="6" t="s">
        <v>48</v>
      </c>
      <c r="P1160" s="6" t="s">
        <v>48</v>
      </c>
      <c r="Q1160" s="6" t="s">
        <v>48</v>
      </c>
      <c r="R1160" s="6" t="s">
        <v>95</v>
      </c>
      <c r="S1160" s="6" t="s">
        <v>54</v>
      </c>
      <c r="T1160" s="6" t="s">
        <v>48</v>
      </c>
      <c r="U1160" s="6" t="s">
        <v>28</v>
      </c>
      <c r="V1160" s="6" t="s">
        <v>137</v>
      </c>
      <c r="W1160" t="s">
        <v>787</v>
      </c>
    </row>
    <row r="1161" spans="1:23" x14ac:dyDescent="0.3">
      <c r="A1161" s="6" t="s">
        <v>554</v>
      </c>
      <c r="B1161" s="1">
        <v>45815</v>
      </c>
      <c r="C1161" s="6" t="s">
        <v>33</v>
      </c>
      <c r="D1161" s="6" t="s">
        <v>95</v>
      </c>
      <c r="E1161" s="6" t="s">
        <v>64</v>
      </c>
      <c r="F1161" s="6" t="s">
        <v>24</v>
      </c>
      <c r="G1161" s="6" t="s">
        <v>69</v>
      </c>
      <c r="H1161" s="6" t="s">
        <v>48</v>
      </c>
      <c r="I1161" s="6" t="s">
        <v>27</v>
      </c>
      <c r="J1161" s="6" t="s">
        <v>95</v>
      </c>
      <c r="K1161" s="6" t="s">
        <v>48</v>
      </c>
      <c r="L1161" s="6" t="s">
        <v>152</v>
      </c>
      <c r="M1161" s="6" t="s">
        <v>48</v>
      </c>
      <c r="N1161" s="6" t="s">
        <v>28</v>
      </c>
      <c r="O1161" s="6" t="s">
        <v>48</v>
      </c>
      <c r="P1161" s="6" t="s">
        <v>48</v>
      </c>
      <c r="Q1161" s="6" t="s">
        <v>48</v>
      </c>
      <c r="R1161" s="6" t="s">
        <v>95</v>
      </c>
      <c r="S1161" s="6" t="s">
        <v>54</v>
      </c>
      <c r="T1161" s="6" t="s">
        <v>48</v>
      </c>
      <c r="U1161" s="6" t="s">
        <v>28</v>
      </c>
      <c r="V1161" s="6" t="s">
        <v>82</v>
      </c>
      <c r="W1161" t="s">
        <v>787</v>
      </c>
    </row>
    <row r="1162" spans="1:23" x14ac:dyDescent="0.3">
      <c r="A1162" s="6" t="s">
        <v>555</v>
      </c>
      <c r="B1162" s="1">
        <v>45816</v>
      </c>
      <c r="C1162" s="6" t="s">
        <v>33</v>
      </c>
      <c r="D1162" s="6" t="s">
        <v>22</v>
      </c>
      <c r="E1162" s="6" t="s">
        <v>35</v>
      </c>
      <c r="F1162" s="6" t="s">
        <v>24</v>
      </c>
      <c r="G1162" s="6" t="s">
        <v>101</v>
      </c>
      <c r="H1162" s="6" t="s">
        <v>26</v>
      </c>
      <c r="I1162" s="6" t="s">
        <v>42</v>
      </c>
      <c r="J1162" s="6" t="s">
        <v>22</v>
      </c>
      <c r="K1162" s="6" t="s">
        <v>76</v>
      </c>
      <c r="L1162" s="6" t="s">
        <v>704</v>
      </c>
      <c r="M1162" s="6" t="s">
        <v>32</v>
      </c>
      <c r="N1162" s="6" t="s">
        <v>28</v>
      </c>
      <c r="O1162" s="6" t="s">
        <v>30</v>
      </c>
      <c r="P1162" s="6" t="s">
        <v>52</v>
      </c>
      <c r="Q1162" s="6" t="s">
        <v>31</v>
      </c>
      <c r="R1162" s="6" t="s">
        <v>22</v>
      </c>
      <c r="S1162" s="6" t="s">
        <v>54</v>
      </c>
      <c r="T1162" s="6" t="s">
        <v>32</v>
      </c>
      <c r="U1162" s="6" t="s">
        <v>28</v>
      </c>
      <c r="V1162" s="6" t="s">
        <v>146</v>
      </c>
      <c r="W1162" t="s">
        <v>787</v>
      </c>
    </row>
    <row r="1163" spans="1:23" x14ac:dyDescent="0.3">
      <c r="A1163" s="6" t="s">
        <v>556</v>
      </c>
      <c r="B1163" s="1">
        <v>45816</v>
      </c>
      <c r="C1163" s="6" t="s">
        <v>343</v>
      </c>
      <c r="D1163" s="6" t="s">
        <v>60</v>
      </c>
      <c r="E1163" s="6" t="s">
        <v>44</v>
      </c>
      <c r="F1163" s="6" t="s">
        <v>24</v>
      </c>
      <c r="G1163" s="6" t="s">
        <v>71</v>
      </c>
      <c r="H1163" s="6" t="s">
        <v>26</v>
      </c>
      <c r="I1163" s="6" t="s">
        <v>38</v>
      </c>
      <c r="J1163" s="6" t="s">
        <v>60</v>
      </c>
      <c r="K1163" s="6" t="s">
        <v>48</v>
      </c>
      <c r="L1163" s="6" t="s">
        <v>54</v>
      </c>
      <c r="M1163" s="6" t="s">
        <v>32</v>
      </c>
      <c r="N1163" s="6" t="s">
        <v>28</v>
      </c>
      <c r="O1163" s="6" t="s">
        <v>48</v>
      </c>
      <c r="P1163" s="6" t="s">
        <v>48</v>
      </c>
      <c r="Q1163" s="6" t="s">
        <v>48</v>
      </c>
      <c r="R1163" s="6" t="s">
        <v>60</v>
      </c>
      <c r="S1163" s="6" t="s">
        <v>54</v>
      </c>
      <c r="T1163" s="6" t="s">
        <v>48</v>
      </c>
      <c r="U1163" s="6" t="s">
        <v>59</v>
      </c>
      <c r="V1163" s="6" t="s">
        <v>82</v>
      </c>
      <c r="W1163" t="s">
        <v>787</v>
      </c>
    </row>
    <row r="1164" spans="1:23" x14ac:dyDescent="0.3">
      <c r="A1164" s="6" t="s">
        <v>557</v>
      </c>
      <c r="B1164" s="1">
        <v>45816</v>
      </c>
      <c r="C1164" s="6" t="s">
        <v>84</v>
      </c>
      <c r="D1164" s="6" t="s">
        <v>48</v>
      </c>
      <c r="E1164" s="6" t="s">
        <v>46</v>
      </c>
      <c r="F1164" s="6" t="s">
        <v>24</v>
      </c>
      <c r="G1164" s="6" t="s">
        <v>61</v>
      </c>
      <c r="H1164" s="6" t="s">
        <v>48</v>
      </c>
      <c r="I1164" s="6" t="s">
        <v>100</v>
      </c>
      <c r="J1164" s="6" t="s">
        <v>49</v>
      </c>
      <c r="K1164" s="6" t="s">
        <v>48</v>
      </c>
      <c r="L1164" s="6" t="s">
        <v>54</v>
      </c>
      <c r="M1164" s="6" t="s">
        <v>48</v>
      </c>
      <c r="N1164" s="6" t="s">
        <v>28</v>
      </c>
      <c r="O1164" s="6" t="s">
        <v>26</v>
      </c>
      <c r="P1164" s="6" t="s">
        <v>48</v>
      </c>
      <c r="Q1164" s="6" t="s">
        <v>48</v>
      </c>
      <c r="R1164" s="6" t="s">
        <v>40</v>
      </c>
      <c r="S1164" s="6" t="s">
        <v>54</v>
      </c>
      <c r="T1164" s="6" t="s">
        <v>48</v>
      </c>
      <c r="U1164" s="6" t="s">
        <v>28</v>
      </c>
      <c r="V1164" s="6" t="s">
        <v>82</v>
      </c>
      <c r="W1164" t="s">
        <v>787</v>
      </c>
    </row>
    <row r="1165" spans="1:23" x14ac:dyDescent="0.3">
      <c r="A1165" s="6" t="s">
        <v>557</v>
      </c>
      <c r="B1165" s="1">
        <v>45816</v>
      </c>
      <c r="C1165" s="6" t="s">
        <v>84</v>
      </c>
      <c r="D1165" s="6" t="s">
        <v>48</v>
      </c>
      <c r="E1165" s="6" t="s">
        <v>46</v>
      </c>
      <c r="F1165" s="6" t="s">
        <v>24</v>
      </c>
      <c r="G1165" s="6" t="s">
        <v>61</v>
      </c>
      <c r="H1165" s="6" t="s">
        <v>48</v>
      </c>
      <c r="I1165" s="6" t="s">
        <v>100</v>
      </c>
      <c r="J1165" s="6" t="s">
        <v>49</v>
      </c>
      <c r="K1165" s="6" t="s">
        <v>48</v>
      </c>
      <c r="L1165" s="6" t="s">
        <v>54</v>
      </c>
      <c r="M1165" s="6" t="s">
        <v>48</v>
      </c>
      <c r="N1165" s="6" t="s">
        <v>28</v>
      </c>
      <c r="O1165" s="6" t="s">
        <v>26</v>
      </c>
      <c r="P1165" s="6" t="s">
        <v>48</v>
      </c>
      <c r="Q1165" s="6" t="s">
        <v>48</v>
      </c>
      <c r="R1165" s="6" t="s">
        <v>40</v>
      </c>
      <c r="S1165" s="6" t="s">
        <v>54</v>
      </c>
      <c r="T1165" s="6" t="s">
        <v>48</v>
      </c>
      <c r="U1165" s="6" t="s">
        <v>28</v>
      </c>
      <c r="V1165" s="6" t="s">
        <v>146</v>
      </c>
      <c r="W1165" t="s">
        <v>787</v>
      </c>
    </row>
    <row r="1166" spans="1:23" x14ac:dyDescent="0.3">
      <c r="A1166" s="6" t="s">
        <v>558</v>
      </c>
      <c r="B1166" s="1">
        <v>45816</v>
      </c>
      <c r="C1166" s="6" t="s">
        <v>343</v>
      </c>
      <c r="D1166" s="6" t="s">
        <v>78</v>
      </c>
      <c r="E1166" s="6" t="s">
        <v>35</v>
      </c>
      <c r="F1166" s="6" t="s">
        <v>24</v>
      </c>
      <c r="G1166" s="6" t="s">
        <v>61</v>
      </c>
      <c r="H1166" s="6" t="s">
        <v>48</v>
      </c>
      <c r="I1166" s="6" t="s">
        <v>38</v>
      </c>
      <c r="J1166" s="6" t="s">
        <v>78</v>
      </c>
      <c r="K1166" s="6" t="s">
        <v>48</v>
      </c>
      <c r="L1166" s="6" t="s">
        <v>705</v>
      </c>
      <c r="M1166" s="6" t="s">
        <v>48</v>
      </c>
      <c r="N1166" s="6" t="s">
        <v>28</v>
      </c>
      <c r="O1166" s="6" t="s">
        <v>48</v>
      </c>
      <c r="P1166" s="6" t="s">
        <v>48</v>
      </c>
      <c r="Q1166" s="6" t="s">
        <v>48</v>
      </c>
      <c r="R1166" s="6" t="s">
        <v>78</v>
      </c>
      <c r="S1166" s="6" t="s">
        <v>54</v>
      </c>
      <c r="T1166" s="6" t="s">
        <v>48</v>
      </c>
      <c r="U1166" s="6" t="s">
        <v>94</v>
      </c>
      <c r="V1166" s="6" t="s">
        <v>82</v>
      </c>
      <c r="W1166" t="s">
        <v>787</v>
      </c>
    </row>
    <row r="1167" spans="1:23" x14ac:dyDescent="0.3">
      <c r="A1167" s="6" t="s">
        <v>559</v>
      </c>
      <c r="B1167" s="1">
        <v>45816</v>
      </c>
      <c r="C1167" s="6" t="s">
        <v>21</v>
      </c>
      <c r="D1167" s="6" t="s">
        <v>78</v>
      </c>
      <c r="E1167" s="6" t="s">
        <v>46</v>
      </c>
      <c r="F1167" s="6" t="s">
        <v>24</v>
      </c>
      <c r="G1167" s="6" t="s">
        <v>65</v>
      </c>
      <c r="H1167" s="6" t="s">
        <v>26</v>
      </c>
      <c r="I1167" s="6" t="s">
        <v>45</v>
      </c>
      <c r="J1167" s="6" t="s">
        <v>78</v>
      </c>
      <c r="K1167" s="6" t="s">
        <v>48</v>
      </c>
      <c r="L1167" s="6" t="s">
        <v>54</v>
      </c>
      <c r="M1167" s="6" t="s">
        <v>48</v>
      </c>
      <c r="N1167" s="6" t="s">
        <v>28</v>
      </c>
      <c r="O1167" s="6" t="s">
        <v>30</v>
      </c>
      <c r="P1167" s="6" t="s">
        <v>48</v>
      </c>
      <c r="Q1167" s="6" t="s">
        <v>48</v>
      </c>
      <c r="R1167" s="6" t="s">
        <v>78</v>
      </c>
      <c r="S1167" s="6" t="s">
        <v>54</v>
      </c>
      <c r="T1167" s="6" t="s">
        <v>48</v>
      </c>
      <c r="U1167" s="6" t="s">
        <v>28</v>
      </c>
      <c r="V1167" s="6" t="s">
        <v>82</v>
      </c>
      <c r="W1167" t="s">
        <v>787</v>
      </c>
    </row>
    <row r="1168" spans="1:23" x14ac:dyDescent="0.3">
      <c r="A1168" s="6" t="s">
        <v>560</v>
      </c>
      <c r="B1168" s="1">
        <v>45817</v>
      </c>
      <c r="C1168" s="6" t="s">
        <v>39</v>
      </c>
      <c r="D1168" s="6" t="s">
        <v>81</v>
      </c>
      <c r="E1168" s="6" t="s">
        <v>73</v>
      </c>
      <c r="F1168" s="6" t="s">
        <v>24</v>
      </c>
      <c r="G1168" s="6" t="s">
        <v>110</v>
      </c>
      <c r="H1168" s="6" t="s">
        <v>26</v>
      </c>
      <c r="I1168" s="6" t="s">
        <v>52</v>
      </c>
      <c r="J1168" s="6" t="s">
        <v>81</v>
      </c>
      <c r="K1168" s="6" t="s">
        <v>48</v>
      </c>
      <c r="L1168" s="6" t="s">
        <v>54</v>
      </c>
      <c r="M1168" s="6" t="s">
        <v>32</v>
      </c>
      <c r="N1168" s="6" t="s">
        <v>28</v>
      </c>
      <c r="O1168" s="6" t="s">
        <v>26</v>
      </c>
      <c r="P1168" s="6" t="s">
        <v>788</v>
      </c>
      <c r="Q1168" s="6" t="s">
        <v>31</v>
      </c>
      <c r="R1168" s="6" t="s">
        <v>81</v>
      </c>
      <c r="S1168" s="6" t="s">
        <v>54</v>
      </c>
      <c r="T1168" s="6" t="s">
        <v>32</v>
      </c>
      <c r="U1168" s="6" t="s">
        <v>28</v>
      </c>
      <c r="V1168" s="6" t="s">
        <v>82</v>
      </c>
      <c r="W1168" t="s">
        <v>787</v>
      </c>
    </row>
    <row r="1169" spans="1:23" x14ac:dyDescent="0.3">
      <c r="A1169" s="6" t="s">
        <v>561</v>
      </c>
      <c r="B1169" s="1">
        <v>45817</v>
      </c>
      <c r="C1169" s="6" t="s">
        <v>39</v>
      </c>
      <c r="D1169" s="6" t="s">
        <v>81</v>
      </c>
      <c r="E1169" s="6" t="s">
        <v>73</v>
      </c>
      <c r="F1169" s="6" t="s">
        <v>24</v>
      </c>
      <c r="G1169" s="6" t="s">
        <v>110</v>
      </c>
      <c r="H1169" s="6" t="s">
        <v>26</v>
      </c>
      <c r="I1169" s="6" t="s">
        <v>52</v>
      </c>
      <c r="J1169" s="6" t="s">
        <v>81</v>
      </c>
      <c r="K1169" s="6" t="s">
        <v>48</v>
      </c>
      <c r="L1169" s="6" t="s">
        <v>54</v>
      </c>
      <c r="M1169" s="6" t="s">
        <v>32</v>
      </c>
      <c r="N1169" s="6" t="s">
        <v>28</v>
      </c>
      <c r="O1169" s="6" t="s">
        <v>30</v>
      </c>
      <c r="P1169" s="6" t="s">
        <v>52</v>
      </c>
      <c r="Q1169" s="6" t="s">
        <v>31</v>
      </c>
      <c r="R1169" s="6" t="s">
        <v>81</v>
      </c>
      <c r="S1169" s="6" t="s">
        <v>54</v>
      </c>
      <c r="T1169" s="6" t="s">
        <v>32</v>
      </c>
      <c r="U1169" s="6" t="s">
        <v>28</v>
      </c>
      <c r="V1169" s="6" t="s">
        <v>82</v>
      </c>
      <c r="W1169" t="s">
        <v>787</v>
      </c>
    </row>
    <row r="1170" spans="1:23" x14ac:dyDescent="0.3">
      <c r="A1170" s="6" t="s">
        <v>562</v>
      </c>
      <c r="B1170" s="1">
        <v>45817</v>
      </c>
      <c r="C1170" s="6" t="s">
        <v>84</v>
      </c>
      <c r="D1170" s="6" t="s">
        <v>93</v>
      </c>
      <c r="E1170" s="6" t="s">
        <v>68</v>
      </c>
      <c r="F1170" s="6" t="s">
        <v>24</v>
      </c>
      <c r="G1170" s="6" t="s">
        <v>46</v>
      </c>
      <c r="H1170" s="6" t="s">
        <v>48</v>
      </c>
      <c r="I1170" s="6" t="s">
        <v>52</v>
      </c>
      <c r="J1170" s="6" t="s">
        <v>93</v>
      </c>
      <c r="K1170" s="6" t="s">
        <v>48</v>
      </c>
      <c r="L1170" s="6" t="s">
        <v>54</v>
      </c>
      <c r="M1170" s="6" t="s">
        <v>48</v>
      </c>
      <c r="N1170" s="6" t="s">
        <v>28</v>
      </c>
      <c r="O1170" s="6" t="s">
        <v>48</v>
      </c>
      <c r="P1170" s="6" t="s">
        <v>48</v>
      </c>
      <c r="Q1170" s="6" t="s">
        <v>48</v>
      </c>
      <c r="R1170" s="6" t="s">
        <v>93</v>
      </c>
      <c r="S1170" s="6" t="s">
        <v>54</v>
      </c>
      <c r="T1170" s="6" t="s">
        <v>48</v>
      </c>
      <c r="U1170" s="6" t="s">
        <v>440</v>
      </c>
      <c r="V1170" s="6" t="s">
        <v>146</v>
      </c>
      <c r="W1170" t="s">
        <v>787</v>
      </c>
    </row>
    <row r="1171" spans="1:23" x14ac:dyDescent="0.3">
      <c r="A1171" s="6" t="s">
        <v>562</v>
      </c>
      <c r="B1171" s="1">
        <v>45817</v>
      </c>
      <c r="C1171" s="6" t="s">
        <v>84</v>
      </c>
      <c r="D1171" s="6" t="s">
        <v>93</v>
      </c>
      <c r="E1171" s="6" t="s">
        <v>68</v>
      </c>
      <c r="F1171" s="6" t="s">
        <v>24</v>
      </c>
      <c r="G1171" s="6" t="s">
        <v>46</v>
      </c>
      <c r="H1171" s="6" t="s">
        <v>48</v>
      </c>
      <c r="I1171" s="6" t="s">
        <v>52</v>
      </c>
      <c r="J1171" s="6" t="s">
        <v>93</v>
      </c>
      <c r="K1171" s="6" t="s">
        <v>48</v>
      </c>
      <c r="L1171" s="6" t="s">
        <v>54</v>
      </c>
      <c r="M1171" s="6" t="s">
        <v>48</v>
      </c>
      <c r="N1171" s="6" t="s">
        <v>28</v>
      </c>
      <c r="O1171" s="6" t="s">
        <v>48</v>
      </c>
      <c r="P1171" s="6" t="s">
        <v>48</v>
      </c>
      <c r="Q1171" s="6" t="s">
        <v>48</v>
      </c>
      <c r="R1171" s="6" t="s">
        <v>93</v>
      </c>
      <c r="S1171" s="6" t="s">
        <v>54</v>
      </c>
      <c r="T1171" s="6" t="s">
        <v>48</v>
      </c>
      <c r="U1171" s="6" t="s">
        <v>440</v>
      </c>
      <c r="V1171" s="6" t="s">
        <v>137</v>
      </c>
      <c r="W1171" t="s">
        <v>787</v>
      </c>
    </row>
    <row r="1172" spans="1:23" x14ac:dyDescent="0.3">
      <c r="A1172" s="6" t="s">
        <v>563</v>
      </c>
      <c r="B1172" s="1">
        <v>45817</v>
      </c>
      <c r="C1172" s="6" t="s">
        <v>343</v>
      </c>
      <c r="D1172" s="6" t="s">
        <v>22</v>
      </c>
      <c r="E1172" s="6" t="s">
        <v>35</v>
      </c>
      <c r="F1172" s="6" t="s">
        <v>24</v>
      </c>
      <c r="G1172" s="6" t="s">
        <v>71</v>
      </c>
      <c r="H1172" s="6" t="s">
        <v>48</v>
      </c>
      <c r="I1172" s="6" t="s">
        <v>27</v>
      </c>
      <c r="J1172" s="6" t="s">
        <v>22</v>
      </c>
      <c r="K1172" s="6" t="s">
        <v>48</v>
      </c>
      <c r="L1172" s="6" t="s">
        <v>152</v>
      </c>
      <c r="M1172" s="6" t="s">
        <v>48</v>
      </c>
      <c r="N1172" s="6" t="s">
        <v>28</v>
      </c>
      <c r="O1172" s="6" t="s">
        <v>26</v>
      </c>
      <c r="P1172" s="6" t="s">
        <v>66</v>
      </c>
      <c r="Q1172" s="6" t="s">
        <v>31</v>
      </c>
      <c r="R1172" s="6" t="s">
        <v>22</v>
      </c>
      <c r="S1172" s="6" t="s">
        <v>152</v>
      </c>
      <c r="T1172" s="6" t="s">
        <v>32</v>
      </c>
      <c r="U1172" s="6" t="s">
        <v>28</v>
      </c>
      <c r="V1172" s="6" t="s">
        <v>146</v>
      </c>
      <c r="W1172" t="s">
        <v>787</v>
      </c>
    </row>
    <row r="1173" spans="1:23" x14ac:dyDescent="0.3">
      <c r="A1173" s="6" t="s">
        <v>564</v>
      </c>
      <c r="B1173" s="1">
        <v>45817</v>
      </c>
      <c r="C1173" s="6" t="s">
        <v>343</v>
      </c>
      <c r="D1173" s="6" t="s">
        <v>22</v>
      </c>
      <c r="E1173" s="6" t="s">
        <v>35</v>
      </c>
      <c r="F1173" s="6" t="s">
        <v>24</v>
      </c>
      <c r="G1173" s="6" t="s">
        <v>71</v>
      </c>
      <c r="H1173" s="6" t="s">
        <v>48</v>
      </c>
      <c r="I1173" s="6" t="s">
        <v>27</v>
      </c>
      <c r="J1173" s="6" t="s">
        <v>22</v>
      </c>
      <c r="K1173" s="6" t="s">
        <v>48</v>
      </c>
      <c r="L1173" s="6" t="s">
        <v>152</v>
      </c>
      <c r="M1173" s="6" t="s">
        <v>48</v>
      </c>
      <c r="N1173" s="6" t="s">
        <v>28</v>
      </c>
      <c r="O1173" s="6" t="s">
        <v>30</v>
      </c>
      <c r="P1173" s="6" t="s">
        <v>788</v>
      </c>
      <c r="Q1173" s="6" t="s">
        <v>31</v>
      </c>
      <c r="R1173" s="6" t="s">
        <v>22</v>
      </c>
      <c r="S1173" s="6" t="s">
        <v>152</v>
      </c>
      <c r="T1173" s="6" t="s">
        <v>32</v>
      </c>
      <c r="U1173" s="6" t="s">
        <v>28</v>
      </c>
      <c r="V1173" s="6" t="s">
        <v>146</v>
      </c>
      <c r="W1173" t="s">
        <v>787</v>
      </c>
    </row>
    <row r="1174" spans="1:23" x14ac:dyDescent="0.3">
      <c r="A1174" s="6" t="s">
        <v>565</v>
      </c>
      <c r="B1174" s="1">
        <v>45817</v>
      </c>
      <c r="C1174" s="6" t="s">
        <v>39</v>
      </c>
      <c r="D1174" s="6" t="s">
        <v>22</v>
      </c>
      <c r="E1174" s="6" t="s">
        <v>68</v>
      </c>
      <c r="F1174" s="6" t="s">
        <v>24</v>
      </c>
      <c r="G1174" s="6" t="s">
        <v>101</v>
      </c>
      <c r="H1174" s="6" t="s">
        <v>26</v>
      </c>
      <c r="I1174" s="6" t="s">
        <v>42</v>
      </c>
      <c r="J1174" s="6" t="s">
        <v>22</v>
      </c>
      <c r="K1174" s="6" t="s">
        <v>48</v>
      </c>
      <c r="L1174" s="6" t="s">
        <v>704</v>
      </c>
      <c r="M1174" s="6" t="s">
        <v>48</v>
      </c>
      <c r="N1174" s="6" t="s">
        <v>28</v>
      </c>
      <c r="O1174" s="6" t="s">
        <v>30</v>
      </c>
      <c r="P1174" s="6" t="s">
        <v>48</v>
      </c>
      <c r="Q1174" s="6" t="s">
        <v>31</v>
      </c>
      <c r="R1174" s="6" t="s">
        <v>22</v>
      </c>
      <c r="S1174" s="6" t="s">
        <v>54</v>
      </c>
      <c r="T1174" s="6" t="s">
        <v>48</v>
      </c>
      <c r="U1174" s="6" t="s">
        <v>28</v>
      </c>
      <c r="V1174" s="6" t="s">
        <v>82</v>
      </c>
      <c r="W1174" t="s">
        <v>787</v>
      </c>
    </row>
    <row r="1175" spans="1:23" x14ac:dyDescent="0.3">
      <c r="A1175" s="6" t="s">
        <v>566</v>
      </c>
      <c r="B1175" s="1">
        <v>45817</v>
      </c>
      <c r="C1175" s="6" t="s">
        <v>343</v>
      </c>
      <c r="D1175" s="6" t="s">
        <v>22</v>
      </c>
      <c r="E1175" s="6" t="s">
        <v>23</v>
      </c>
      <c r="F1175" s="6" t="s">
        <v>24</v>
      </c>
      <c r="G1175" s="6" t="s">
        <v>51</v>
      </c>
      <c r="H1175" s="6" t="s">
        <v>26</v>
      </c>
      <c r="I1175" s="6" t="s">
        <v>27</v>
      </c>
      <c r="J1175" s="6" t="s">
        <v>22</v>
      </c>
      <c r="K1175" s="6" t="s">
        <v>48</v>
      </c>
      <c r="L1175" s="6" t="s">
        <v>54</v>
      </c>
      <c r="M1175" s="6" t="s">
        <v>48</v>
      </c>
      <c r="N1175" s="6" t="s">
        <v>28</v>
      </c>
      <c r="O1175" s="6" t="s">
        <v>48</v>
      </c>
      <c r="P1175" s="6" t="s">
        <v>48</v>
      </c>
      <c r="Q1175" s="6" t="s">
        <v>48</v>
      </c>
      <c r="R1175" s="6" t="s">
        <v>22</v>
      </c>
      <c r="S1175" s="6" t="s">
        <v>54</v>
      </c>
      <c r="T1175" s="6" t="s">
        <v>48</v>
      </c>
      <c r="U1175" s="6" t="s">
        <v>77</v>
      </c>
      <c r="V1175" s="6" t="s">
        <v>82</v>
      </c>
      <c r="W1175" t="s">
        <v>787</v>
      </c>
    </row>
    <row r="1176" spans="1:23" x14ac:dyDescent="0.3">
      <c r="A1176" s="6" t="s">
        <v>567</v>
      </c>
      <c r="B1176" s="1">
        <v>45818</v>
      </c>
      <c r="C1176" s="6" t="s">
        <v>33</v>
      </c>
      <c r="D1176" s="6" t="s">
        <v>22</v>
      </c>
      <c r="E1176" s="6" t="s">
        <v>23</v>
      </c>
      <c r="F1176" s="6" t="s">
        <v>24</v>
      </c>
      <c r="G1176" s="6" t="s">
        <v>61</v>
      </c>
      <c r="H1176" s="6" t="s">
        <v>26</v>
      </c>
      <c r="I1176" s="6" t="s">
        <v>27</v>
      </c>
      <c r="J1176" s="6" t="s">
        <v>22</v>
      </c>
      <c r="K1176" s="6" t="s">
        <v>48</v>
      </c>
      <c r="L1176" s="6" t="s">
        <v>54</v>
      </c>
      <c r="M1176" s="6" t="s">
        <v>32</v>
      </c>
      <c r="N1176" s="6" t="s">
        <v>28</v>
      </c>
      <c r="O1176" s="6" t="s">
        <v>30</v>
      </c>
      <c r="P1176" s="6" t="s">
        <v>788</v>
      </c>
      <c r="Q1176" s="6" t="s">
        <v>31</v>
      </c>
      <c r="R1176" s="6" t="s">
        <v>22</v>
      </c>
      <c r="S1176" s="6" t="s">
        <v>54</v>
      </c>
      <c r="T1176" s="6" t="s">
        <v>55</v>
      </c>
      <c r="U1176" s="6" t="s">
        <v>28</v>
      </c>
      <c r="V1176" s="6" t="s">
        <v>82</v>
      </c>
      <c r="W1176" t="s">
        <v>787</v>
      </c>
    </row>
    <row r="1177" spans="1:23" x14ac:dyDescent="0.3">
      <c r="A1177" s="6" t="s">
        <v>568</v>
      </c>
      <c r="B1177" s="1">
        <v>45819</v>
      </c>
      <c r="C1177" s="6" t="s">
        <v>343</v>
      </c>
      <c r="D1177" s="6" t="s">
        <v>40</v>
      </c>
      <c r="E1177" s="6" t="s">
        <v>44</v>
      </c>
      <c r="F1177" s="6" t="s">
        <v>24</v>
      </c>
      <c r="G1177" s="6" t="s">
        <v>61</v>
      </c>
      <c r="H1177" s="6" t="s">
        <v>26</v>
      </c>
      <c r="I1177" s="6" t="s">
        <v>37</v>
      </c>
      <c r="J1177" s="6" t="s">
        <v>40</v>
      </c>
      <c r="K1177" s="6" t="s">
        <v>48</v>
      </c>
      <c r="L1177" s="6" t="s">
        <v>54</v>
      </c>
      <c r="M1177" s="6" t="s">
        <v>48</v>
      </c>
      <c r="N1177" s="6" t="s">
        <v>159</v>
      </c>
      <c r="O1177" s="6" t="s">
        <v>48</v>
      </c>
      <c r="P1177" s="6" t="s">
        <v>48</v>
      </c>
      <c r="Q1177" s="6" t="s">
        <v>48</v>
      </c>
      <c r="R1177" s="6" t="s">
        <v>40</v>
      </c>
      <c r="S1177" s="6" t="s">
        <v>54</v>
      </c>
      <c r="T1177" s="6" t="s">
        <v>48</v>
      </c>
      <c r="U1177" s="6" t="s">
        <v>28</v>
      </c>
      <c r="V1177" s="6" t="s">
        <v>146</v>
      </c>
      <c r="W1177" t="s">
        <v>787</v>
      </c>
    </row>
    <row r="1178" spans="1:23" x14ac:dyDescent="0.3">
      <c r="A1178" s="6" t="s">
        <v>569</v>
      </c>
      <c r="B1178" s="1">
        <v>45819</v>
      </c>
      <c r="C1178" s="6" t="s">
        <v>343</v>
      </c>
      <c r="D1178" s="6" t="s">
        <v>40</v>
      </c>
      <c r="E1178" s="6" t="s">
        <v>44</v>
      </c>
      <c r="F1178" s="6" t="s">
        <v>24</v>
      </c>
      <c r="G1178" s="6" t="s">
        <v>61</v>
      </c>
      <c r="H1178" s="6" t="s">
        <v>26</v>
      </c>
      <c r="I1178" s="6" t="s">
        <v>52</v>
      </c>
      <c r="J1178" s="6" t="s">
        <v>40</v>
      </c>
      <c r="K1178" s="6" t="s">
        <v>48</v>
      </c>
      <c r="L1178" s="6" t="s">
        <v>54</v>
      </c>
      <c r="M1178" s="6" t="s">
        <v>48</v>
      </c>
      <c r="N1178" s="6" t="s">
        <v>159</v>
      </c>
      <c r="O1178" s="6" t="s">
        <v>26</v>
      </c>
      <c r="P1178" s="6" t="s">
        <v>48</v>
      </c>
      <c r="Q1178" s="6" t="s">
        <v>48</v>
      </c>
      <c r="R1178" s="6" t="s">
        <v>40</v>
      </c>
      <c r="S1178" s="6" t="s">
        <v>54</v>
      </c>
      <c r="T1178" s="6" t="s">
        <v>48</v>
      </c>
      <c r="U1178" s="6" t="s">
        <v>28</v>
      </c>
      <c r="V1178" s="6" t="s">
        <v>146</v>
      </c>
      <c r="W1178" t="s">
        <v>787</v>
      </c>
    </row>
    <row r="1179" spans="1:23" x14ac:dyDescent="0.3">
      <c r="A1179" s="6" t="s">
        <v>568</v>
      </c>
      <c r="B1179" s="1">
        <v>45819</v>
      </c>
      <c r="C1179" s="6" t="s">
        <v>343</v>
      </c>
      <c r="D1179" s="6" t="s">
        <v>40</v>
      </c>
      <c r="E1179" s="6" t="s">
        <v>44</v>
      </c>
      <c r="F1179" s="6" t="s">
        <v>24</v>
      </c>
      <c r="G1179" s="6" t="s">
        <v>61</v>
      </c>
      <c r="H1179" s="6" t="s">
        <v>26</v>
      </c>
      <c r="I1179" s="6" t="s">
        <v>37</v>
      </c>
      <c r="J1179" s="6" t="s">
        <v>40</v>
      </c>
      <c r="K1179" s="6" t="s">
        <v>48</v>
      </c>
      <c r="L1179" s="6" t="s">
        <v>54</v>
      </c>
      <c r="M1179" s="6" t="s">
        <v>48</v>
      </c>
      <c r="N1179" s="6" t="s">
        <v>159</v>
      </c>
      <c r="O1179" s="6" t="s">
        <v>48</v>
      </c>
      <c r="P1179" s="6" t="s">
        <v>48</v>
      </c>
      <c r="Q1179" s="6" t="s">
        <v>48</v>
      </c>
      <c r="R1179" s="6" t="s">
        <v>40</v>
      </c>
      <c r="S1179" s="6" t="s">
        <v>54</v>
      </c>
      <c r="T1179" s="6" t="s">
        <v>48</v>
      </c>
      <c r="U1179" s="6" t="s">
        <v>28</v>
      </c>
      <c r="V1179" s="6" t="s">
        <v>82</v>
      </c>
      <c r="W1179" t="s">
        <v>787</v>
      </c>
    </row>
    <row r="1180" spans="1:23" x14ac:dyDescent="0.3">
      <c r="A1180" s="6" t="s">
        <v>569</v>
      </c>
      <c r="B1180" s="1">
        <v>45819</v>
      </c>
      <c r="C1180" s="6" t="s">
        <v>343</v>
      </c>
      <c r="D1180" s="6" t="s">
        <v>40</v>
      </c>
      <c r="E1180" s="6" t="s">
        <v>44</v>
      </c>
      <c r="F1180" s="6" t="s">
        <v>24</v>
      </c>
      <c r="G1180" s="6" t="s">
        <v>61</v>
      </c>
      <c r="H1180" s="6" t="s">
        <v>26</v>
      </c>
      <c r="I1180" s="6" t="s">
        <v>52</v>
      </c>
      <c r="J1180" s="6" t="s">
        <v>40</v>
      </c>
      <c r="K1180" s="6" t="s">
        <v>48</v>
      </c>
      <c r="L1180" s="6" t="s">
        <v>54</v>
      </c>
      <c r="M1180" s="6" t="s">
        <v>48</v>
      </c>
      <c r="N1180" s="6" t="s">
        <v>159</v>
      </c>
      <c r="O1180" s="6" t="s">
        <v>26</v>
      </c>
      <c r="P1180" s="6" t="s">
        <v>48</v>
      </c>
      <c r="Q1180" s="6" t="s">
        <v>48</v>
      </c>
      <c r="R1180" s="6" t="s">
        <v>40</v>
      </c>
      <c r="S1180" s="6" t="s">
        <v>54</v>
      </c>
      <c r="T1180" s="6" t="s">
        <v>48</v>
      </c>
      <c r="U1180" s="6" t="s">
        <v>28</v>
      </c>
      <c r="V1180" s="6" t="s">
        <v>137</v>
      </c>
      <c r="W1180" t="s">
        <v>787</v>
      </c>
    </row>
    <row r="1181" spans="1:23" x14ac:dyDescent="0.3">
      <c r="A1181" s="6" t="s">
        <v>571</v>
      </c>
      <c r="B1181" s="1">
        <v>45819</v>
      </c>
      <c r="C1181" s="6" t="s">
        <v>343</v>
      </c>
      <c r="D1181" s="6" t="s">
        <v>40</v>
      </c>
      <c r="E1181" s="6" t="s">
        <v>44</v>
      </c>
      <c r="F1181" s="6" t="s">
        <v>24</v>
      </c>
      <c r="G1181" s="6" t="s">
        <v>61</v>
      </c>
      <c r="H1181" s="6" t="s">
        <v>26</v>
      </c>
      <c r="I1181" s="6" t="s">
        <v>52</v>
      </c>
      <c r="J1181" s="6" t="s">
        <v>40</v>
      </c>
      <c r="K1181" s="6" t="s">
        <v>48</v>
      </c>
      <c r="L1181" s="6" t="s">
        <v>54</v>
      </c>
      <c r="M1181" s="6" t="s">
        <v>48</v>
      </c>
      <c r="N1181" s="6" t="s">
        <v>159</v>
      </c>
      <c r="O1181" s="6" t="s">
        <v>48</v>
      </c>
      <c r="P1181" s="6" t="s">
        <v>48</v>
      </c>
      <c r="Q1181" s="6" t="s">
        <v>48</v>
      </c>
      <c r="R1181" s="6" t="s">
        <v>40</v>
      </c>
      <c r="S1181" s="6" t="s">
        <v>54</v>
      </c>
      <c r="T1181" s="6" t="s">
        <v>48</v>
      </c>
      <c r="U1181" s="6" t="s">
        <v>121</v>
      </c>
      <c r="V1181" s="6" t="s">
        <v>146</v>
      </c>
      <c r="W1181" t="s">
        <v>787</v>
      </c>
    </row>
    <row r="1182" spans="1:23" x14ac:dyDescent="0.3">
      <c r="A1182" s="6" t="s">
        <v>570</v>
      </c>
      <c r="B1182" s="1">
        <v>45819</v>
      </c>
      <c r="C1182" s="6" t="s">
        <v>343</v>
      </c>
      <c r="D1182" s="6" t="s">
        <v>40</v>
      </c>
      <c r="E1182" s="6" t="s">
        <v>44</v>
      </c>
      <c r="F1182" s="6" t="s">
        <v>24</v>
      </c>
      <c r="G1182" s="6" t="s">
        <v>61</v>
      </c>
      <c r="H1182" s="6" t="s">
        <v>26</v>
      </c>
      <c r="I1182" s="6" t="s">
        <v>37</v>
      </c>
      <c r="J1182" s="6" t="s">
        <v>40</v>
      </c>
      <c r="K1182" s="6" t="s">
        <v>48</v>
      </c>
      <c r="L1182" s="6" t="s">
        <v>54</v>
      </c>
      <c r="M1182" s="6" t="s">
        <v>48</v>
      </c>
      <c r="N1182" s="6" t="s">
        <v>159</v>
      </c>
      <c r="O1182" s="6" t="s">
        <v>26</v>
      </c>
      <c r="P1182" s="6" t="s">
        <v>48</v>
      </c>
      <c r="Q1182" s="6" t="s">
        <v>48</v>
      </c>
      <c r="R1182" s="6" t="s">
        <v>40</v>
      </c>
      <c r="S1182" s="6" t="s">
        <v>54</v>
      </c>
      <c r="T1182" s="6" t="s">
        <v>48</v>
      </c>
      <c r="U1182" s="6" t="s">
        <v>28</v>
      </c>
      <c r="V1182" s="6" t="s">
        <v>146</v>
      </c>
      <c r="W1182" t="s">
        <v>787</v>
      </c>
    </row>
    <row r="1183" spans="1:23" x14ac:dyDescent="0.3">
      <c r="A1183" s="6" t="s">
        <v>570</v>
      </c>
      <c r="B1183" s="1">
        <v>45819</v>
      </c>
      <c r="C1183" s="6" t="s">
        <v>343</v>
      </c>
      <c r="D1183" s="6" t="s">
        <v>40</v>
      </c>
      <c r="E1183" s="6" t="s">
        <v>44</v>
      </c>
      <c r="F1183" s="6" t="s">
        <v>24</v>
      </c>
      <c r="G1183" s="6" t="s">
        <v>61</v>
      </c>
      <c r="H1183" s="6" t="s">
        <v>26</v>
      </c>
      <c r="I1183" s="6" t="s">
        <v>37</v>
      </c>
      <c r="J1183" s="6" t="s">
        <v>40</v>
      </c>
      <c r="K1183" s="6" t="s">
        <v>48</v>
      </c>
      <c r="L1183" s="6" t="s">
        <v>54</v>
      </c>
      <c r="M1183" s="6" t="s">
        <v>48</v>
      </c>
      <c r="N1183" s="6" t="s">
        <v>159</v>
      </c>
      <c r="O1183" s="6" t="s">
        <v>26</v>
      </c>
      <c r="P1183" s="6" t="s">
        <v>48</v>
      </c>
      <c r="Q1183" s="6" t="s">
        <v>48</v>
      </c>
      <c r="R1183" s="6" t="s">
        <v>40</v>
      </c>
      <c r="S1183" s="6" t="s">
        <v>54</v>
      </c>
      <c r="T1183" s="6" t="s">
        <v>48</v>
      </c>
      <c r="U1183" s="6" t="s">
        <v>28</v>
      </c>
      <c r="V1183" s="6" t="s">
        <v>82</v>
      </c>
      <c r="W1183" t="s">
        <v>787</v>
      </c>
    </row>
    <row r="1184" spans="1:23" x14ac:dyDescent="0.3">
      <c r="A1184" s="6" t="s">
        <v>573</v>
      </c>
      <c r="B1184" s="1">
        <v>45819</v>
      </c>
      <c r="C1184" s="6" t="s">
        <v>343</v>
      </c>
      <c r="D1184" s="6" t="s">
        <v>40</v>
      </c>
      <c r="E1184" s="6" t="s">
        <v>44</v>
      </c>
      <c r="F1184" s="6" t="s">
        <v>24</v>
      </c>
      <c r="G1184" s="6" t="s">
        <v>61</v>
      </c>
      <c r="H1184" s="6" t="s">
        <v>26</v>
      </c>
      <c r="I1184" s="6" t="s">
        <v>37</v>
      </c>
      <c r="J1184" s="6" t="s">
        <v>40</v>
      </c>
      <c r="K1184" s="6" t="s">
        <v>48</v>
      </c>
      <c r="L1184" s="6" t="s">
        <v>54</v>
      </c>
      <c r="M1184" s="6" t="s">
        <v>48</v>
      </c>
      <c r="N1184" s="6" t="s">
        <v>159</v>
      </c>
      <c r="O1184" s="6" t="s">
        <v>48</v>
      </c>
      <c r="P1184" s="6" t="s">
        <v>48</v>
      </c>
      <c r="Q1184" s="6" t="s">
        <v>48</v>
      </c>
      <c r="R1184" s="6" t="s">
        <v>40</v>
      </c>
      <c r="S1184" s="6" t="s">
        <v>54</v>
      </c>
      <c r="T1184" s="6" t="s">
        <v>48</v>
      </c>
      <c r="U1184" s="6" t="s">
        <v>121</v>
      </c>
      <c r="V1184" s="6" t="s">
        <v>146</v>
      </c>
      <c r="W1184" t="s">
        <v>787</v>
      </c>
    </row>
    <row r="1185" spans="1:23" x14ac:dyDescent="0.3">
      <c r="A1185" s="6" t="s">
        <v>574</v>
      </c>
      <c r="B1185" s="1">
        <v>45819</v>
      </c>
      <c r="C1185" s="6" t="s">
        <v>343</v>
      </c>
      <c r="D1185" s="6" t="s">
        <v>40</v>
      </c>
      <c r="E1185" s="6" t="s">
        <v>44</v>
      </c>
      <c r="F1185" s="6" t="s">
        <v>24</v>
      </c>
      <c r="G1185" s="6" t="s">
        <v>61</v>
      </c>
      <c r="H1185" s="6" t="s">
        <v>26</v>
      </c>
      <c r="I1185" s="6" t="s">
        <v>52</v>
      </c>
      <c r="J1185" s="6" t="s">
        <v>40</v>
      </c>
      <c r="K1185" s="6" t="s">
        <v>48</v>
      </c>
      <c r="L1185" s="6" t="s">
        <v>54</v>
      </c>
      <c r="M1185" s="6" t="s">
        <v>48</v>
      </c>
      <c r="N1185" s="6" t="s">
        <v>159</v>
      </c>
      <c r="O1185" s="6" t="s">
        <v>26</v>
      </c>
      <c r="P1185" s="6" t="s">
        <v>48</v>
      </c>
      <c r="Q1185" s="6" t="s">
        <v>48</v>
      </c>
      <c r="R1185" s="6" t="s">
        <v>40</v>
      </c>
      <c r="S1185" s="6" t="s">
        <v>54</v>
      </c>
      <c r="T1185" s="6" t="s">
        <v>48</v>
      </c>
      <c r="U1185" s="6" t="s">
        <v>28</v>
      </c>
      <c r="V1185" s="6" t="s">
        <v>146</v>
      </c>
      <c r="W1185" t="s">
        <v>787</v>
      </c>
    </row>
    <row r="1186" spans="1:23" x14ac:dyDescent="0.3">
      <c r="A1186" s="6" t="s">
        <v>575</v>
      </c>
      <c r="B1186" s="1">
        <v>45819</v>
      </c>
      <c r="C1186" s="6" t="s">
        <v>343</v>
      </c>
      <c r="D1186" s="6" t="s">
        <v>40</v>
      </c>
      <c r="E1186" s="6" t="s">
        <v>44</v>
      </c>
      <c r="F1186" s="6" t="s">
        <v>24</v>
      </c>
      <c r="G1186" s="6" t="s">
        <v>61</v>
      </c>
      <c r="H1186" s="6" t="s">
        <v>26</v>
      </c>
      <c r="I1186" s="6" t="s">
        <v>37</v>
      </c>
      <c r="J1186" s="6" t="s">
        <v>40</v>
      </c>
      <c r="K1186" s="6" t="s">
        <v>48</v>
      </c>
      <c r="L1186" s="6" t="s">
        <v>54</v>
      </c>
      <c r="M1186" s="6" t="s">
        <v>48</v>
      </c>
      <c r="N1186" s="6" t="s">
        <v>159</v>
      </c>
      <c r="O1186" s="6" t="s">
        <v>26</v>
      </c>
      <c r="P1186" s="6" t="s">
        <v>48</v>
      </c>
      <c r="Q1186" s="6" t="s">
        <v>48</v>
      </c>
      <c r="R1186" s="6" t="s">
        <v>40</v>
      </c>
      <c r="S1186" s="6" t="s">
        <v>54</v>
      </c>
      <c r="T1186" s="6" t="s">
        <v>48</v>
      </c>
      <c r="U1186" s="6" t="s">
        <v>28</v>
      </c>
      <c r="V1186" s="6" t="s">
        <v>82</v>
      </c>
      <c r="W1186" t="s">
        <v>787</v>
      </c>
    </row>
    <row r="1187" spans="1:23" x14ac:dyDescent="0.3">
      <c r="A1187" s="6" t="s">
        <v>572</v>
      </c>
      <c r="B1187" s="1">
        <v>45819</v>
      </c>
      <c r="C1187" s="6" t="s">
        <v>343</v>
      </c>
      <c r="D1187" s="6" t="s">
        <v>40</v>
      </c>
      <c r="E1187" s="6" t="s">
        <v>44</v>
      </c>
      <c r="F1187" s="6" t="s">
        <v>24</v>
      </c>
      <c r="G1187" s="6" t="s">
        <v>61</v>
      </c>
      <c r="H1187" s="6" t="s">
        <v>26</v>
      </c>
      <c r="I1187" s="6" t="s">
        <v>52</v>
      </c>
      <c r="J1187" s="6" t="s">
        <v>40</v>
      </c>
      <c r="K1187" s="6" t="s">
        <v>48</v>
      </c>
      <c r="L1187" s="6" t="s">
        <v>54</v>
      </c>
      <c r="M1187" s="6" t="s">
        <v>48</v>
      </c>
      <c r="N1187" s="6" t="s">
        <v>159</v>
      </c>
      <c r="O1187" s="6" t="s">
        <v>48</v>
      </c>
      <c r="P1187" s="6" t="s">
        <v>48</v>
      </c>
      <c r="Q1187" s="6" t="s">
        <v>48</v>
      </c>
      <c r="R1187" s="6" t="s">
        <v>40</v>
      </c>
      <c r="S1187" s="6" t="s">
        <v>54</v>
      </c>
      <c r="T1187" s="6" t="s">
        <v>48</v>
      </c>
      <c r="U1187" s="6" t="s">
        <v>28</v>
      </c>
      <c r="V1187" s="6" t="s">
        <v>146</v>
      </c>
      <c r="W1187" t="s">
        <v>787</v>
      </c>
    </row>
    <row r="1188" spans="1:23" x14ac:dyDescent="0.3">
      <c r="A1188" s="6" t="s">
        <v>576</v>
      </c>
      <c r="B1188" s="1">
        <v>45819</v>
      </c>
      <c r="C1188" s="6" t="s">
        <v>343</v>
      </c>
      <c r="D1188" s="6" t="s">
        <v>40</v>
      </c>
      <c r="E1188" s="6" t="s">
        <v>44</v>
      </c>
      <c r="F1188" s="6" t="s">
        <v>24</v>
      </c>
      <c r="G1188" s="6" t="s">
        <v>61</v>
      </c>
      <c r="H1188" s="6" t="s">
        <v>26</v>
      </c>
      <c r="I1188" s="6" t="s">
        <v>52</v>
      </c>
      <c r="J1188" s="6" t="s">
        <v>40</v>
      </c>
      <c r="K1188" s="6" t="s">
        <v>48</v>
      </c>
      <c r="L1188" s="6" t="s">
        <v>54</v>
      </c>
      <c r="M1188" s="6" t="s">
        <v>48</v>
      </c>
      <c r="N1188" s="6" t="s">
        <v>159</v>
      </c>
      <c r="O1188" s="6" t="s">
        <v>26</v>
      </c>
      <c r="P1188" s="6" t="s">
        <v>48</v>
      </c>
      <c r="Q1188" s="6" t="s">
        <v>48</v>
      </c>
      <c r="R1188" s="6" t="s">
        <v>40</v>
      </c>
      <c r="S1188" s="6" t="s">
        <v>54</v>
      </c>
      <c r="T1188" s="6" t="s">
        <v>48</v>
      </c>
      <c r="U1188" s="6" t="s">
        <v>28</v>
      </c>
      <c r="V1188" s="6" t="s">
        <v>137</v>
      </c>
      <c r="W1188" t="s">
        <v>787</v>
      </c>
    </row>
    <row r="1189" spans="1:23" x14ac:dyDescent="0.3">
      <c r="A1189" s="6" t="s">
        <v>574</v>
      </c>
      <c r="B1189" s="1">
        <v>45819</v>
      </c>
      <c r="C1189" s="6" t="s">
        <v>343</v>
      </c>
      <c r="D1189" s="6" t="s">
        <v>40</v>
      </c>
      <c r="E1189" s="6" t="s">
        <v>44</v>
      </c>
      <c r="F1189" s="6" t="s">
        <v>24</v>
      </c>
      <c r="G1189" s="6" t="s">
        <v>61</v>
      </c>
      <c r="H1189" s="6" t="s">
        <v>26</v>
      </c>
      <c r="I1189" s="6" t="s">
        <v>52</v>
      </c>
      <c r="J1189" s="6" t="s">
        <v>40</v>
      </c>
      <c r="K1189" s="6" t="s">
        <v>48</v>
      </c>
      <c r="L1189" s="6" t="s">
        <v>54</v>
      </c>
      <c r="M1189" s="6" t="s">
        <v>48</v>
      </c>
      <c r="N1189" s="6" t="s">
        <v>159</v>
      </c>
      <c r="O1189" s="6" t="s">
        <v>26</v>
      </c>
      <c r="P1189" s="6" t="s">
        <v>48</v>
      </c>
      <c r="Q1189" s="6" t="s">
        <v>48</v>
      </c>
      <c r="R1189" s="6" t="s">
        <v>40</v>
      </c>
      <c r="S1189" s="6" t="s">
        <v>54</v>
      </c>
      <c r="T1189" s="6" t="s">
        <v>48</v>
      </c>
      <c r="U1189" s="6" t="s">
        <v>28</v>
      </c>
      <c r="V1189" s="6" t="s">
        <v>137</v>
      </c>
      <c r="W1189" t="s">
        <v>787</v>
      </c>
    </row>
    <row r="1190" spans="1:23" x14ac:dyDescent="0.3">
      <c r="A1190" s="6" t="s">
        <v>575</v>
      </c>
      <c r="B1190" s="1">
        <v>45819</v>
      </c>
      <c r="C1190" s="6" t="s">
        <v>343</v>
      </c>
      <c r="D1190" s="6" t="s">
        <v>40</v>
      </c>
      <c r="E1190" s="6" t="s">
        <v>44</v>
      </c>
      <c r="F1190" s="6" t="s">
        <v>24</v>
      </c>
      <c r="G1190" s="6" t="s">
        <v>61</v>
      </c>
      <c r="H1190" s="6" t="s">
        <v>26</v>
      </c>
      <c r="I1190" s="6" t="s">
        <v>37</v>
      </c>
      <c r="J1190" s="6" t="s">
        <v>40</v>
      </c>
      <c r="K1190" s="6" t="s">
        <v>48</v>
      </c>
      <c r="L1190" s="6" t="s">
        <v>54</v>
      </c>
      <c r="M1190" s="6" t="s">
        <v>48</v>
      </c>
      <c r="N1190" s="6" t="s">
        <v>159</v>
      </c>
      <c r="O1190" s="6" t="s">
        <v>26</v>
      </c>
      <c r="P1190" s="6" t="s">
        <v>48</v>
      </c>
      <c r="Q1190" s="6" t="s">
        <v>48</v>
      </c>
      <c r="R1190" s="6" t="s">
        <v>40</v>
      </c>
      <c r="S1190" s="6" t="s">
        <v>54</v>
      </c>
      <c r="T1190" s="6" t="s">
        <v>48</v>
      </c>
      <c r="U1190" s="6" t="s">
        <v>28</v>
      </c>
      <c r="V1190" s="6" t="s">
        <v>146</v>
      </c>
      <c r="W1190" t="s">
        <v>787</v>
      </c>
    </row>
    <row r="1191" spans="1:23" x14ac:dyDescent="0.3">
      <c r="A1191" s="6" t="s">
        <v>577</v>
      </c>
      <c r="B1191" s="1">
        <v>45819</v>
      </c>
      <c r="C1191" s="6" t="s">
        <v>343</v>
      </c>
      <c r="D1191" s="6" t="s">
        <v>40</v>
      </c>
      <c r="E1191" s="6" t="s">
        <v>44</v>
      </c>
      <c r="F1191" s="6" t="s">
        <v>24</v>
      </c>
      <c r="G1191" s="6" t="s">
        <v>61</v>
      </c>
      <c r="H1191" s="6" t="s">
        <v>26</v>
      </c>
      <c r="I1191" s="6" t="s">
        <v>37</v>
      </c>
      <c r="J1191" s="6" t="s">
        <v>40</v>
      </c>
      <c r="K1191" s="6" t="s">
        <v>48</v>
      </c>
      <c r="L1191" s="6" t="s">
        <v>54</v>
      </c>
      <c r="M1191" s="6" t="s">
        <v>48</v>
      </c>
      <c r="N1191" s="6" t="s">
        <v>159</v>
      </c>
      <c r="O1191" s="6" t="s">
        <v>30</v>
      </c>
      <c r="P1191" s="6" t="s">
        <v>48</v>
      </c>
      <c r="Q1191" s="6" t="s">
        <v>48</v>
      </c>
      <c r="R1191" s="6" t="s">
        <v>40</v>
      </c>
      <c r="S1191" s="6" t="s">
        <v>54</v>
      </c>
      <c r="T1191" s="6" t="s">
        <v>48</v>
      </c>
      <c r="U1191" s="6" t="s">
        <v>28</v>
      </c>
      <c r="V1191" s="6" t="s">
        <v>82</v>
      </c>
      <c r="W1191" t="s">
        <v>787</v>
      </c>
    </row>
    <row r="1192" spans="1:23" x14ac:dyDescent="0.3">
      <c r="A1192" s="6" t="s">
        <v>571</v>
      </c>
      <c r="B1192" s="1">
        <v>45819</v>
      </c>
      <c r="C1192" s="6" t="s">
        <v>343</v>
      </c>
      <c r="D1192" s="6" t="s">
        <v>40</v>
      </c>
      <c r="E1192" s="6" t="s">
        <v>44</v>
      </c>
      <c r="F1192" s="6" t="s">
        <v>24</v>
      </c>
      <c r="G1192" s="6" t="s">
        <v>61</v>
      </c>
      <c r="H1192" s="6" t="s">
        <v>26</v>
      </c>
      <c r="I1192" s="6" t="s">
        <v>52</v>
      </c>
      <c r="J1192" s="6" t="s">
        <v>40</v>
      </c>
      <c r="K1192" s="6" t="s">
        <v>48</v>
      </c>
      <c r="L1192" s="6" t="s">
        <v>54</v>
      </c>
      <c r="M1192" s="6" t="s">
        <v>48</v>
      </c>
      <c r="N1192" s="6" t="s">
        <v>159</v>
      </c>
      <c r="O1192" s="6" t="s">
        <v>48</v>
      </c>
      <c r="P1192" s="6" t="s">
        <v>48</v>
      </c>
      <c r="Q1192" s="6" t="s">
        <v>48</v>
      </c>
      <c r="R1192" s="6" t="s">
        <v>40</v>
      </c>
      <c r="S1192" s="6" t="s">
        <v>54</v>
      </c>
      <c r="T1192" s="6" t="s">
        <v>48</v>
      </c>
      <c r="U1192" s="6" t="s">
        <v>121</v>
      </c>
      <c r="V1192" s="6" t="s">
        <v>137</v>
      </c>
      <c r="W1192" t="s">
        <v>787</v>
      </c>
    </row>
    <row r="1193" spans="1:23" x14ac:dyDescent="0.3">
      <c r="A1193" s="6" t="s">
        <v>572</v>
      </c>
      <c r="B1193" s="1">
        <v>45819</v>
      </c>
      <c r="C1193" s="6" t="s">
        <v>343</v>
      </c>
      <c r="D1193" s="6" t="s">
        <v>40</v>
      </c>
      <c r="E1193" s="6" t="s">
        <v>44</v>
      </c>
      <c r="F1193" s="6" t="s">
        <v>24</v>
      </c>
      <c r="G1193" s="6" t="s">
        <v>61</v>
      </c>
      <c r="H1193" s="6" t="s">
        <v>26</v>
      </c>
      <c r="I1193" s="6" t="s">
        <v>52</v>
      </c>
      <c r="J1193" s="6" t="s">
        <v>40</v>
      </c>
      <c r="K1193" s="6" t="s">
        <v>48</v>
      </c>
      <c r="L1193" s="6" t="s">
        <v>54</v>
      </c>
      <c r="M1193" s="6" t="s">
        <v>48</v>
      </c>
      <c r="N1193" s="6" t="s">
        <v>159</v>
      </c>
      <c r="O1193" s="6" t="s">
        <v>48</v>
      </c>
      <c r="P1193" s="6" t="s">
        <v>48</v>
      </c>
      <c r="Q1193" s="6" t="s">
        <v>48</v>
      </c>
      <c r="R1193" s="6" t="s">
        <v>40</v>
      </c>
      <c r="S1193" s="6" t="s">
        <v>54</v>
      </c>
      <c r="T1193" s="6" t="s">
        <v>48</v>
      </c>
      <c r="U1193" s="6" t="s">
        <v>28</v>
      </c>
      <c r="V1193" s="6" t="s">
        <v>137</v>
      </c>
      <c r="W1193" t="s">
        <v>787</v>
      </c>
    </row>
    <row r="1194" spans="1:23" x14ac:dyDescent="0.3">
      <c r="A1194" s="6" t="s">
        <v>573</v>
      </c>
      <c r="B1194" s="1">
        <v>45819</v>
      </c>
      <c r="C1194" s="6" t="s">
        <v>343</v>
      </c>
      <c r="D1194" s="6" t="s">
        <v>40</v>
      </c>
      <c r="E1194" s="6" t="s">
        <v>44</v>
      </c>
      <c r="F1194" s="6" t="s">
        <v>24</v>
      </c>
      <c r="G1194" s="6" t="s">
        <v>61</v>
      </c>
      <c r="H1194" s="6" t="s">
        <v>26</v>
      </c>
      <c r="I1194" s="6" t="s">
        <v>37</v>
      </c>
      <c r="J1194" s="6" t="s">
        <v>40</v>
      </c>
      <c r="K1194" s="6" t="s">
        <v>48</v>
      </c>
      <c r="L1194" s="6" t="s">
        <v>54</v>
      </c>
      <c r="M1194" s="6" t="s">
        <v>48</v>
      </c>
      <c r="N1194" s="6" t="s">
        <v>159</v>
      </c>
      <c r="O1194" s="6" t="s">
        <v>48</v>
      </c>
      <c r="P1194" s="6" t="s">
        <v>48</v>
      </c>
      <c r="Q1194" s="6" t="s">
        <v>48</v>
      </c>
      <c r="R1194" s="6" t="s">
        <v>40</v>
      </c>
      <c r="S1194" s="6" t="s">
        <v>54</v>
      </c>
      <c r="T1194" s="6" t="s">
        <v>48</v>
      </c>
      <c r="U1194" s="6" t="s">
        <v>121</v>
      </c>
      <c r="V1194" s="6" t="s">
        <v>82</v>
      </c>
      <c r="W1194" t="s">
        <v>787</v>
      </c>
    </row>
    <row r="1195" spans="1:23" x14ac:dyDescent="0.3">
      <c r="A1195" s="6" t="s">
        <v>578</v>
      </c>
      <c r="B1195" s="1">
        <v>45819</v>
      </c>
      <c r="C1195" s="6" t="s">
        <v>343</v>
      </c>
      <c r="D1195" s="6" t="s">
        <v>40</v>
      </c>
      <c r="E1195" s="6" t="s">
        <v>44</v>
      </c>
      <c r="F1195" s="6" t="s">
        <v>24</v>
      </c>
      <c r="G1195" s="6" t="s">
        <v>61</v>
      </c>
      <c r="H1195" s="6" t="s">
        <v>26</v>
      </c>
      <c r="I1195" s="6" t="s">
        <v>52</v>
      </c>
      <c r="J1195" s="6" t="s">
        <v>40</v>
      </c>
      <c r="K1195" s="6" t="s">
        <v>48</v>
      </c>
      <c r="L1195" s="6" t="s">
        <v>54</v>
      </c>
      <c r="M1195" s="6" t="s">
        <v>48</v>
      </c>
      <c r="N1195" s="6" t="s">
        <v>159</v>
      </c>
      <c r="O1195" s="6" t="s">
        <v>30</v>
      </c>
      <c r="P1195" s="6" t="s">
        <v>48</v>
      </c>
      <c r="Q1195" s="6" t="s">
        <v>48</v>
      </c>
      <c r="R1195" s="6" t="s">
        <v>40</v>
      </c>
      <c r="S1195" s="6" t="s">
        <v>54</v>
      </c>
      <c r="T1195" s="6" t="s">
        <v>48</v>
      </c>
      <c r="U1195" s="6" t="s">
        <v>28</v>
      </c>
      <c r="V1195" s="6" t="s">
        <v>137</v>
      </c>
      <c r="W1195" t="s">
        <v>787</v>
      </c>
    </row>
    <row r="1196" spans="1:23" x14ac:dyDescent="0.3">
      <c r="A1196" s="6" t="s">
        <v>579</v>
      </c>
      <c r="B1196" s="1">
        <v>45819</v>
      </c>
      <c r="C1196" s="6" t="s">
        <v>343</v>
      </c>
      <c r="D1196" s="6" t="s">
        <v>40</v>
      </c>
      <c r="E1196" s="6" t="s">
        <v>44</v>
      </c>
      <c r="F1196" s="6" t="s">
        <v>24</v>
      </c>
      <c r="G1196" s="6" t="s">
        <v>61</v>
      </c>
      <c r="H1196" s="6" t="s">
        <v>26</v>
      </c>
      <c r="I1196" s="6" t="s">
        <v>37</v>
      </c>
      <c r="J1196" s="6" t="s">
        <v>40</v>
      </c>
      <c r="K1196" s="6" t="s">
        <v>48</v>
      </c>
      <c r="L1196" s="6" t="s">
        <v>54</v>
      </c>
      <c r="M1196" s="6" t="s">
        <v>48</v>
      </c>
      <c r="N1196" s="6" t="s">
        <v>159</v>
      </c>
      <c r="O1196" s="6" t="s">
        <v>26</v>
      </c>
      <c r="P1196" s="6" t="s">
        <v>48</v>
      </c>
      <c r="Q1196" s="6" t="s">
        <v>48</v>
      </c>
      <c r="R1196" s="6" t="s">
        <v>40</v>
      </c>
      <c r="S1196" s="6" t="s">
        <v>54</v>
      </c>
      <c r="T1196" s="6" t="s">
        <v>48</v>
      </c>
      <c r="U1196" s="6" t="s">
        <v>28</v>
      </c>
      <c r="V1196" s="6" t="s">
        <v>82</v>
      </c>
      <c r="W1196" t="s">
        <v>787</v>
      </c>
    </row>
    <row r="1197" spans="1:23" x14ac:dyDescent="0.3">
      <c r="A1197" s="6" t="s">
        <v>578</v>
      </c>
      <c r="B1197" s="1">
        <v>45819</v>
      </c>
      <c r="C1197" s="6" t="s">
        <v>343</v>
      </c>
      <c r="D1197" s="6" t="s">
        <v>40</v>
      </c>
      <c r="E1197" s="6" t="s">
        <v>44</v>
      </c>
      <c r="F1197" s="6" t="s">
        <v>24</v>
      </c>
      <c r="G1197" s="6" t="s">
        <v>61</v>
      </c>
      <c r="H1197" s="6" t="s">
        <v>26</v>
      </c>
      <c r="I1197" s="6" t="s">
        <v>52</v>
      </c>
      <c r="J1197" s="6" t="s">
        <v>40</v>
      </c>
      <c r="K1197" s="6" t="s">
        <v>48</v>
      </c>
      <c r="L1197" s="6" t="s">
        <v>54</v>
      </c>
      <c r="M1197" s="6" t="s">
        <v>48</v>
      </c>
      <c r="N1197" s="6" t="s">
        <v>159</v>
      </c>
      <c r="O1197" s="6" t="s">
        <v>30</v>
      </c>
      <c r="P1197" s="6" t="s">
        <v>48</v>
      </c>
      <c r="Q1197" s="6" t="s">
        <v>48</v>
      </c>
      <c r="R1197" s="6" t="s">
        <v>40</v>
      </c>
      <c r="S1197" s="6" t="s">
        <v>54</v>
      </c>
      <c r="T1197" s="6" t="s">
        <v>48</v>
      </c>
      <c r="U1197" s="6" t="s">
        <v>28</v>
      </c>
      <c r="V1197" s="6" t="s">
        <v>146</v>
      </c>
      <c r="W1197" t="s">
        <v>787</v>
      </c>
    </row>
    <row r="1198" spans="1:23" x14ac:dyDescent="0.3">
      <c r="A1198" s="6" t="s">
        <v>577</v>
      </c>
      <c r="B1198" s="1">
        <v>45819</v>
      </c>
      <c r="C1198" s="6" t="s">
        <v>343</v>
      </c>
      <c r="D1198" s="6" t="s">
        <v>40</v>
      </c>
      <c r="E1198" s="6" t="s">
        <v>44</v>
      </c>
      <c r="F1198" s="6" t="s">
        <v>24</v>
      </c>
      <c r="G1198" s="6" t="s">
        <v>61</v>
      </c>
      <c r="H1198" s="6" t="s">
        <v>26</v>
      </c>
      <c r="I1198" s="6" t="s">
        <v>37</v>
      </c>
      <c r="J1198" s="6" t="s">
        <v>40</v>
      </c>
      <c r="K1198" s="6" t="s">
        <v>48</v>
      </c>
      <c r="L1198" s="6" t="s">
        <v>54</v>
      </c>
      <c r="M1198" s="6" t="s">
        <v>48</v>
      </c>
      <c r="N1198" s="6" t="s">
        <v>159</v>
      </c>
      <c r="O1198" s="6" t="s">
        <v>30</v>
      </c>
      <c r="P1198" s="6" t="s">
        <v>48</v>
      </c>
      <c r="Q1198" s="6" t="s">
        <v>48</v>
      </c>
      <c r="R1198" s="6" t="s">
        <v>40</v>
      </c>
      <c r="S1198" s="6" t="s">
        <v>54</v>
      </c>
      <c r="T1198" s="6" t="s">
        <v>48</v>
      </c>
      <c r="U1198" s="6" t="s">
        <v>28</v>
      </c>
      <c r="V1198" s="6" t="s">
        <v>146</v>
      </c>
      <c r="W1198" t="s">
        <v>787</v>
      </c>
    </row>
    <row r="1199" spans="1:23" x14ac:dyDescent="0.3">
      <c r="A1199" s="6" t="s">
        <v>576</v>
      </c>
      <c r="B1199" s="1">
        <v>45819</v>
      </c>
      <c r="C1199" s="6" t="s">
        <v>343</v>
      </c>
      <c r="D1199" s="6" t="s">
        <v>40</v>
      </c>
      <c r="E1199" s="6" t="s">
        <v>44</v>
      </c>
      <c r="F1199" s="6" t="s">
        <v>24</v>
      </c>
      <c r="G1199" s="6" t="s">
        <v>61</v>
      </c>
      <c r="H1199" s="6" t="s">
        <v>26</v>
      </c>
      <c r="I1199" s="6" t="s">
        <v>52</v>
      </c>
      <c r="J1199" s="6" t="s">
        <v>40</v>
      </c>
      <c r="K1199" s="6" t="s">
        <v>48</v>
      </c>
      <c r="L1199" s="6" t="s">
        <v>54</v>
      </c>
      <c r="M1199" s="6" t="s">
        <v>48</v>
      </c>
      <c r="N1199" s="6" t="s">
        <v>159</v>
      </c>
      <c r="O1199" s="6" t="s">
        <v>26</v>
      </c>
      <c r="P1199" s="6" t="s">
        <v>48</v>
      </c>
      <c r="Q1199" s="6" t="s">
        <v>48</v>
      </c>
      <c r="R1199" s="6" t="s">
        <v>40</v>
      </c>
      <c r="S1199" s="6" t="s">
        <v>54</v>
      </c>
      <c r="T1199" s="6" t="s">
        <v>48</v>
      </c>
      <c r="U1199" s="6" t="s">
        <v>28</v>
      </c>
      <c r="V1199" s="6" t="s">
        <v>146</v>
      </c>
      <c r="W1199" t="s">
        <v>787</v>
      </c>
    </row>
    <row r="1200" spans="1:23" x14ac:dyDescent="0.3">
      <c r="A1200" s="6" t="s">
        <v>579</v>
      </c>
      <c r="B1200" s="1">
        <v>45819</v>
      </c>
      <c r="C1200" s="6" t="s">
        <v>343</v>
      </c>
      <c r="D1200" s="6" t="s">
        <v>40</v>
      </c>
      <c r="E1200" s="6" t="s">
        <v>44</v>
      </c>
      <c r="F1200" s="6" t="s">
        <v>24</v>
      </c>
      <c r="G1200" s="6" t="s">
        <v>61</v>
      </c>
      <c r="H1200" s="6" t="s">
        <v>26</v>
      </c>
      <c r="I1200" s="6" t="s">
        <v>37</v>
      </c>
      <c r="J1200" s="6" t="s">
        <v>40</v>
      </c>
      <c r="K1200" s="6" t="s">
        <v>48</v>
      </c>
      <c r="L1200" s="6" t="s">
        <v>54</v>
      </c>
      <c r="M1200" s="6" t="s">
        <v>48</v>
      </c>
      <c r="N1200" s="6" t="s">
        <v>159</v>
      </c>
      <c r="O1200" s="6" t="s">
        <v>26</v>
      </c>
      <c r="P1200" s="6" t="s">
        <v>48</v>
      </c>
      <c r="Q1200" s="6" t="s">
        <v>48</v>
      </c>
      <c r="R1200" s="6" t="s">
        <v>40</v>
      </c>
      <c r="S1200" s="6" t="s">
        <v>54</v>
      </c>
      <c r="T1200" s="6" t="s">
        <v>48</v>
      </c>
      <c r="U1200" s="6" t="s">
        <v>28</v>
      </c>
      <c r="V1200" s="6" t="s">
        <v>146</v>
      </c>
      <c r="W1200" t="s">
        <v>787</v>
      </c>
    </row>
    <row r="1201" spans="1:23" x14ac:dyDescent="0.3">
      <c r="A1201" s="6" t="s">
        <v>580</v>
      </c>
      <c r="B1201" s="1">
        <v>45819</v>
      </c>
      <c r="C1201" s="6" t="s">
        <v>343</v>
      </c>
      <c r="D1201" s="6" t="s">
        <v>22</v>
      </c>
      <c r="E1201" s="6" t="s">
        <v>68</v>
      </c>
      <c r="F1201" s="6" t="s">
        <v>24</v>
      </c>
      <c r="G1201" s="6" t="s">
        <v>61</v>
      </c>
      <c r="H1201" s="6" t="s">
        <v>26</v>
      </c>
      <c r="I1201" s="6" t="s">
        <v>52</v>
      </c>
      <c r="J1201" s="6" t="s">
        <v>22</v>
      </c>
      <c r="K1201" s="6" t="s">
        <v>48</v>
      </c>
      <c r="L1201" s="6" t="s">
        <v>54</v>
      </c>
      <c r="M1201" s="6" t="s">
        <v>29</v>
      </c>
      <c r="N1201" s="6" t="s">
        <v>28</v>
      </c>
      <c r="O1201" s="6" t="s">
        <v>48</v>
      </c>
      <c r="P1201" s="6" t="s">
        <v>48</v>
      </c>
      <c r="Q1201" s="6" t="s">
        <v>48</v>
      </c>
      <c r="R1201" s="6" t="s">
        <v>22</v>
      </c>
      <c r="S1201" s="6" t="s">
        <v>54</v>
      </c>
      <c r="T1201" s="6" t="s">
        <v>48</v>
      </c>
      <c r="U1201" s="6" t="s">
        <v>94</v>
      </c>
      <c r="V1201" s="6" t="s">
        <v>82</v>
      </c>
      <c r="W1201" t="s">
        <v>787</v>
      </c>
    </row>
    <row r="1202" spans="1:23" x14ac:dyDescent="0.3">
      <c r="A1202" s="6" t="s">
        <v>580</v>
      </c>
      <c r="B1202" s="1">
        <v>45819</v>
      </c>
      <c r="C1202" s="6" t="s">
        <v>343</v>
      </c>
      <c r="D1202" s="6" t="s">
        <v>22</v>
      </c>
      <c r="E1202" s="6" t="s">
        <v>68</v>
      </c>
      <c r="F1202" s="6" t="s">
        <v>24</v>
      </c>
      <c r="G1202" s="6" t="s">
        <v>61</v>
      </c>
      <c r="H1202" s="6" t="s">
        <v>26</v>
      </c>
      <c r="I1202" s="6" t="s">
        <v>52</v>
      </c>
      <c r="J1202" s="6" t="s">
        <v>22</v>
      </c>
      <c r="K1202" s="6" t="s">
        <v>48</v>
      </c>
      <c r="L1202" s="6" t="s">
        <v>54</v>
      </c>
      <c r="M1202" s="6" t="s">
        <v>29</v>
      </c>
      <c r="N1202" s="6" t="s">
        <v>28</v>
      </c>
      <c r="O1202" s="6" t="s">
        <v>48</v>
      </c>
      <c r="P1202" s="6" t="s">
        <v>48</v>
      </c>
      <c r="Q1202" s="6" t="s">
        <v>48</v>
      </c>
      <c r="R1202" s="6" t="s">
        <v>22</v>
      </c>
      <c r="S1202" s="6" t="s">
        <v>54</v>
      </c>
      <c r="T1202" s="6" t="s">
        <v>48</v>
      </c>
      <c r="U1202" s="6" t="s">
        <v>94</v>
      </c>
      <c r="V1202" s="6" t="s">
        <v>146</v>
      </c>
      <c r="W1202" t="s">
        <v>787</v>
      </c>
    </row>
    <row r="1203" spans="1:23" x14ac:dyDescent="0.3">
      <c r="A1203" s="6" t="s">
        <v>581</v>
      </c>
      <c r="B1203" s="1">
        <v>45819</v>
      </c>
      <c r="C1203" s="6" t="s">
        <v>342</v>
      </c>
      <c r="D1203" s="6" t="s">
        <v>48</v>
      </c>
      <c r="E1203" s="6" t="s">
        <v>73</v>
      </c>
      <c r="F1203" s="6" t="s">
        <v>24</v>
      </c>
      <c r="G1203" s="6" t="s">
        <v>98</v>
      </c>
      <c r="H1203" s="6" t="s">
        <v>26</v>
      </c>
      <c r="I1203" s="6" t="s">
        <v>38</v>
      </c>
      <c r="J1203" s="6" t="s">
        <v>40</v>
      </c>
      <c r="K1203" s="6" t="s">
        <v>48</v>
      </c>
      <c r="L1203" s="6" t="s">
        <v>54</v>
      </c>
      <c r="M1203" s="6" t="s">
        <v>29</v>
      </c>
      <c r="N1203" s="6" t="s">
        <v>28</v>
      </c>
      <c r="O1203" s="6" t="s">
        <v>26</v>
      </c>
      <c r="P1203" s="6" t="s">
        <v>48</v>
      </c>
      <c r="Q1203" s="6" t="s">
        <v>48</v>
      </c>
      <c r="R1203" s="6" t="s">
        <v>49</v>
      </c>
      <c r="S1203" s="6" t="s">
        <v>54</v>
      </c>
      <c r="T1203" s="6" t="s">
        <v>48</v>
      </c>
      <c r="U1203" s="6" t="s">
        <v>28</v>
      </c>
      <c r="V1203" s="6" t="s">
        <v>82</v>
      </c>
      <c r="W1203" t="s">
        <v>787</v>
      </c>
    </row>
    <row r="1204" spans="1:23" x14ac:dyDescent="0.3">
      <c r="A1204" s="6" t="s">
        <v>582</v>
      </c>
      <c r="B1204" s="1">
        <v>45820</v>
      </c>
      <c r="C1204" s="6" t="s">
        <v>343</v>
      </c>
      <c r="D1204" s="6" t="s">
        <v>75</v>
      </c>
      <c r="E1204" s="6" t="s">
        <v>68</v>
      </c>
      <c r="F1204" s="6" t="s">
        <v>24</v>
      </c>
      <c r="G1204" s="6" t="s">
        <v>61</v>
      </c>
      <c r="H1204" s="6" t="s">
        <v>26</v>
      </c>
      <c r="I1204" s="6" t="s">
        <v>66</v>
      </c>
      <c r="J1204" s="6" t="s">
        <v>75</v>
      </c>
      <c r="K1204" s="6" t="s">
        <v>133</v>
      </c>
      <c r="L1204" s="6" t="s">
        <v>704</v>
      </c>
      <c r="M1204" s="6" t="s">
        <v>32</v>
      </c>
      <c r="N1204" s="6" t="s">
        <v>28</v>
      </c>
      <c r="O1204" s="6" t="s">
        <v>26</v>
      </c>
      <c r="P1204" s="6" t="s">
        <v>788</v>
      </c>
      <c r="Q1204" s="6" t="s">
        <v>31</v>
      </c>
      <c r="R1204" s="6" t="s">
        <v>75</v>
      </c>
      <c r="S1204" s="6" t="s">
        <v>704</v>
      </c>
      <c r="T1204" s="6" t="s">
        <v>32</v>
      </c>
      <c r="U1204" s="6" t="s">
        <v>28</v>
      </c>
      <c r="V1204" s="6" t="s">
        <v>82</v>
      </c>
      <c r="W1204" t="s">
        <v>787</v>
      </c>
    </row>
    <row r="1205" spans="1:23" x14ac:dyDescent="0.3">
      <c r="A1205" s="6" t="s">
        <v>583</v>
      </c>
      <c r="B1205" s="1">
        <v>45821</v>
      </c>
      <c r="C1205" s="6" t="s">
        <v>33</v>
      </c>
      <c r="D1205" s="6" t="s">
        <v>43</v>
      </c>
      <c r="E1205" s="6" t="s">
        <v>35</v>
      </c>
      <c r="F1205" s="6" t="s">
        <v>24</v>
      </c>
      <c r="G1205" s="6" t="s">
        <v>72</v>
      </c>
      <c r="H1205" s="6" t="s">
        <v>26</v>
      </c>
      <c r="I1205" s="6" t="s">
        <v>66</v>
      </c>
      <c r="J1205" s="6" t="s">
        <v>43</v>
      </c>
      <c r="K1205" s="6" t="s">
        <v>48</v>
      </c>
      <c r="L1205" s="6" t="s">
        <v>54</v>
      </c>
      <c r="M1205" s="6" t="s">
        <v>29</v>
      </c>
      <c r="N1205" s="6" t="s">
        <v>28</v>
      </c>
      <c r="O1205" s="6" t="s">
        <v>30</v>
      </c>
      <c r="P1205" s="6" t="s">
        <v>788</v>
      </c>
      <c r="Q1205" s="6" t="s">
        <v>31</v>
      </c>
      <c r="R1205" s="6" t="s">
        <v>43</v>
      </c>
      <c r="S1205" s="6" t="s">
        <v>54</v>
      </c>
      <c r="T1205" s="6" t="s">
        <v>55</v>
      </c>
      <c r="U1205" s="6" t="s">
        <v>28</v>
      </c>
      <c r="V1205" s="6" t="s">
        <v>82</v>
      </c>
      <c r="W1205" t="s">
        <v>787</v>
      </c>
    </row>
    <row r="1206" spans="1:23" x14ac:dyDescent="0.3">
      <c r="A1206" s="6" t="s">
        <v>584</v>
      </c>
      <c r="B1206" s="1">
        <v>45821</v>
      </c>
      <c r="C1206" s="6" t="s">
        <v>84</v>
      </c>
      <c r="D1206" s="6" t="s">
        <v>83</v>
      </c>
      <c r="E1206" s="6" t="s">
        <v>41</v>
      </c>
      <c r="F1206" s="6" t="s">
        <v>24</v>
      </c>
      <c r="G1206" s="6" t="s">
        <v>85</v>
      </c>
      <c r="H1206" s="6" t="s">
        <v>26</v>
      </c>
      <c r="I1206" s="6" t="s">
        <v>42</v>
      </c>
      <c r="J1206" s="6" t="s">
        <v>83</v>
      </c>
      <c r="K1206" s="6" t="s">
        <v>48</v>
      </c>
      <c r="L1206" s="6" t="s">
        <v>152</v>
      </c>
      <c r="M1206" s="6" t="s">
        <v>32</v>
      </c>
      <c r="N1206" s="6" t="s">
        <v>28</v>
      </c>
      <c r="O1206" s="6" t="s">
        <v>30</v>
      </c>
      <c r="P1206" s="6" t="s">
        <v>27</v>
      </c>
      <c r="Q1206" s="6" t="s">
        <v>48</v>
      </c>
      <c r="R1206" s="6" t="s">
        <v>83</v>
      </c>
      <c r="S1206" s="6" t="s">
        <v>128</v>
      </c>
      <c r="T1206" s="6" t="s">
        <v>55</v>
      </c>
      <c r="U1206" s="6" t="s">
        <v>28</v>
      </c>
      <c r="V1206" s="6" t="s">
        <v>82</v>
      </c>
      <c r="W1206" t="s">
        <v>787</v>
      </c>
    </row>
    <row r="1207" spans="1:23" x14ac:dyDescent="0.3">
      <c r="A1207" s="6" t="s">
        <v>585</v>
      </c>
      <c r="B1207" s="1">
        <v>45822</v>
      </c>
      <c r="C1207" s="6" t="s">
        <v>84</v>
      </c>
      <c r="D1207" s="6" t="s">
        <v>22</v>
      </c>
      <c r="E1207" s="6" t="s">
        <v>68</v>
      </c>
      <c r="F1207" s="6" t="s">
        <v>24</v>
      </c>
      <c r="G1207" s="6" t="s">
        <v>61</v>
      </c>
      <c r="H1207" s="6" t="s">
        <v>26</v>
      </c>
      <c r="I1207" s="6" t="s">
        <v>100</v>
      </c>
      <c r="J1207" s="6" t="s">
        <v>22</v>
      </c>
      <c r="K1207" s="6" t="s">
        <v>102</v>
      </c>
      <c r="L1207" s="6" t="s">
        <v>54</v>
      </c>
      <c r="M1207" s="6" t="s">
        <v>55</v>
      </c>
      <c r="N1207" s="6" t="s">
        <v>28</v>
      </c>
      <c r="O1207" s="6" t="s">
        <v>26</v>
      </c>
      <c r="P1207" s="6" t="s">
        <v>58</v>
      </c>
      <c r="Q1207" s="6" t="s">
        <v>48</v>
      </c>
      <c r="R1207" s="6" t="s">
        <v>49</v>
      </c>
      <c r="S1207" s="6" t="s">
        <v>54</v>
      </c>
      <c r="T1207" s="6" t="s">
        <v>55</v>
      </c>
      <c r="U1207" s="6" t="s">
        <v>28</v>
      </c>
      <c r="V1207" s="6" t="s">
        <v>82</v>
      </c>
      <c r="W1207" t="s">
        <v>787</v>
      </c>
    </row>
    <row r="1208" spans="1:23" x14ac:dyDescent="0.3">
      <c r="A1208" s="6" t="s">
        <v>586</v>
      </c>
      <c r="B1208" s="1">
        <v>45822</v>
      </c>
      <c r="C1208" s="6" t="s">
        <v>33</v>
      </c>
      <c r="D1208" s="6" t="s">
        <v>43</v>
      </c>
      <c r="E1208" s="6" t="s">
        <v>41</v>
      </c>
      <c r="F1208" s="6" t="s">
        <v>24</v>
      </c>
      <c r="G1208" s="6" t="s">
        <v>97</v>
      </c>
      <c r="H1208" s="6" t="s">
        <v>26</v>
      </c>
      <c r="I1208" s="6" t="s">
        <v>42</v>
      </c>
      <c r="J1208" s="6" t="s">
        <v>43</v>
      </c>
      <c r="K1208" s="6" t="s">
        <v>48</v>
      </c>
      <c r="L1208" s="6" t="s">
        <v>54</v>
      </c>
      <c r="M1208" s="6" t="s">
        <v>55</v>
      </c>
      <c r="N1208" s="6" t="s">
        <v>28</v>
      </c>
      <c r="O1208" s="6" t="s">
        <v>30</v>
      </c>
      <c r="P1208" s="6" t="s">
        <v>48</v>
      </c>
      <c r="Q1208" s="6" t="s">
        <v>48</v>
      </c>
      <c r="R1208" s="6" t="s">
        <v>43</v>
      </c>
      <c r="S1208" s="6" t="s">
        <v>54</v>
      </c>
      <c r="T1208" s="6" t="s">
        <v>48</v>
      </c>
      <c r="U1208" s="6" t="s">
        <v>28</v>
      </c>
      <c r="V1208" s="6" t="s">
        <v>82</v>
      </c>
      <c r="W1208" t="s">
        <v>787</v>
      </c>
    </row>
    <row r="1209" spans="1:23" x14ac:dyDescent="0.3">
      <c r="A1209" s="6" t="s">
        <v>587</v>
      </c>
      <c r="B1209" s="1">
        <v>45823</v>
      </c>
      <c r="C1209" s="6" t="s">
        <v>84</v>
      </c>
      <c r="D1209" s="6" t="s">
        <v>22</v>
      </c>
      <c r="E1209" s="6" t="s">
        <v>68</v>
      </c>
      <c r="F1209" s="6" t="s">
        <v>24</v>
      </c>
      <c r="G1209" s="6" t="s">
        <v>61</v>
      </c>
      <c r="H1209" s="6" t="s">
        <v>48</v>
      </c>
      <c r="I1209" s="6" t="s">
        <v>27</v>
      </c>
      <c r="J1209" s="6" t="s">
        <v>49</v>
      </c>
      <c r="K1209" s="6" t="s">
        <v>48</v>
      </c>
      <c r="L1209" s="6" t="s">
        <v>153</v>
      </c>
      <c r="M1209" s="6" t="s">
        <v>48</v>
      </c>
      <c r="N1209" s="6" t="s">
        <v>28</v>
      </c>
      <c r="O1209" s="6" t="s">
        <v>30</v>
      </c>
      <c r="P1209" s="6" t="s">
        <v>37</v>
      </c>
      <c r="Q1209" s="6" t="s">
        <v>31</v>
      </c>
      <c r="R1209" s="6" t="s">
        <v>22</v>
      </c>
      <c r="S1209" s="6" t="s">
        <v>54</v>
      </c>
      <c r="T1209" s="6" t="s">
        <v>32</v>
      </c>
      <c r="U1209" s="6" t="s">
        <v>28</v>
      </c>
      <c r="V1209" s="6" t="s">
        <v>82</v>
      </c>
      <c r="W1209" t="s">
        <v>787</v>
      </c>
    </row>
    <row r="1210" spans="1:23" x14ac:dyDescent="0.3">
      <c r="A1210" s="6" t="s">
        <v>588</v>
      </c>
      <c r="B1210" s="1">
        <v>45824</v>
      </c>
      <c r="C1210" s="6" t="s">
        <v>39</v>
      </c>
      <c r="D1210" s="6" t="s">
        <v>40</v>
      </c>
      <c r="E1210" s="6" t="s">
        <v>23</v>
      </c>
      <c r="F1210" s="6" t="s">
        <v>24</v>
      </c>
      <c r="G1210" s="6" t="s">
        <v>61</v>
      </c>
      <c r="H1210" s="6" t="s">
        <v>26</v>
      </c>
      <c r="I1210" s="6" t="s">
        <v>38</v>
      </c>
      <c r="J1210" s="6" t="s">
        <v>40</v>
      </c>
      <c r="K1210" s="6" t="s">
        <v>48</v>
      </c>
      <c r="L1210" s="6" t="s">
        <v>54</v>
      </c>
      <c r="M1210" s="6" t="s">
        <v>48</v>
      </c>
      <c r="N1210" s="6" t="s">
        <v>28</v>
      </c>
      <c r="O1210" s="6" t="s">
        <v>48</v>
      </c>
      <c r="P1210" s="6" t="s">
        <v>48</v>
      </c>
      <c r="Q1210" s="6" t="s">
        <v>48</v>
      </c>
      <c r="R1210" s="6" t="s">
        <v>40</v>
      </c>
      <c r="S1210" s="6" t="s">
        <v>54</v>
      </c>
      <c r="T1210" s="6" t="s">
        <v>48</v>
      </c>
      <c r="U1210" s="6" t="s">
        <v>94</v>
      </c>
      <c r="V1210" s="6" t="s">
        <v>146</v>
      </c>
      <c r="W1210" t="s">
        <v>787</v>
      </c>
    </row>
    <row r="1211" spans="1:23" x14ac:dyDescent="0.3">
      <c r="A1211" s="6" t="s">
        <v>589</v>
      </c>
      <c r="B1211" s="1">
        <v>45824</v>
      </c>
      <c r="C1211" s="6" t="s">
        <v>39</v>
      </c>
      <c r="D1211" s="6" t="s">
        <v>83</v>
      </c>
      <c r="E1211" s="6" t="s">
        <v>35</v>
      </c>
      <c r="F1211" s="6" t="s">
        <v>24</v>
      </c>
      <c r="G1211" s="6" t="s">
        <v>114</v>
      </c>
      <c r="H1211" s="6" t="s">
        <v>26</v>
      </c>
      <c r="I1211" s="6" t="s">
        <v>38</v>
      </c>
      <c r="J1211" s="6" t="s">
        <v>83</v>
      </c>
      <c r="K1211" s="6" t="s">
        <v>48</v>
      </c>
      <c r="L1211" s="6" t="s">
        <v>54</v>
      </c>
      <c r="M1211" s="6" t="s">
        <v>55</v>
      </c>
      <c r="N1211" s="6" t="s">
        <v>28</v>
      </c>
      <c r="O1211" s="6" t="s">
        <v>30</v>
      </c>
      <c r="P1211" s="6" t="s">
        <v>38</v>
      </c>
      <c r="Q1211" s="6" t="s">
        <v>31</v>
      </c>
      <c r="R1211" s="6" t="s">
        <v>83</v>
      </c>
      <c r="S1211" s="6" t="s">
        <v>54</v>
      </c>
      <c r="T1211" s="6" t="s">
        <v>32</v>
      </c>
      <c r="U1211" s="6" t="s">
        <v>28</v>
      </c>
      <c r="V1211" s="6" t="s">
        <v>82</v>
      </c>
      <c r="W1211" t="s">
        <v>787</v>
      </c>
    </row>
    <row r="1212" spans="1:23" x14ac:dyDescent="0.3">
      <c r="A1212" s="6" t="s">
        <v>591</v>
      </c>
      <c r="B1212" s="1">
        <v>45824</v>
      </c>
      <c r="C1212" s="6" t="s">
        <v>33</v>
      </c>
      <c r="D1212" s="6" t="s">
        <v>83</v>
      </c>
      <c r="E1212" s="6" t="s">
        <v>68</v>
      </c>
      <c r="F1212" s="6" t="s">
        <v>24</v>
      </c>
      <c r="G1212" s="6" t="s">
        <v>61</v>
      </c>
      <c r="H1212" s="6" t="s">
        <v>26</v>
      </c>
      <c r="I1212" s="6" t="s">
        <v>27</v>
      </c>
      <c r="J1212" s="6" t="s">
        <v>83</v>
      </c>
      <c r="K1212" s="6" t="s">
        <v>48</v>
      </c>
      <c r="L1212" s="6" t="s">
        <v>54</v>
      </c>
      <c r="M1212" s="6" t="s">
        <v>29</v>
      </c>
      <c r="N1212" s="6" t="s">
        <v>28</v>
      </c>
      <c r="O1212" s="6" t="s">
        <v>26</v>
      </c>
      <c r="P1212" s="6" t="s">
        <v>48</v>
      </c>
      <c r="Q1212" s="6" t="s">
        <v>48</v>
      </c>
      <c r="R1212" s="6" t="s">
        <v>49</v>
      </c>
      <c r="S1212" s="6" t="s">
        <v>54</v>
      </c>
      <c r="T1212" s="6" t="s">
        <v>48</v>
      </c>
      <c r="U1212" s="6" t="s">
        <v>28</v>
      </c>
      <c r="V1212" s="6" t="s">
        <v>82</v>
      </c>
      <c r="W1212" t="s">
        <v>787</v>
      </c>
    </row>
    <row r="1213" spans="1:23" x14ac:dyDescent="0.3">
      <c r="A1213" s="6" t="s">
        <v>590</v>
      </c>
      <c r="B1213" s="1">
        <v>45824</v>
      </c>
      <c r="C1213" s="6" t="s">
        <v>33</v>
      </c>
      <c r="D1213" s="6" t="s">
        <v>83</v>
      </c>
      <c r="E1213" s="6" t="s">
        <v>68</v>
      </c>
      <c r="F1213" s="6" t="s">
        <v>24</v>
      </c>
      <c r="G1213" s="6" t="s">
        <v>61</v>
      </c>
      <c r="H1213" s="6" t="s">
        <v>26</v>
      </c>
      <c r="I1213" s="6" t="s">
        <v>27</v>
      </c>
      <c r="J1213" s="6" t="s">
        <v>83</v>
      </c>
      <c r="K1213" s="6" t="s">
        <v>48</v>
      </c>
      <c r="L1213" s="6" t="s">
        <v>54</v>
      </c>
      <c r="M1213" s="6" t="s">
        <v>29</v>
      </c>
      <c r="N1213" s="6" t="s">
        <v>28</v>
      </c>
      <c r="O1213" s="6" t="s">
        <v>26</v>
      </c>
      <c r="P1213" s="6" t="s">
        <v>48</v>
      </c>
      <c r="Q1213" s="6" t="s">
        <v>48</v>
      </c>
      <c r="R1213" s="6" t="s">
        <v>49</v>
      </c>
      <c r="S1213" s="6" t="s">
        <v>54</v>
      </c>
      <c r="T1213" s="6" t="s">
        <v>48</v>
      </c>
      <c r="U1213" s="6" t="s">
        <v>28</v>
      </c>
      <c r="V1213" s="6" t="s">
        <v>82</v>
      </c>
      <c r="W1213" t="s">
        <v>787</v>
      </c>
    </row>
    <row r="1214" spans="1:23" x14ac:dyDescent="0.3">
      <c r="A1214" s="6" t="s">
        <v>592</v>
      </c>
      <c r="B1214" s="1">
        <v>45825</v>
      </c>
      <c r="C1214" s="6" t="s">
        <v>343</v>
      </c>
      <c r="D1214" s="6" t="s">
        <v>70</v>
      </c>
      <c r="E1214" s="6" t="s">
        <v>23</v>
      </c>
      <c r="F1214" s="6" t="s">
        <v>24</v>
      </c>
      <c r="G1214" s="6" t="s">
        <v>104</v>
      </c>
      <c r="H1214" s="6" t="s">
        <v>26</v>
      </c>
      <c r="I1214" s="6" t="s">
        <v>52</v>
      </c>
      <c r="J1214" s="6" t="s">
        <v>70</v>
      </c>
      <c r="K1214" s="6" t="s">
        <v>48</v>
      </c>
      <c r="L1214" s="6" t="s">
        <v>54</v>
      </c>
      <c r="M1214" s="6" t="s">
        <v>55</v>
      </c>
      <c r="N1214" s="6" t="s">
        <v>28</v>
      </c>
      <c r="O1214" s="6" t="s">
        <v>26</v>
      </c>
      <c r="P1214" s="6" t="s">
        <v>52</v>
      </c>
      <c r="Q1214" s="6" t="s">
        <v>31</v>
      </c>
      <c r="R1214" s="6" t="s">
        <v>70</v>
      </c>
      <c r="S1214" s="6" t="s">
        <v>54</v>
      </c>
      <c r="T1214" s="6" t="s">
        <v>32</v>
      </c>
      <c r="U1214" s="6" t="s">
        <v>28</v>
      </c>
      <c r="V1214" s="6" t="s">
        <v>146</v>
      </c>
      <c r="W1214" t="s">
        <v>787</v>
      </c>
    </row>
    <row r="1215" spans="1:23" x14ac:dyDescent="0.3">
      <c r="A1215" s="6" t="s">
        <v>593</v>
      </c>
      <c r="B1215" s="1">
        <v>45825</v>
      </c>
      <c r="C1215" s="6" t="s">
        <v>33</v>
      </c>
      <c r="D1215" s="6" t="s">
        <v>48</v>
      </c>
      <c r="E1215" s="6" t="s">
        <v>46</v>
      </c>
      <c r="F1215" s="6" t="s">
        <v>24</v>
      </c>
      <c r="G1215" s="6" t="s">
        <v>61</v>
      </c>
      <c r="H1215" s="6" t="s">
        <v>26</v>
      </c>
      <c r="I1215" s="6" t="s">
        <v>45</v>
      </c>
      <c r="J1215" s="6" t="s">
        <v>49</v>
      </c>
      <c r="K1215" s="6" t="s">
        <v>48</v>
      </c>
      <c r="L1215" s="6" t="s">
        <v>54</v>
      </c>
      <c r="M1215" s="6" t="s">
        <v>48</v>
      </c>
      <c r="N1215" s="6" t="s">
        <v>28</v>
      </c>
      <c r="O1215" s="6" t="s">
        <v>48</v>
      </c>
      <c r="P1215" s="6" t="s">
        <v>48</v>
      </c>
      <c r="Q1215" s="6" t="s">
        <v>48</v>
      </c>
      <c r="R1215" s="6" t="s">
        <v>49</v>
      </c>
      <c r="S1215" s="6" t="s">
        <v>54</v>
      </c>
      <c r="T1215" s="6" t="s">
        <v>48</v>
      </c>
      <c r="U1215" s="6" t="s">
        <v>28</v>
      </c>
      <c r="V1215" s="6" t="s">
        <v>82</v>
      </c>
      <c r="W1215" t="s">
        <v>787</v>
      </c>
    </row>
    <row r="1216" spans="1:23" x14ac:dyDescent="0.3">
      <c r="A1216" s="6" t="s">
        <v>594</v>
      </c>
      <c r="B1216" s="1">
        <v>45825</v>
      </c>
      <c r="C1216" s="6" t="s">
        <v>21</v>
      </c>
      <c r="D1216" s="6" t="s">
        <v>48</v>
      </c>
      <c r="E1216" s="6" t="s">
        <v>46</v>
      </c>
      <c r="F1216" s="6" t="s">
        <v>24</v>
      </c>
      <c r="G1216" s="6" t="s">
        <v>61</v>
      </c>
      <c r="H1216" s="6" t="s">
        <v>26</v>
      </c>
      <c r="I1216" s="6" t="s">
        <v>42</v>
      </c>
      <c r="J1216" s="6" t="s">
        <v>28</v>
      </c>
      <c r="K1216" s="6" t="s">
        <v>48</v>
      </c>
      <c r="L1216" s="6" t="s">
        <v>54</v>
      </c>
      <c r="M1216" s="6" t="s">
        <v>48</v>
      </c>
      <c r="N1216" s="6" t="s">
        <v>28</v>
      </c>
      <c r="O1216" s="6" t="s">
        <v>48</v>
      </c>
      <c r="P1216" s="6" t="s">
        <v>48</v>
      </c>
      <c r="Q1216" s="6" t="s">
        <v>48</v>
      </c>
      <c r="R1216" s="6" t="s">
        <v>49</v>
      </c>
      <c r="S1216" s="6" t="s">
        <v>54</v>
      </c>
      <c r="T1216" s="6" t="s">
        <v>48</v>
      </c>
      <c r="U1216" s="6" t="s">
        <v>28</v>
      </c>
      <c r="V1216" s="6" t="s">
        <v>137</v>
      </c>
      <c r="W1216" t="s">
        <v>787</v>
      </c>
    </row>
    <row r="1217" spans="1:23" x14ac:dyDescent="0.3">
      <c r="A1217" s="6" t="s">
        <v>595</v>
      </c>
      <c r="B1217" s="1">
        <v>45825</v>
      </c>
      <c r="C1217" s="6" t="s">
        <v>33</v>
      </c>
      <c r="D1217" s="6" t="s">
        <v>83</v>
      </c>
      <c r="E1217" s="6" t="s">
        <v>35</v>
      </c>
      <c r="F1217" s="6" t="s">
        <v>24</v>
      </c>
      <c r="G1217" s="6" t="s">
        <v>69</v>
      </c>
      <c r="H1217" s="6" t="s">
        <v>48</v>
      </c>
      <c r="I1217" s="6" t="s">
        <v>38</v>
      </c>
      <c r="J1217" s="6" t="s">
        <v>83</v>
      </c>
      <c r="K1217" s="6" t="s">
        <v>48</v>
      </c>
      <c r="L1217" s="6" t="s">
        <v>54</v>
      </c>
      <c r="M1217" s="6" t="s">
        <v>48</v>
      </c>
      <c r="N1217" s="6" t="s">
        <v>28</v>
      </c>
      <c r="O1217" s="6" t="s">
        <v>30</v>
      </c>
      <c r="P1217" s="6" t="s">
        <v>45</v>
      </c>
      <c r="Q1217" s="6" t="s">
        <v>31</v>
      </c>
      <c r="R1217" s="6" t="s">
        <v>83</v>
      </c>
      <c r="S1217" s="6" t="s">
        <v>54</v>
      </c>
      <c r="T1217" s="6" t="s">
        <v>32</v>
      </c>
      <c r="U1217" s="6" t="s">
        <v>28</v>
      </c>
      <c r="V1217" s="6" t="s">
        <v>82</v>
      </c>
      <c r="W1217" t="s">
        <v>787</v>
      </c>
    </row>
    <row r="1218" spans="1:23" x14ac:dyDescent="0.3">
      <c r="A1218" s="6" t="s">
        <v>596</v>
      </c>
      <c r="B1218" s="1">
        <v>45826</v>
      </c>
      <c r="C1218" s="6" t="s">
        <v>21</v>
      </c>
      <c r="D1218" s="6" t="s">
        <v>95</v>
      </c>
      <c r="E1218" s="6" t="s">
        <v>46</v>
      </c>
      <c r="F1218" s="6" t="s">
        <v>24</v>
      </c>
      <c r="G1218" s="6" t="s">
        <v>107</v>
      </c>
      <c r="H1218" s="6" t="s">
        <v>26</v>
      </c>
      <c r="I1218" s="6" t="s">
        <v>37</v>
      </c>
      <c r="J1218" s="6" t="s">
        <v>95</v>
      </c>
      <c r="K1218" s="6" t="s">
        <v>48</v>
      </c>
      <c r="L1218" s="6" t="s">
        <v>54</v>
      </c>
      <c r="M1218" s="6" t="s">
        <v>48</v>
      </c>
      <c r="N1218" s="6" t="s">
        <v>28</v>
      </c>
      <c r="O1218" s="6" t="s">
        <v>48</v>
      </c>
      <c r="P1218" s="6" t="s">
        <v>48</v>
      </c>
      <c r="Q1218" s="6" t="s">
        <v>48</v>
      </c>
      <c r="R1218" s="6" t="s">
        <v>95</v>
      </c>
      <c r="S1218" s="6" t="s">
        <v>54</v>
      </c>
      <c r="T1218" s="6" t="s">
        <v>48</v>
      </c>
      <c r="U1218" s="6" t="s">
        <v>118</v>
      </c>
      <c r="V1218" s="6" t="s">
        <v>137</v>
      </c>
      <c r="W1218" t="s">
        <v>787</v>
      </c>
    </row>
    <row r="1219" spans="1:23" x14ac:dyDescent="0.3">
      <c r="A1219" s="6" t="s">
        <v>597</v>
      </c>
      <c r="B1219" s="1">
        <v>45826</v>
      </c>
      <c r="C1219" s="6" t="s">
        <v>90</v>
      </c>
      <c r="D1219" s="6" t="s">
        <v>22</v>
      </c>
      <c r="E1219" s="6" t="s">
        <v>46</v>
      </c>
      <c r="F1219" s="6" t="s">
        <v>24</v>
      </c>
      <c r="G1219" s="6" t="s">
        <v>98</v>
      </c>
      <c r="H1219" s="6" t="s">
        <v>26</v>
      </c>
      <c r="I1219" s="6" t="s">
        <v>27</v>
      </c>
      <c r="J1219" s="6" t="s">
        <v>22</v>
      </c>
      <c r="K1219" s="6" t="s">
        <v>48</v>
      </c>
      <c r="L1219" s="6" t="s">
        <v>54</v>
      </c>
      <c r="M1219" s="6" t="s">
        <v>32</v>
      </c>
      <c r="N1219" s="6" t="s">
        <v>28</v>
      </c>
      <c r="O1219" s="6" t="s">
        <v>48</v>
      </c>
      <c r="P1219" s="6" t="s">
        <v>48</v>
      </c>
      <c r="Q1219" s="6" t="s">
        <v>48</v>
      </c>
      <c r="R1219" s="6" t="s">
        <v>22</v>
      </c>
      <c r="S1219" s="6" t="s">
        <v>54</v>
      </c>
      <c r="T1219" s="6" t="s">
        <v>48</v>
      </c>
      <c r="U1219" s="6" t="s">
        <v>118</v>
      </c>
      <c r="V1219" s="6" t="s">
        <v>82</v>
      </c>
      <c r="W1219" t="s">
        <v>787</v>
      </c>
    </row>
    <row r="1220" spans="1:23" x14ac:dyDescent="0.3">
      <c r="A1220" s="6" t="s">
        <v>597</v>
      </c>
      <c r="B1220" s="1">
        <v>45826</v>
      </c>
      <c r="C1220" s="6" t="s">
        <v>90</v>
      </c>
      <c r="D1220" s="6" t="s">
        <v>22</v>
      </c>
      <c r="E1220" s="6" t="s">
        <v>46</v>
      </c>
      <c r="F1220" s="6" t="s">
        <v>24</v>
      </c>
      <c r="G1220" s="6" t="s">
        <v>98</v>
      </c>
      <c r="H1220" s="6" t="s">
        <v>26</v>
      </c>
      <c r="I1220" s="6" t="s">
        <v>27</v>
      </c>
      <c r="J1220" s="6" t="s">
        <v>22</v>
      </c>
      <c r="K1220" s="6" t="s">
        <v>48</v>
      </c>
      <c r="L1220" s="6" t="s">
        <v>54</v>
      </c>
      <c r="M1220" s="6" t="s">
        <v>32</v>
      </c>
      <c r="N1220" s="6" t="s">
        <v>28</v>
      </c>
      <c r="O1220" s="6" t="s">
        <v>48</v>
      </c>
      <c r="P1220" s="6" t="s">
        <v>48</v>
      </c>
      <c r="Q1220" s="6" t="s">
        <v>48</v>
      </c>
      <c r="R1220" s="6" t="s">
        <v>22</v>
      </c>
      <c r="S1220" s="6" t="s">
        <v>54</v>
      </c>
      <c r="T1220" s="6" t="s">
        <v>48</v>
      </c>
      <c r="U1220" s="6" t="s">
        <v>118</v>
      </c>
      <c r="V1220" s="6" t="s">
        <v>146</v>
      </c>
      <c r="W1220" t="s">
        <v>787</v>
      </c>
    </row>
    <row r="1221" spans="1:23" x14ac:dyDescent="0.3">
      <c r="A1221" s="6" t="s">
        <v>598</v>
      </c>
      <c r="B1221" s="1">
        <v>45826</v>
      </c>
      <c r="C1221" s="6" t="s">
        <v>39</v>
      </c>
      <c r="D1221" s="6" t="s">
        <v>70</v>
      </c>
      <c r="E1221" s="6" t="s">
        <v>35</v>
      </c>
      <c r="F1221" s="6" t="s">
        <v>24</v>
      </c>
      <c r="G1221" s="6" t="s">
        <v>69</v>
      </c>
      <c r="H1221" s="6" t="s">
        <v>48</v>
      </c>
      <c r="I1221" s="6" t="s">
        <v>58</v>
      </c>
      <c r="J1221" s="6" t="s">
        <v>70</v>
      </c>
      <c r="K1221" s="6" t="s">
        <v>48</v>
      </c>
      <c r="L1221" s="6" t="s">
        <v>54</v>
      </c>
      <c r="M1221" s="6" t="s">
        <v>48</v>
      </c>
      <c r="N1221" s="6" t="s">
        <v>28</v>
      </c>
      <c r="O1221" s="6" t="s">
        <v>30</v>
      </c>
      <c r="P1221" s="6" t="s">
        <v>52</v>
      </c>
      <c r="Q1221" s="6" t="s">
        <v>31</v>
      </c>
      <c r="R1221" s="6" t="s">
        <v>70</v>
      </c>
      <c r="S1221" s="6" t="s">
        <v>54</v>
      </c>
      <c r="T1221" s="6" t="s">
        <v>32</v>
      </c>
      <c r="U1221" s="6" t="s">
        <v>28</v>
      </c>
      <c r="V1221" s="6" t="s">
        <v>146</v>
      </c>
      <c r="W1221" t="s">
        <v>787</v>
      </c>
    </row>
    <row r="1222" spans="1:23" x14ac:dyDescent="0.3">
      <c r="A1222" s="6" t="s">
        <v>599</v>
      </c>
      <c r="B1222" s="1">
        <v>45826</v>
      </c>
      <c r="C1222" s="6" t="s">
        <v>343</v>
      </c>
      <c r="D1222" s="6" t="s">
        <v>95</v>
      </c>
      <c r="E1222" s="6" t="s">
        <v>23</v>
      </c>
      <c r="F1222" s="6" t="s">
        <v>24</v>
      </c>
      <c r="G1222" s="6" t="s">
        <v>69</v>
      </c>
      <c r="H1222" s="6" t="s">
        <v>48</v>
      </c>
      <c r="I1222" s="6" t="s">
        <v>27</v>
      </c>
      <c r="J1222" s="6" t="s">
        <v>95</v>
      </c>
      <c r="K1222" s="6" t="s">
        <v>48</v>
      </c>
      <c r="L1222" s="6" t="s">
        <v>152</v>
      </c>
      <c r="M1222" s="6" t="s">
        <v>48</v>
      </c>
      <c r="N1222" s="6" t="s">
        <v>28</v>
      </c>
      <c r="O1222" s="6" t="s">
        <v>26</v>
      </c>
      <c r="P1222" s="6" t="s">
        <v>38</v>
      </c>
      <c r="Q1222" s="6" t="s">
        <v>31</v>
      </c>
      <c r="R1222" s="6" t="s">
        <v>95</v>
      </c>
      <c r="S1222" s="6" t="s">
        <v>54</v>
      </c>
      <c r="T1222" s="6" t="s">
        <v>29</v>
      </c>
      <c r="U1222" s="6" t="s">
        <v>28</v>
      </c>
      <c r="V1222" s="6" t="s">
        <v>146</v>
      </c>
      <c r="W1222" t="s">
        <v>787</v>
      </c>
    </row>
    <row r="1223" spans="1:23" x14ac:dyDescent="0.3">
      <c r="A1223" s="6" t="s">
        <v>600</v>
      </c>
      <c r="B1223" s="1">
        <v>45826</v>
      </c>
      <c r="C1223" s="6" t="s">
        <v>343</v>
      </c>
      <c r="D1223" s="6" t="s">
        <v>95</v>
      </c>
      <c r="E1223" s="6" t="s">
        <v>23</v>
      </c>
      <c r="F1223" s="6" t="s">
        <v>24</v>
      </c>
      <c r="G1223" s="6" t="s">
        <v>69</v>
      </c>
      <c r="H1223" s="6" t="s">
        <v>48</v>
      </c>
      <c r="I1223" s="6" t="s">
        <v>27</v>
      </c>
      <c r="J1223" s="6" t="s">
        <v>95</v>
      </c>
      <c r="K1223" s="6" t="s">
        <v>48</v>
      </c>
      <c r="L1223" s="6" t="s">
        <v>152</v>
      </c>
      <c r="M1223" s="6" t="s">
        <v>48</v>
      </c>
      <c r="N1223" s="6" t="s">
        <v>28</v>
      </c>
      <c r="O1223" s="6" t="s">
        <v>30</v>
      </c>
      <c r="P1223" s="6" t="s">
        <v>45</v>
      </c>
      <c r="Q1223" s="6" t="s">
        <v>31</v>
      </c>
      <c r="R1223" s="6" t="s">
        <v>95</v>
      </c>
      <c r="S1223" s="6" t="s">
        <v>54</v>
      </c>
      <c r="T1223" s="6" t="s">
        <v>32</v>
      </c>
      <c r="U1223" s="6" t="s">
        <v>28</v>
      </c>
      <c r="V1223" s="6" t="s">
        <v>146</v>
      </c>
      <c r="W1223" t="s">
        <v>787</v>
      </c>
    </row>
    <row r="1224" spans="1:23" x14ac:dyDescent="0.3">
      <c r="A1224" s="6" t="s">
        <v>601</v>
      </c>
      <c r="B1224" s="1">
        <v>45826</v>
      </c>
      <c r="C1224" s="6" t="s">
        <v>343</v>
      </c>
      <c r="D1224" s="6" t="s">
        <v>95</v>
      </c>
      <c r="E1224" s="6" t="s">
        <v>23</v>
      </c>
      <c r="F1224" s="6" t="s">
        <v>24</v>
      </c>
      <c r="G1224" s="6" t="s">
        <v>69</v>
      </c>
      <c r="H1224" s="6" t="s">
        <v>48</v>
      </c>
      <c r="I1224" s="6" t="s">
        <v>27</v>
      </c>
      <c r="J1224" s="6" t="s">
        <v>95</v>
      </c>
      <c r="K1224" s="6" t="s">
        <v>48</v>
      </c>
      <c r="L1224" s="6" t="s">
        <v>152</v>
      </c>
      <c r="M1224" s="6" t="s">
        <v>48</v>
      </c>
      <c r="N1224" s="6" t="s">
        <v>28</v>
      </c>
      <c r="O1224" s="6" t="s">
        <v>26</v>
      </c>
      <c r="P1224" s="6" t="s">
        <v>48</v>
      </c>
      <c r="Q1224" s="6" t="s">
        <v>31</v>
      </c>
      <c r="R1224" s="6" t="s">
        <v>95</v>
      </c>
      <c r="S1224" s="6" t="s">
        <v>54</v>
      </c>
      <c r="T1224" s="6" t="s">
        <v>48</v>
      </c>
      <c r="U1224" s="6" t="s">
        <v>28</v>
      </c>
      <c r="V1224" s="6" t="s">
        <v>146</v>
      </c>
      <c r="W1224" t="s">
        <v>787</v>
      </c>
    </row>
    <row r="1225" spans="1:23" x14ac:dyDescent="0.3">
      <c r="A1225" s="6" t="s">
        <v>602</v>
      </c>
      <c r="B1225" s="1">
        <v>45826</v>
      </c>
      <c r="C1225" s="6" t="s">
        <v>343</v>
      </c>
      <c r="D1225" s="6" t="s">
        <v>22</v>
      </c>
      <c r="E1225" s="6" t="s">
        <v>46</v>
      </c>
      <c r="F1225" s="6" t="s">
        <v>24</v>
      </c>
      <c r="G1225" s="6" t="s">
        <v>61</v>
      </c>
      <c r="H1225" s="6" t="s">
        <v>48</v>
      </c>
      <c r="I1225" s="6" t="s">
        <v>27</v>
      </c>
      <c r="J1225" s="6" t="s">
        <v>22</v>
      </c>
      <c r="K1225" s="6" t="s">
        <v>48</v>
      </c>
      <c r="L1225" s="6" t="s">
        <v>54</v>
      </c>
      <c r="M1225" s="6" t="s">
        <v>48</v>
      </c>
      <c r="N1225" s="6" t="s">
        <v>28</v>
      </c>
      <c r="O1225" s="6" t="s">
        <v>48</v>
      </c>
      <c r="P1225" s="6" t="s">
        <v>48</v>
      </c>
      <c r="Q1225" s="6" t="s">
        <v>48</v>
      </c>
      <c r="R1225" s="6" t="s">
        <v>22</v>
      </c>
      <c r="S1225" s="6" t="s">
        <v>54</v>
      </c>
      <c r="T1225" s="6" t="s">
        <v>48</v>
      </c>
      <c r="U1225" s="6" t="s">
        <v>89</v>
      </c>
      <c r="V1225" s="6" t="s">
        <v>146</v>
      </c>
      <c r="W1225" t="s">
        <v>787</v>
      </c>
    </row>
    <row r="1226" spans="1:23" x14ac:dyDescent="0.3">
      <c r="A1226" s="6" t="s">
        <v>602</v>
      </c>
      <c r="B1226" s="1">
        <v>45826</v>
      </c>
      <c r="C1226" s="6" t="s">
        <v>343</v>
      </c>
      <c r="D1226" s="6" t="s">
        <v>22</v>
      </c>
      <c r="E1226" s="6" t="s">
        <v>46</v>
      </c>
      <c r="F1226" s="6" t="s">
        <v>24</v>
      </c>
      <c r="G1226" s="6" t="s">
        <v>61</v>
      </c>
      <c r="H1226" s="6" t="s">
        <v>48</v>
      </c>
      <c r="I1226" s="6" t="s">
        <v>27</v>
      </c>
      <c r="J1226" s="6" t="s">
        <v>22</v>
      </c>
      <c r="K1226" s="6" t="s">
        <v>48</v>
      </c>
      <c r="L1226" s="6" t="s">
        <v>54</v>
      </c>
      <c r="M1226" s="6" t="s">
        <v>48</v>
      </c>
      <c r="N1226" s="6" t="s">
        <v>28</v>
      </c>
      <c r="O1226" s="6" t="s">
        <v>48</v>
      </c>
      <c r="P1226" s="6" t="s">
        <v>48</v>
      </c>
      <c r="Q1226" s="6" t="s">
        <v>48</v>
      </c>
      <c r="R1226" s="6" t="s">
        <v>22</v>
      </c>
      <c r="S1226" s="6" t="s">
        <v>54</v>
      </c>
      <c r="T1226" s="6" t="s">
        <v>48</v>
      </c>
      <c r="U1226" s="6" t="s">
        <v>89</v>
      </c>
      <c r="V1226" s="6" t="s">
        <v>82</v>
      </c>
      <c r="W1226" t="s">
        <v>787</v>
      </c>
    </row>
    <row r="1227" spans="1:23" x14ac:dyDescent="0.3">
      <c r="A1227" s="6" t="s">
        <v>602</v>
      </c>
      <c r="B1227" s="1">
        <v>45826</v>
      </c>
      <c r="C1227" s="6" t="s">
        <v>343</v>
      </c>
      <c r="D1227" s="6" t="s">
        <v>22</v>
      </c>
      <c r="E1227" s="6" t="s">
        <v>46</v>
      </c>
      <c r="F1227" s="6" t="s">
        <v>24</v>
      </c>
      <c r="G1227" s="6" t="s">
        <v>61</v>
      </c>
      <c r="H1227" s="6" t="s">
        <v>48</v>
      </c>
      <c r="I1227" s="6" t="s">
        <v>27</v>
      </c>
      <c r="J1227" s="6" t="s">
        <v>22</v>
      </c>
      <c r="K1227" s="6" t="s">
        <v>48</v>
      </c>
      <c r="L1227" s="6" t="s">
        <v>54</v>
      </c>
      <c r="M1227" s="6" t="s">
        <v>48</v>
      </c>
      <c r="N1227" s="6" t="s">
        <v>28</v>
      </c>
      <c r="O1227" s="6" t="s">
        <v>48</v>
      </c>
      <c r="P1227" s="6" t="s">
        <v>48</v>
      </c>
      <c r="Q1227" s="6" t="s">
        <v>48</v>
      </c>
      <c r="R1227" s="6" t="s">
        <v>22</v>
      </c>
      <c r="S1227" s="6" t="s">
        <v>54</v>
      </c>
      <c r="T1227" s="6" t="s">
        <v>48</v>
      </c>
      <c r="U1227" s="6" t="s">
        <v>89</v>
      </c>
      <c r="V1227" s="6" t="s">
        <v>137</v>
      </c>
      <c r="W1227" t="s">
        <v>787</v>
      </c>
    </row>
    <row r="1228" spans="1:23" x14ac:dyDescent="0.3">
      <c r="A1228" s="6" t="s">
        <v>603</v>
      </c>
      <c r="B1228" s="1">
        <v>45827</v>
      </c>
      <c r="C1228" s="6" t="s">
        <v>33</v>
      </c>
      <c r="D1228" s="6" t="s">
        <v>34</v>
      </c>
      <c r="E1228" s="6" t="s">
        <v>68</v>
      </c>
      <c r="F1228" s="6" t="s">
        <v>24</v>
      </c>
      <c r="G1228" s="6" t="s">
        <v>61</v>
      </c>
      <c r="H1228" s="6" t="s">
        <v>26</v>
      </c>
      <c r="I1228" s="6" t="s">
        <v>42</v>
      </c>
      <c r="J1228" s="6" t="s">
        <v>34</v>
      </c>
      <c r="K1228" s="6" t="s">
        <v>48</v>
      </c>
      <c r="L1228" s="6" t="s">
        <v>54</v>
      </c>
      <c r="M1228" s="6" t="s">
        <v>29</v>
      </c>
      <c r="N1228" s="6" t="s">
        <v>28</v>
      </c>
      <c r="O1228" s="6" t="s">
        <v>30</v>
      </c>
      <c r="P1228" s="6" t="s">
        <v>38</v>
      </c>
      <c r="Q1228" s="6" t="s">
        <v>31</v>
      </c>
      <c r="R1228" s="6" t="s">
        <v>34</v>
      </c>
      <c r="S1228" s="6" t="s">
        <v>54</v>
      </c>
      <c r="T1228" s="6" t="s">
        <v>29</v>
      </c>
      <c r="U1228" s="6" t="s">
        <v>28</v>
      </c>
      <c r="V1228" s="6" t="s">
        <v>82</v>
      </c>
      <c r="W1228" t="s">
        <v>787</v>
      </c>
    </row>
    <row r="1229" spans="1:23" x14ac:dyDescent="0.3">
      <c r="A1229" s="6" t="s">
        <v>604</v>
      </c>
      <c r="B1229" s="1">
        <v>45827</v>
      </c>
      <c r="C1229" s="6" t="s">
        <v>343</v>
      </c>
      <c r="D1229" s="6" t="s">
        <v>125</v>
      </c>
      <c r="E1229" s="6" t="s">
        <v>68</v>
      </c>
      <c r="F1229" s="6" t="s">
        <v>24</v>
      </c>
      <c r="G1229" s="6" t="s">
        <v>61</v>
      </c>
      <c r="H1229" s="6" t="s">
        <v>48</v>
      </c>
      <c r="I1229" s="6" t="s">
        <v>58</v>
      </c>
      <c r="J1229" s="6" t="s">
        <v>125</v>
      </c>
      <c r="K1229" s="6" t="s">
        <v>48</v>
      </c>
      <c r="L1229" s="6" t="s">
        <v>54</v>
      </c>
      <c r="M1229" s="6" t="s">
        <v>48</v>
      </c>
      <c r="N1229" s="6" t="s">
        <v>28</v>
      </c>
      <c r="O1229" s="6" t="s">
        <v>48</v>
      </c>
      <c r="P1229" s="6" t="s">
        <v>48</v>
      </c>
      <c r="Q1229" s="6" t="s">
        <v>48</v>
      </c>
      <c r="R1229" s="6" t="s">
        <v>125</v>
      </c>
      <c r="S1229" s="6" t="s">
        <v>54</v>
      </c>
      <c r="T1229" s="6" t="s">
        <v>48</v>
      </c>
      <c r="U1229" s="6" t="s">
        <v>94</v>
      </c>
      <c r="V1229" s="6" t="s">
        <v>82</v>
      </c>
      <c r="W1229" t="s">
        <v>787</v>
      </c>
    </row>
    <row r="1230" spans="1:23" x14ac:dyDescent="0.3">
      <c r="A1230" s="6" t="s">
        <v>605</v>
      </c>
      <c r="B1230" s="1">
        <v>45829</v>
      </c>
      <c r="C1230" s="6" t="s">
        <v>57</v>
      </c>
      <c r="D1230" s="6" t="s">
        <v>40</v>
      </c>
      <c r="E1230" s="6" t="s">
        <v>46</v>
      </c>
      <c r="F1230" s="6" t="s">
        <v>24</v>
      </c>
      <c r="G1230" s="6" t="s">
        <v>47</v>
      </c>
      <c r="H1230" s="6" t="s">
        <v>26</v>
      </c>
      <c r="I1230" s="6" t="s">
        <v>37</v>
      </c>
      <c r="J1230" s="6" t="s">
        <v>40</v>
      </c>
      <c r="K1230" s="6" t="s">
        <v>48</v>
      </c>
      <c r="L1230" s="6" t="s">
        <v>54</v>
      </c>
      <c r="M1230" s="6" t="s">
        <v>29</v>
      </c>
      <c r="N1230" s="6" t="s">
        <v>28</v>
      </c>
      <c r="O1230" s="6" t="s">
        <v>26</v>
      </c>
      <c r="P1230" s="6" t="s">
        <v>48</v>
      </c>
      <c r="Q1230" s="6" t="s">
        <v>48</v>
      </c>
      <c r="R1230" s="6" t="s">
        <v>40</v>
      </c>
      <c r="S1230" s="6" t="s">
        <v>54</v>
      </c>
      <c r="T1230" s="6" t="s">
        <v>48</v>
      </c>
      <c r="U1230" s="6" t="s">
        <v>28</v>
      </c>
      <c r="V1230" s="6" t="s">
        <v>82</v>
      </c>
      <c r="W1230" t="s">
        <v>787</v>
      </c>
    </row>
    <row r="1231" spans="1:23" x14ac:dyDescent="0.3">
      <c r="A1231" s="6" t="s">
        <v>607</v>
      </c>
      <c r="B1231" s="1">
        <v>45829</v>
      </c>
      <c r="C1231" s="6" t="s">
        <v>57</v>
      </c>
      <c r="D1231" s="6" t="s">
        <v>40</v>
      </c>
      <c r="E1231" s="6" t="s">
        <v>46</v>
      </c>
      <c r="F1231" s="6" t="s">
        <v>24</v>
      </c>
      <c r="G1231" s="6" t="s">
        <v>47</v>
      </c>
      <c r="H1231" s="6" t="s">
        <v>26</v>
      </c>
      <c r="I1231" s="6" t="s">
        <v>37</v>
      </c>
      <c r="J1231" s="6" t="s">
        <v>40</v>
      </c>
      <c r="K1231" s="6" t="s">
        <v>48</v>
      </c>
      <c r="L1231" s="6" t="s">
        <v>54</v>
      </c>
      <c r="M1231" s="6" t="s">
        <v>29</v>
      </c>
      <c r="N1231" s="6" t="s">
        <v>28</v>
      </c>
      <c r="O1231" s="6" t="s">
        <v>26</v>
      </c>
      <c r="P1231" s="6" t="s">
        <v>48</v>
      </c>
      <c r="Q1231" s="6" t="s">
        <v>48</v>
      </c>
      <c r="R1231" s="6" t="s">
        <v>40</v>
      </c>
      <c r="S1231" s="6" t="s">
        <v>54</v>
      </c>
      <c r="T1231" s="6" t="s">
        <v>48</v>
      </c>
      <c r="U1231" s="6" t="s">
        <v>28</v>
      </c>
      <c r="V1231" s="6" t="s">
        <v>82</v>
      </c>
      <c r="W1231" t="s">
        <v>787</v>
      </c>
    </row>
    <row r="1232" spans="1:23" x14ac:dyDescent="0.3">
      <c r="A1232" s="6" t="s">
        <v>610</v>
      </c>
      <c r="B1232" s="1">
        <v>45829</v>
      </c>
      <c r="C1232" s="6" t="s">
        <v>57</v>
      </c>
      <c r="D1232" s="6" t="s">
        <v>40</v>
      </c>
      <c r="E1232" s="6" t="s">
        <v>46</v>
      </c>
      <c r="F1232" s="6" t="s">
        <v>24</v>
      </c>
      <c r="G1232" s="6" t="s">
        <v>47</v>
      </c>
      <c r="H1232" s="6" t="s">
        <v>26</v>
      </c>
      <c r="I1232" s="6" t="s">
        <v>37</v>
      </c>
      <c r="J1232" s="6" t="s">
        <v>40</v>
      </c>
      <c r="K1232" s="6" t="s">
        <v>48</v>
      </c>
      <c r="L1232" s="6" t="s">
        <v>54</v>
      </c>
      <c r="M1232" s="6" t="s">
        <v>29</v>
      </c>
      <c r="N1232" s="6" t="s">
        <v>28</v>
      </c>
      <c r="O1232" s="6" t="s">
        <v>26</v>
      </c>
      <c r="P1232" s="6" t="s">
        <v>48</v>
      </c>
      <c r="Q1232" s="6" t="s">
        <v>48</v>
      </c>
      <c r="R1232" s="6" t="s">
        <v>40</v>
      </c>
      <c r="S1232" s="6" t="s">
        <v>54</v>
      </c>
      <c r="T1232" s="6" t="s">
        <v>48</v>
      </c>
      <c r="U1232" s="6" t="s">
        <v>28</v>
      </c>
      <c r="V1232" s="6" t="s">
        <v>82</v>
      </c>
      <c r="W1232" t="s">
        <v>787</v>
      </c>
    </row>
    <row r="1233" spans="1:23" x14ac:dyDescent="0.3">
      <c r="A1233" s="6" t="s">
        <v>609</v>
      </c>
      <c r="B1233" s="1">
        <v>45829</v>
      </c>
      <c r="C1233" s="6" t="s">
        <v>57</v>
      </c>
      <c r="D1233" s="6" t="s">
        <v>40</v>
      </c>
      <c r="E1233" s="6" t="s">
        <v>46</v>
      </c>
      <c r="F1233" s="6" t="s">
        <v>24</v>
      </c>
      <c r="G1233" s="6" t="s">
        <v>47</v>
      </c>
      <c r="H1233" s="6" t="s">
        <v>26</v>
      </c>
      <c r="I1233" s="6" t="s">
        <v>37</v>
      </c>
      <c r="J1233" s="6" t="s">
        <v>40</v>
      </c>
      <c r="K1233" s="6" t="s">
        <v>48</v>
      </c>
      <c r="L1233" s="6" t="s">
        <v>54</v>
      </c>
      <c r="M1233" s="6" t="s">
        <v>29</v>
      </c>
      <c r="N1233" s="6" t="s">
        <v>28</v>
      </c>
      <c r="O1233" s="6" t="s">
        <v>26</v>
      </c>
      <c r="P1233" s="6" t="s">
        <v>48</v>
      </c>
      <c r="Q1233" s="6" t="s">
        <v>48</v>
      </c>
      <c r="R1233" s="6" t="s">
        <v>40</v>
      </c>
      <c r="S1233" s="6" t="s">
        <v>54</v>
      </c>
      <c r="T1233" s="6" t="s">
        <v>48</v>
      </c>
      <c r="U1233" s="6" t="s">
        <v>28</v>
      </c>
      <c r="V1233" s="6" t="s">
        <v>82</v>
      </c>
      <c r="W1233" t="s">
        <v>787</v>
      </c>
    </row>
    <row r="1234" spans="1:23" x14ac:dyDescent="0.3">
      <c r="A1234" s="6" t="s">
        <v>606</v>
      </c>
      <c r="B1234" s="1">
        <v>45829</v>
      </c>
      <c r="C1234" s="6" t="s">
        <v>57</v>
      </c>
      <c r="D1234" s="6" t="s">
        <v>40</v>
      </c>
      <c r="E1234" s="6" t="s">
        <v>46</v>
      </c>
      <c r="F1234" s="6" t="s">
        <v>24</v>
      </c>
      <c r="G1234" s="6" t="s">
        <v>47</v>
      </c>
      <c r="H1234" s="6" t="s">
        <v>26</v>
      </c>
      <c r="I1234" s="6" t="s">
        <v>37</v>
      </c>
      <c r="J1234" s="6" t="s">
        <v>40</v>
      </c>
      <c r="K1234" s="6" t="s">
        <v>48</v>
      </c>
      <c r="L1234" s="6" t="s">
        <v>54</v>
      </c>
      <c r="M1234" s="6" t="s">
        <v>29</v>
      </c>
      <c r="N1234" s="6" t="s">
        <v>28</v>
      </c>
      <c r="O1234" s="6" t="s">
        <v>26</v>
      </c>
      <c r="P1234" s="6" t="s">
        <v>48</v>
      </c>
      <c r="Q1234" s="6" t="s">
        <v>48</v>
      </c>
      <c r="R1234" s="6" t="s">
        <v>40</v>
      </c>
      <c r="S1234" s="6" t="s">
        <v>54</v>
      </c>
      <c r="T1234" s="6" t="s">
        <v>48</v>
      </c>
      <c r="U1234" s="6" t="s">
        <v>28</v>
      </c>
      <c r="V1234" s="6" t="s">
        <v>82</v>
      </c>
      <c r="W1234" t="s">
        <v>787</v>
      </c>
    </row>
    <row r="1235" spans="1:23" x14ac:dyDescent="0.3">
      <c r="A1235" s="6" t="s">
        <v>612</v>
      </c>
      <c r="B1235" s="1">
        <v>45829</v>
      </c>
      <c r="C1235" s="6" t="s">
        <v>57</v>
      </c>
      <c r="D1235" s="6" t="s">
        <v>40</v>
      </c>
      <c r="E1235" s="6" t="s">
        <v>46</v>
      </c>
      <c r="F1235" s="6" t="s">
        <v>24</v>
      </c>
      <c r="G1235" s="6" t="s">
        <v>47</v>
      </c>
      <c r="H1235" s="6" t="s">
        <v>26</v>
      </c>
      <c r="I1235" s="6" t="s">
        <v>37</v>
      </c>
      <c r="J1235" s="6" t="s">
        <v>40</v>
      </c>
      <c r="K1235" s="6" t="s">
        <v>48</v>
      </c>
      <c r="L1235" s="6" t="s">
        <v>54</v>
      </c>
      <c r="M1235" s="6" t="s">
        <v>29</v>
      </c>
      <c r="N1235" s="6" t="s">
        <v>28</v>
      </c>
      <c r="O1235" s="6" t="s">
        <v>26</v>
      </c>
      <c r="P1235" s="6" t="s">
        <v>48</v>
      </c>
      <c r="Q1235" s="6" t="s">
        <v>48</v>
      </c>
      <c r="R1235" s="6" t="s">
        <v>40</v>
      </c>
      <c r="S1235" s="6" t="s">
        <v>54</v>
      </c>
      <c r="T1235" s="6" t="s">
        <v>48</v>
      </c>
      <c r="U1235" s="6" t="s">
        <v>28</v>
      </c>
      <c r="V1235" s="6" t="s">
        <v>82</v>
      </c>
      <c r="W1235" t="s">
        <v>787</v>
      </c>
    </row>
    <row r="1236" spans="1:23" x14ac:dyDescent="0.3">
      <c r="A1236" s="6" t="s">
        <v>608</v>
      </c>
      <c r="B1236" s="1">
        <v>45829</v>
      </c>
      <c r="C1236" s="6" t="s">
        <v>57</v>
      </c>
      <c r="D1236" s="6" t="s">
        <v>40</v>
      </c>
      <c r="E1236" s="6" t="s">
        <v>46</v>
      </c>
      <c r="F1236" s="6" t="s">
        <v>24</v>
      </c>
      <c r="G1236" s="6" t="s">
        <v>47</v>
      </c>
      <c r="H1236" s="6" t="s">
        <v>26</v>
      </c>
      <c r="I1236" s="6" t="s">
        <v>37</v>
      </c>
      <c r="J1236" s="6" t="s">
        <v>40</v>
      </c>
      <c r="K1236" s="6" t="s">
        <v>48</v>
      </c>
      <c r="L1236" s="6" t="s">
        <v>54</v>
      </c>
      <c r="M1236" s="6" t="s">
        <v>29</v>
      </c>
      <c r="N1236" s="6" t="s">
        <v>28</v>
      </c>
      <c r="O1236" s="6" t="s">
        <v>30</v>
      </c>
      <c r="P1236" s="6" t="s">
        <v>48</v>
      </c>
      <c r="Q1236" s="6" t="s">
        <v>48</v>
      </c>
      <c r="R1236" s="6" t="s">
        <v>40</v>
      </c>
      <c r="S1236" s="6" t="s">
        <v>54</v>
      </c>
      <c r="T1236" s="6" t="s">
        <v>48</v>
      </c>
      <c r="U1236" s="6" t="s">
        <v>28</v>
      </c>
      <c r="V1236" s="6" t="s">
        <v>82</v>
      </c>
      <c r="W1236" t="s">
        <v>787</v>
      </c>
    </row>
    <row r="1237" spans="1:23" x14ac:dyDescent="0.3">
      <c r="A1237" s="6" t="s">
        <v>611</v>
      </c>
      <c r="B1237" s="1">
        <v>45829</v>
      </c>
      <c r="C1237" s="6" t="s">
        <v>57</v>
      </c>
      <c r="D1237" s="6" t="s">
        <v>40</v>
      </c>
      <c r="E1237" s="6" t="s">
        <v>46</v>
      </c>
      <c r="F1237" s="6" t="s">
        <v>24</v>
      </c>
      <c r="G1237" s="6" t="s">
        <v>47</v>
      </c>
      <c r="H1237" s="6" t="s">
        <v>26</v>
      </c>
      <c r="I1237" s="6" t="s">
        <v>37</v>
      </c>
      <c r="J1237" s="6" t="s">
        <v>40</v>
      </c>
      <c r="K1237" s="6" t="s">
        <v>48</v>
      </c>
      <c r="L1237" s="6" t="s">
        <v>54</v>
      </c>
      <c r="M1237" s="6" t="s">
        <v>29</v>
      </c>
      <c r="N1237" s="6" t="s">
        <v>28</v>
      </c>
      <c r="O1237" s="6" t="s">
        <v>26</v>
      </c>
      <c r="P1237" s="6" t="s">
        <v>48</v>
      </c>
      <c r="Q1237" s="6" t="s">
        <v>48</v>
      </c>
      <c r="R1237" s="6" t="s">
        <v>40</v>
      </c>
      <c r="S1237" s="6" t="s">
        <v>54</v>
      </c>
      <c r="T1237" s="6" t="s">
        <v>48</v>
      </c>
      <c r="U1237" s="6" t="s">
        <v>28</v>
      </c>
      <c r="V1237" s="6" t="s">
        <v>82</v>
      </c>
      <c r="W1237" t="s">
        <v>787</v>
      </c>
    </row>
    <row r="1238" spans="1:23" x14ac:dyDescent="0.3">
      <c r="A1238" s="6" t="s">
        <v>613</v>
      </c>
      <c r="B1238" s="1">
        <v>45829</v>
      </c>
      <c r="C1238" s="6" t="s">
        <v>33</v>
      </c>
      <c r="D1238" s="6" t="s">
        <v>67</v>
      </c>
      <c r="E1238" s="6" t="s">
        <v>46</v>
      </c>
      <c r="F1238" s="6" t="s">
        <v>24</v>
      </c>
      <c r="G1238" s="6" t="s">
        <v>69</v>
      </c>
      <c r="H1238" s="6" t="s">
        <v>26</v>
      </c>
      <c r="I1238" s="6" t="s">
        <v>58</v>
      </c>
      <c r="J1238" s="6" t="s">
        <v>67</v>
      </c>
      <c r="K1238" s="6" t="s">
        <v>48</v>
      </c>
      <c r="L1238" s="6" t="s">
        <v>54</v>
      </c>
      <c r="M1238" s="6" t="s">
        <v>29</v>
      </c>
      <c r="N1238" s="6" t="s">
        <v>28</v>
      </c>
      <c r="O1238" s="6" t="s">
        <v>30</v>
      </c>
      <c r="P1238" s="6" t="s">
        <v>48</v>
      </c>
      <c r="Q1238" s="6" t="s">
        <v>48</v>
      </c>
      <c r="R1238" s="6" t="s">
        <v>67</v>
      </c>
      <c r="S1238" s="6" t="s">
        <v>54</v>
      </c>
      <c r="T1238" s="6" t="s">
        <v>48</v>
      </c>
      <c r="U1238" s="6" t="s">
        <v>28</v>
      </c>
      <c r="V1238" s="6" t="s">
        <v>137</v>
      </c>
      <c r="W1238" t="s">
        <v>787</v>
      </c>
    </row>
    <row r="1239" spans="1:23" x14ac:dyDescent="0.3">
      <c r="A1239" s="6" t="s">
        <v>614</v>
      </c>
      <c r="B1239" s="1">
        <v>45829</v>
      </c>
      <c r="C1239" s="6" t="s">
        <v>33</v>
      </c>
      <c r="D1239" s="6" t="s">
        <v>67</v>
      </c>
      <c r="E1239" s="6" t="s">
        <v>46</v>
      </c>
      <c r="F1239" s="6" t="s">
        <v>24</v>
      </c>
      <c r="G1239" s="6" t="s">
        <v>69</v>
      </c>
      <c r="H1239" s="6" t="s">
        <v>26</v>
      </c>
      <c r="I1239" s="6" t="s">
        <v>58</v>
      </c>
      <c r="J1239" s="6" t="s">
        <v>67</v>
      </c>
      <c r="K1239" s="6" t="s">
        <v>48</v>
      </c>
      <c r="L1239" s="6" t="s">
        <v>54</v>
      </c>
      <c r="M1239" s="6" t="s">
        <v>29</v>
      </c>
      <c r="N1239" s="6" t="s">
        <v>28</v>
      </c>
      <c r="O1239" s="6" t="s">
        <v>26</v>
      </c>
      <c r="P1239" s="6" t="s">
        <v>48</v>
      </c>
      <c r="Q1239" s="6" t="s">
        <v>48</v>
      </c>
      <c r="R1239" s="6" t="s">
        <v>67</v>
      </c>
      <c r="S1239" s="6" t="s">
        <v>54</v>
      </c>
      <c r="T1239" s="6" t="s">
        <v>48</v>
      </c>
      <c r="U1239" s="6" t="s">
        <v>28</v>
      </c>
      <c r="V1239" s="6" t="s">
        <v>137</v>
      </c>
      <c r="W1239" t="s">
        <v>787</v>
      </c>
    </row>
    <row r="1240" spans="1:23" x14ac:dyDescent="0.3">
      <c r="A1240" s="6" t="s">
        <v>615</v>
      </c>
      <c r="B1240" s="1">
        <v>45829</v>
      </c>
      <c r="C1240" s="6" t="s">
        <v>33</v>
      </c>
      <c r="D1240" s="6" t="s">
        <v>67</v>
      </c>
      <c r="E1240" s="6" t="s">
        <v>46</v>
      </c>
      <c r="F1240" s="6" t="s">
        <v>24</v>
      </c>
      <c r="G1240" s="6" t="s">
        <v>69</v>
      </c>
      <c r="H1240" s="6" t="s">
        <v>26</v>
      </c>
      <c r="I1240" s="6" t="s">
        <v>58</v>
      </c>
      <c r="J1240" s="6" t="s">
        <v>67</v>
      </c>
      <c r="K1240" s="6" t="s">
        <v>48</v>
      </c>
      <c r="L1240" s="6" t="s">
        <v>54</v>
      </c>
      <c r="M1240" s="6" t="s">
        <v>29</v>
      </c>
      <c r="N1240" s="6" t="s">
        <v>28</v>
      </c>
      <c r="O1240" s="6" t="s">
        <v>26</v>
      </c>
      <c r="P1240" s="6" t="s">
        <v>48</v>
      </c>
      <c r="Q1240" s="6" t="s">
        <v>48</v>
      </c>
      <c r="R1240" s="6" t="s">
        <v>67</v>
      </c>
      <c r="S1240" s="6" t="s">
        <v>54</v>
      </c>
      <c r="T1240" s="6" t="s">
        <v>48</v>
      </c>
      <c r="U1240" s="6" t="s">
        <v>28</v>
      </c>
      <c r="V1240" s="6" t="s">
        <v>137</v>
      </c>
      <c r="W1240" t="s">
        <v>787</v>
      </c>
    </row>
    <row r="1241" spans="1:23" x14ac:dyDescent="0.3">
      <c r="A1241" s="6" t="s">
        <v>614</v>
      </c>
      <c r="B1241" s="1">
        <v>45829</v>
      </c>
      <c r="C1241" s="6" t="s">
        <v>33</v>
      </c>
      <c r="D1241" s="6" t="s">
        <v>67</v>
      </c>
      <c r="E1241" s="6" t="s">
        <v>46</v>
      </c>
      <c r="F1241" s="6" t="s">
        <v>24</v>
      </c>
      <c r="G1241" s="6" t="s">
        <v>69</v>
      </c>
      <c r="H1241" s="6" t="s">
        <v>26</v>
      </c>
      <c r="I1241" s="6" t="s">
        <v>58</v>
      </c>
      <c r="J1241" s="6" t="s">
        <v>67</v>
      </c>
      <c r="K1241" s="6" t="s">
        <v>48</v>
      </c>
      <c r="L1241" s="6" t="s">
        <v>54</v>
      </c>
      <c r="M1241" s="6" t="s">
        <v>29</v>
      </c>
      <c r="N1241" s="6" t="s">
        <v>28</v>
      </c>
      <c r="O1241" s="6" t="s">
        <v>30</v>
      </c>
      <c r="P1241" s="6" t="s">
        <v>48</v>
      </c>
      <c r="Q1241" s="6" t="s">
        <v>48</v>
      </c>
      <c r="R1241" s="6" t="s">
        <v>67</v>
      </c>
      <c r="S1241" s="6" t="s">
        <v>54</v>
      </c>
      <c r="T1241" s="6" t="s">
        <v>48</v>
      </c>
      <c r="U1241" s="6" t="s">
        <v>28</v>
      </c>
      <c r="V1241" s="6" t="s">
        <v>137</v>
      </c>
      <c r="W1241" t="s">
        <v>787</v>
      </c>
    </row>
    <row r="1242" spans="1:23" x14ac:dyDescent="0.3">
      <c r="A1242" s="6" t="s">
        <v>616</v>
      </c>
      <c r="B1242" s="1">
        <v>45829</v>
      </c>
      <c r="C1242" s="6" t="s">
        <v>33</v>
      </c>
      <c r="D1242" s="6" t="s">
        <v>67</v>
      </c>
      <c r="E1242" s="6" t="s">
        <v>46</v>
      </c>
      <c r="F1242" s="6" t="s">
        <v>24</v>
      </c>
      <c r="G1242" s="6" t="s">
        <v>69</v>
      </c>
      <c r="H1242" s="6" t="s">
        <v>26</v>
      </c>
      <c r="I1242" s="6" t="s">
        <v>58</v>
      </c>
      <c r="J1242" s="6" t="s">
        <v>67</v>
      </c>
      <c r="K1242" s="6" t="s">
        <v>48</v>
      </c>
      <c r="L1242" s="6" t="s">
        <v>54</v>
      </c>
      <c r="M1242" s="6" t="s">
        <v>29</v>
      </c>
      <c r="N1242" s="6" t="s">
        <v>28</v>
      </c>
      <c r="O1242" s="6" t="s">
        <v>26</v>
      </c>
      <c r="P1242" s="6" t="s">
        <v>48</v>
      </c>
      <c r="Q1242" s="6" t="s">
        <v>48</v>
      </c>
      <c r="R1242" s="6" t="s">
        <v>67</v>
      </c>
      <c r="S1242" s="6" t="s">
        <v>54</v>
      </c>
      <c r="T1242" s="6" t="s">
        <v>48</v>
      </c>
      <c r="U1242" s="6" t="s">
        <v>28</v>
      </c>
      <c r="V1242" s="6" t="s">
        <v>137</v>
      </c>
      <c r="W1242" t="s">
        <v>787</v>
      </c>
    </row>
    <row r="1243" spans="1:23" x14ac:dyDescent="0.3">
      <c r="A1243" s="6" t="s">
        <v>617</v>
      </c>
      <c r="B1243" s="1">
        <v>45829</v>
      </c>
      <c r="C1243" s="6" t="s">
        <v>33</v>
      </c>
      <c r="D1243" s="6" t="s">
        <v>22</v>
      </c>
      <c r="E1243" s="6" t="s">
        <v>35</v>
      </c>
      <c r="F1243" s="6" t="s">
        <v>24</v>
      </c>
      <c r="G1243" s="6" t="s">
        <v>72</v>
      </c>
      <c r="H1243" s="6" t="s">
        <v>26</v>
      </c>
      <c r="I1243" s="6" t="s">
        <v>27</v>
      </c>
      <c r="J1243" s="6" t="s">
        <v>22</v>
      </c>
      <c r="K1243" s="6" t="s">
        <v>48</v>
      </c>
      <c r="L1243" s="6" t="s">
        <v>54</v>
      </c>
      <c r="M1243" s="6" t="s">
        <v>29</v>
      </c>
      <c r="N1243" s="6" t="s">
        <v>28</v>
      </c>
      <c r="O1243" s="6" t="s">
        <v>30</v>
      </c>
      <c r="P1243" s="6" t="s">
        <v>48</v>
      </c>
      <c r="Q1243" s="6" t="s">
        <v>31</v>
      </c>
      <c r="R1243" s="6" t="s">
        <v>49</v>
      </c>
      <c r="S1243" s="6" t="s">
        <v>54</v>
      </c>
      <c r="T1243" s="6" t="s">
        <v>48</v>
      </c>
      <c r="U1243" s="6" t="s">
        <v>28</v>
      </c>
      <c r="V1243" s="6" t="s">
        <v>82</v>
      </c>
      <c r="W1243" t="s">
        <v>787</v>
      </c>
    </row>
    <row r="1244" spans="1:23" x14ac:dyDescent="0.3">
      <c r="A1244" s="6" t="s">
        <v>617</v>
      </c>
      <c r="B1244" s="1">
        <v>45829</v>
      </c>
      <c r="C1244" s="6" t="s">
        <v>33</v>
      </c>
      <c r="D1244" s="6" t="s">
        <v>22</v>
      </c>
      <c r="E1244" s="6" t="s">
        <v>35</v>
      </c>
      <c r="F1244" s="6" t="s">
        <v>24</v>
      </c>
      <c r="G1244" s="6" t="s">
        <v>72</v>
      </c>
      <c r="H1244" s="6" t="s">
        <v>26</v>
      </c>
      <c r="I1244" s="6" t="s">
        <v>27</v>
      </c>
      <c r="J1244" s="6" t="s">
        <v>22</v>
      </c>
      <c r="K1244" s="6" t="s">
        <v>48</v>
      </c>
      <c r="L1244" s="6" t="s">
        <v>54</v>
      </c>
      <c r="M1244" s="6" t="s">
        <v>29</v>
      </c>
      <c r="N1244" s="6" t="s">
        <v>28</v>
      </c>
      <c r="O1244" s="6" t="s">
        <v>30</v>
      </c>
      <c r="P1244" s="6" t="s">
        <v>48</v>
      </c>
      <c r="Q1244" s="6" t="s">
        <v>31</v>
      </c>
      <c r="R1244" s="6" t="s">
        <v>49</v>
      </c>
      <c r="S1244" s="6" t="s">
        <v>54</v>
      </c>
      <c r="T1244" s="6" t="s">
        <v>48</v>
      </c>
      <c r="U1244" s="6" t="s">
        <v>28</v>
      </c>
      <c r="V1244" s="6" t="s">
        <v>146</v>
      </c>
      <c r="W1244" t="s">
        <v>787</v>
      </c>
    </row>
    <row r="1245" spans="1:23" x14ac:dyDescent="0.3">
      <c r="A1245" s="6" t="s">
        <v>618</v>
      </c>
      <c r="B1245" s="1">
        <v>45829</v>
      </c>
      <c r="C1245" s="6" t="s">
        <v>39</v>
      </c>
      <c r="D1245" s="6" t="s">
        <v>125</v>
      </c>
      <c r="E1245" s="6" t="s">
        <v>35</v>
      </c>
      <c r="F1245" s="6" t="s">
        <v>24</v>
      </c>
      <c r="G1245" s="6" t="s">
        <v>69</v>
      </c>
      <c r="H1245" s="6" t="s">
        <v>26</v>
      </c>
      <c r="I1245" s="6" t="s">
        <v>38</v>
      </c>
      <c r="J1245" s="6" t="s">
        <v>125</v>
      </c>
      <c r="K1245" s="6" t="s">
        <v>48</v>
      </c>
      <c r="L1245" s="6" t="s">
        <v>54</v>
      </c>
      <c r="M1245" s="6" t="s">
        <v>48</v>
      </c>
      <c r="N1245" s="6" t="s">
        <v>28</v>
      </c>
      <c r="O1245" s="6" t="s">
        <v>26</v>
      </c>
      <c r="P1245" s="6" t="s">
        <v>45</v>
      </c>
      <c r="Q1245" s="6" t="s">
        <v>31</v>
      </c>
      <c r="R1245" s="6" t="s">
        <v>125</v>
      </c>
      <c r="S1245" s="6" t="s">
        <v>54</v>
      </c>
      <c r="T1245" s="6" t="s">
        <v>32</v>
      </c>
      <c r="U1245" s="6" t="s">
        <v>28</v>
      </c>
      <c r="V1245" s="6" t="s">
        <v>82</v>
      </c>
      <c r="W1245" t="s">
        <v>787</v>
      </c>
    </row>
    <row r="1246" spans="1:23" x14ac:dyDescent="0.3">
      <c r="A1246" s="6" t="s">
        <v>619</v>
      </c>
      <c r="B1246" s="1">
        <v>45831</v>
      </c>
      <c r="C1246" s="6" t="s">
        <v>33</v>
      </c>
      <c r="D1246" s="6" t="s">
        <v>67</v>
      </c>
      <c r="E1246" s="6" t="s">
        <v>64</v>
      </c>
      <c r="F1246" s="6" t="s">
        <v>24</v>
      </c>
      <c r="G1246" s="6" t="s">
        <v>61</v>
      </c>
      <c r="H1246" s="6" t="s">
        <v>26</v>
      </c>
      <c r="I1246" s="6" t="s">
        <v>58</v>
      </c>
      <c r="J1246" s="6" t="s">
        <v>67</v>
      </c>
      <c r="K1246" s="6" t="s">
        <v>48</v>
      </c>
      <c r="L1246" s="6" t="s">
        <v>54</v>
      </c>
      <c r="M1246" s="6" t="s">
        <v>29</v>
      </c>
      <c r="N1246" s="6" t="s">
        <v>28</v>
      </c>
      <c r="O1246" s="6" t="s">
        <v>26</v>
      </c>
      <c r="P1246" s="6" t="s">
        <v>52</v>
      </c>
      <c r="Q1246" s="6" t="s">
        <v>48</v>
      </c>
      <c r="R1246" s="6" t="s">
        <v>49</v>
      </c>
      <c r="S1246" s="6" t="s">
        <v>54</v>
      </c>
      <c r="T1246" s="6" t="s">
        <v>32</v>
      </c>
      <c r="U1246" s="6" t="s">
        <v>28</v>
      </c>
      <c r="V1246" s="6" t="s">
        <v>82</v>
      </c>
      <c r="W1246" t="s">
        <v>787</v>
      </c>
    </row>
    <row r="1247" spans="1:23" x14ac:dyDescent="0.3">
      <c r="A1247" s="6" t="s">
        <v>621</v>
      </c>
      <c r="B1247" s="1">
        <v>45831</v>
      </c>
      <c r="C1247" s="6" t="s">
        <v>21</v>
      </c>
      <c r="D1247" s="6" t="s">
        <v>122</v>
      </c>
      <c r="E1247" s="6" t="s">
        <v>41</v>
      </c>
      <c r="F1247" s="6" t="s">
        <v>24</v>
      </c>
      <c r="G1247" s="6" t="s">
        <v>101</v>
      </c>
      <c r="H1247" s="6" t="s">
        <v>26</v>
      </c>
      <c r="I1247" s="6" t="s">
        <v>27</v>
      </c>
      <c r="J1247" s="6" t="s">
        <v>122</v>
      </c>
      <c r="K1247" s="6" t="s">
        <v>48</v>
      </c>
      <c r="L1247" s="6" t="s">
        <v>152</v>
      </c>
      <c r="M1247" s="6" t="s">
        <v>32</v>
      </c>
      <c r="N1247" s="6" t="s">
        <v>28</v>
      </c>
      <c r="O1247" s="6" t="s">
        <v>30</v>
      </c>
      <c r="P1247" s="6" t="s">
        <v>66</v>
      </c>
      <c r="Q1247" s="6" t="s">
        <v>31</v>
      </c>
      <c r="R1247" s="6" t="s">
        <v>122</v>
      </c>
      <c r="S1247" s="6" t="s">
        <v>128</v>
      </c>
      <c r="T1247" s="6" t="s">
        <v>55</v>
      </c>
      <c r="U1247" s="6" t="s">
        <v>28</v>
      </c>
      <c r="V1247" s="6" t="s">
        <v>82</v>
      </c>
      <c r="W1247" t="s">
        <v>787</v>
      </c>
    </row>
    <row r="1248" spans="1:23" x14ac:dyDescent="0.3">
      <c r="A1248" s="6" t="s">
        <v>620</v>
      </c>
      <c r="B1248" s="1">
        <v>45831</v>
      </c>
      <c r="C1248" s="6" t="s">
        <v>21</v>
      </c>
      <c r="D1248" s="6" t="s">
        <v>122</v>
      </c>
      <c r="E1248" s="6" t="s">
        <v>41</v>
      </c>
      <c r="F1248" s="6" t="s">
        <v>24</v>
      </c>
      <c r="G1248" s="6" t="s">
        <v>101</v>
      </c>
      <c r="H1248" s="6" t="s">
        <v>26</v>
      </c>
      <c r="I1248" s="6" t="s">
        <v>27</v>
      </c>
      <c r="J1248" s="6" t="s">
        <v>122</v>
      </c>
      <c r="K1248" s="6" t="s">
        <v>48</v>
      </c>
      <c r="L1248" s="6" t="s">
        <v>152</v>
      </c>
      <c r="M1248" s="6" t="s">
        <v>32</v>
      </c>
      <c r="N1248" s="6" t="s">
        <v>28</v>
      </c>
      <c r="O1248" s="6" t="s">
        <v>26</v>
      </c>
      <c r="P1248" s="6" t="s">
        <v>66</v>
      </c>
      <c r="Q1248" s="6" t="s">
        <v>31</v>
      </c>
      <c r="R1248" s="6" t="s">
        <v>122</v>
      </c>
      <c r="S1248" s="6" t="s">
        <v>128</v>
      </c>
      <c r="T1248" s="6" t="s">
        <v>55</v>
      </c>
      <c r="U1248" s="6" t="s">
        <v>28</v>
      </c>
      <c r="V1248" s="6" t="s">
        <v>82</v>
      </c>
      <c r="W1248" t="s">
        <v>787</v>
      </c>
    </row>
    <row r="1249" spans="1:23" x14ac:dyDescent="0.3">
      <c r="A1249" s="6" t="s">
        <v>622</v>
      </c>
      <c r="B1249" s="1">
        <v>45833</v>
      </c>
      <c r="C1249" s="6" t="s">
        <v>343</v>
      </c>
      <c r="D1249" s="6" t="s">
        <v>125</v>
      </c>
      <c r="E1249" s="6" t="s">
        <v>68</v>
      </c>
      <c r="F1249" s="6" t="s">
        <v>24</v>
      </c>
      <c r="G1249" s="6" t="s">
        <v>61</v>
      </c>
      <c r="H1249" s="6" t="s">
        <v>48</v>
      </c>
      <c r="I1249" s="6" t="s">
        <v>52</v>
      </c>
      <c r="J1249" s="6" t="s">
        <v>125</v>
      </c>
      <c r="K1249" s="6" t="s">
        <v>48</v>
      </c>
      <c r="L1249" s="6" t="s">
        <v>54</v>
      </c>
      <c r="M1249" s="6" t="s">
        <v>48</v>
      </c>
      <c r="N1249" s="6" t="s">
        <v>159</v>
      </c>
      <c r="O1249" s="6" t="s">
        <v>48</v>
      </c>
      <c r="P1249" s="6" t="s">
        <v>48</v>
      </c>
      <c r="Q1249" s="6" t="s">
        <v>48</v>
      </c>
      <c r="R1249" s="6" t="s">
        <v>125</v>
      </c>
      <c r="S1249" s="6" t="s">
        <v>54</v>
      </c>
      <c r="T1249" s="6" t="s">
        <v>48</v>
      </c>
      <c r="U1249" s="6" t="s">
        <v>94</v>
      </c>
      <c r="V1249" s="6" t="s">
        <v>82</v>
      </c>
      <c r="W1249" t="s">
        <v>787</v>
      </c>
    </row>
    <row r="1250" spans="1:23" x14ac:dyDescent="0.3">
      <c r="A1250" s="6" t="s">
        <v>622</v>
      </c>
      <c r="B1250" s="1">
        <v>45833</v>
      </c>
      <c r="C1250" s="6" t="s">
        <v>343</v>
      </c>
      <c r="D1250" s="6" t="s">
        <v>125</v>
      </c>
      <c r="E1250" s="6" t="s">
        <v>68</v>
      </c>
      <c r="F1250" s="6" t="s">
        <v>24</v>
      </c>
      <c r="G1250" s="6" t="s">
        <v>61</v>
      </c>
      <c r="H1250" s="6" t="s">
        <v>48</v>
      </c>
      <c r="I1250" s="6" t="s">
        <v>52</v>
      </c>
      <c r="J1250" s="6" t="s">
        <v>125</v>
      </c>
      <c r="K1250" s="6" t="s">
        <v>48</v>
      </c>
      <c r="L1250" s="6" t="s">
        <v>54</v>
      </c>
      <c r="M1250" s="6" t="s">
        <v>48</v>
      </c>
      <c r="N1250" s="6" t="s">
        <v>159</v>
      </c>
      <c r="O1250" s="6" t="s">
        <v>48</v>
      </c>
      <c r="P1250" s="6" t="s">
        <v>48</v>
      </c>
      <c r="Q1250" s="6" t="s">
        <v>48</v>
      </c>
      <c r="R1250" s="6" t="s">
        <v>125</v>
      </c>
      <c r="S1250" s="6" t="s">
        <v>54</v>
      </c>
      <c r="T1250" s="6" t="s">
        <v>48</v>
      </c>
      <c r="U1250" s="6" t="s">
        <v>94</v>
      </c>
      <c r="V1250" s="6" t="s">
        <v>146</v>
      </c>
      <c r="W1250" t="s">
        <v>787</v>
      </c>
    </row>
    <row r="1251" spans="1:23" x14ac:dyDescent="0.3">
      <c r="A1251" s="6" t="s">
        <v>623</v>
      </c>
      <c r="B1251" s="1">
        <v>45833</v>
      </c>
      <c r="C1251" s="6" t="s">
        <v>343</v>
      </c>
      <c r="D1251" s="6" t="s">
        <v>125</v>
      </c>
      <c r="E1251" s="6" t="s">
        <v>68</v>
      </c>
      <c r="F1251" s="6" t="s">
        <v>24</v>
      </c>
      <c r="G1251" s="6" t="s">
        <v>61</v>
      </c>
      <c r="H1251" s="6" t="s">
        <v>48</v>
      </c>
      <c r="I1251" s="6" t="s">
        <v>52</v>
      </c>
      <c r="J1251" s="6" t="s">
        <v>125</v>
      </c>
      <c r="K1251" s="6" t="s">
        <v>48</v>
      </c>
      <c r="L1251" s="6" t="s">
        <v>54</v>
      </c>
      <c r="M1251" s="6" t="s">
        <v>48</v>
      </c>
      <c r="N1251" s="6" t="s">
        <v>159</v>
      </c>
      <c r="O1251" s="6" t="s">
        <v>26</v>
      </c>
      <c r="P1251" s="6" t="s">
        <v>48</v>
      </c>
      <c r="Q1251" s="6" t="s">
        <v>48</v>
      </c>
      <c r="R1251" s="6" t="s">
        <v>125</v>
      </c>
      <c r="S1251" s="6" t="s">
        <v>54</v>
      </c>
      <c r="T1251" s="6" t="s">
        <v>48</v>
      </c>
      <c r="U1251" s="6" t="s">
        <v>28</v>
      </c>
      <c r="V1251" s="6" t="s">
        <v>82</v>
      </c>
      <c r="W1251" t="s">
        <v>787</v>
      </c>
    </row>
    <row r="1252" spans="1:23" x14ac:dyDescent="0.3">
      <c r="A1252" s="6" t="s">
        <v>623</v>
      </c>
      <c r="B1252" s="1">
        <v>45833</v>
      </c>
      <c r="C1252" s="6" t="s">
        <v>343</v>
      </c>
      <c r="D1252" s="6" t="s">
        <v>125</v>
      </c>
      <c r="E1252" s="6" t="s">
        <v>68</v>
      </c>
      <c r="F1252" s="6" t="s">
        <v>24</v>
      </c>
      <c r="G1252" s="6" t="s">
        <v>61</v>
      </c>
      <c r="H1252" s="6" t="s">
        <v>48</v>
      </c>
      <c r="I1252" s="6" t="s">
        <v>52</v>
      </c>
      <c r="J1252" s="6" t="s">
        <v>125</v>
      </c>
      <c r="K1252" s="6" t="s">
        <v>48</v>
      </c>
      <c r="L1252" s="6" t="s">
        <v>54</v>
      </c>
      <c r="M1252" s="6" t="s">
        <v>48</v>
      </c>
      <c r="N1252" s="6" t="s">
        <v>159</v>
      </c>
      <c r="O1252" s="6" t="s">
        <v>26</v>
      </c>
      <c r="P1252" s="6" t="s">
        <v>48</v>
      </c>
      <c r="Q1252" s="6" t="s">
        <v>48</v>
      </c>
      <c r="R1252" s="6" t="s">
        <v>125</v>
      </c>
      <c r="S1252" s="6" t="s">
        <v>54</v>
      </c>
      <c r="T1252" s="6" t="s">
        <v>48</v>
      </c>
      <c r="U1252" s="6" t="s">
        <v>28</v>
      </c>
      <c r="V1252" s="6" t="s">
        <v>146</v>
      </c>
      <c r="W1252" t="s">
        <v>787</v>
      </c>
    </row>
    <row r="1253" spans="1:23" x14ac:dyDescent="0.3">
      <c r="A1253" s="6" t="s">
        <v>624</v>
      </c>
      <c r="B1253" s="1">
        <v>45833</v>
      </c>
      <c r="C1253" s="6" t="s">
        <v>343</v>
      </c>
      <c r="D1253" s="6" t="s">
        <v>125</v>
      </c>
      <c r="E1253" s="6" t="s">
        <v>73</v>
      </c>
      <c r="F1253" s="6" t="s">
        <v>24</v>
      </c>
      <c r="G1253" s="6" t="s">
        <v>61</v>
      </c>
      <c r="H1253" s="6" t="s">
        <v>48</v>
      </c>
      <c r="I1253" s="6" t="s">
        <v>48</v>
      </c>
      <c r="J1253" s="6" t="s">
        <v>125</v>
      </c>
      <c r="K1253" s="6" t="s">
        <v>48</v>
      </c>
      <c r="L1253" s="6" t="s">
        <v>151</v>
      </c>
      <c r="M1253" s="6" t="s">
        <v>48</v>
      </c>
      <c r="N1253" s="6" t="s">
        <v>159</v>
      </c>
      <c r="O1253" s="6" t="s">
        <v>48</v>
      </c>
      <c r="P1253" s="6" t="s">
        <v>48</v>
      </c>
      <c r="Q1253" s="6" t="s">
        <v>48</v>
      </c>
      <c r="R1253" s="6" t="s">
        <v>125</v>
      </c>
      <c r="S1253" s="6" t="s">
        <v>54</v>
      </c>
      <c r="T1253" s="6" t="s">
        <v>48</v>
      </c>
      <c r="U1253" s="6" t="s">
        <v>94</v>
      </c>
      <c r="V1253" s="6" t="s">
        <v>137</v>
      </c>
      <c r="W1253" t="s">
        <v>787</v>
      </c>
    </row>
    <row r="1254" spans="1:23" x14ac:dyDescent="0.3">
      <c r="A1254" s="6" t="s">
        <v>625</v>
      </c>
      <c r="B1254" s="1">
        <v>45833</v>
      </c>
      <c r="C1254" s="6" t="s">
        <v>343</v>
      </c>
      <c r="D1254" s="6" t="s">
        <v>125</v>
      </c>
      <c r="E1254" s="6" t="s">
        <v>68</v>
      </c>
      <c r="F1254" s="6" t="s">
        <v>24</v>
      </c>
      <c r="G1254" s="6" t="s">
        <v>61</v>
      </c>
      <c r="H1254" s="6" t="s">
        <v>48</v>
      </c>
      <c r="I1254" s="6" t="s">
        <v>27</v>
      </c>
      <c r="J1254" s="6" t="s">
        <v>125</v>
      </c>
      <c r="K1254" s="6" t="s">
        <v>48</v>
      </c>
      <c r="L1254" s="6" t="s">
        <v>705</v>
      </c>
      <c r="M1254" s="6" t="s">
        <v>48</v>
      </c>
      <c r="N1254" s="6" t="s">
        <v>28</v>
      </c>
      <c r="O1254" s="6" t="s">
        <v>48</v>
      </c>
      <c r="P1254" s="6" t="s">
        <v>48</v>
      </c>
      <c r="Q1254" s="6" t="s">
        <v>48</v>
      </c>
      <c r="R1254" s="6" t="s">
        <v>125</v>
      </c>
      <c r="S1254" s="6" t="s">
        <v>54</v>
      </c>
      <c r="T1254" s="6" t="s">
        <v>48</v>
      </c>
      <c r="U1254" s="6" t="s">
        <v>123</v>
      </c>
      <c r="V1254" s="6" t="s">
        <v>82</v>
      </c>
      <c r="W1254" t="s">
        <v>787</v>
      </c>
    </row>
    <row r="1255" spans="1:23" x14ac:dyDescent="0.3">
      <c r="A1255" s="6" t="s">
        <v>625</v>
      </c>
      <c r="B1255" s="1">
        <v>45833</v>
      </c>
      <c r="C1255" s="6" t="s">
        <v>343</v>
      </c>
      <c r="D1255" s="6" t="s">
        <v>125</v>
      </c>
      <c r="E1255" s="6" t="s">
        <v>68</v>
      </c>
      <c r="F1255" s="6" t="s">
        <v>24</v>
      </c>
      <c r="G1255" s="6" t="s">
        <v>61</v>
      </c>
      <c r="H1255" s="6" t="s">
        <v>48</v>
      </c>
      <c r="I1255" s="6" t="s">
        <v>27</v>
      </c>
      <c r="J1255" s="6" t="s">
        <v>125</v>
      </c>
      <c r="K1255" s="6" t="s">
        <v>48</v>
      </c>
      <c r="L1255" s="6" t="s">
        <v>705</v>
      </c>
      <c r="M1255" s="6" t="s">
        <v>48</v>
      </c>
      <c r="N1255" s="6" t="s">
        <v>28</v>
      </c>
      <c r="O1255" s="6" t="s">
        <v>48</v>
      </c>
      <c r="P1255" s="6" t="s">
        <v>48</v>
      </c>
      <c r="Q1255" s="6" t="s">
        <v>48</v>
      </c>
      <c r="R1255" s="6" t="s">
        <v>125</v>
      </c>
      <c r="S1255" s="6" t="s">
        <v>54</v>
      </c>
      <c r="T1255" s="6" t="s">
        <v>48</v>
      </c>
      <c r="U1255" s="6" t="s">
        <v>123</v>
      </c>
      <c r="V1255" s="6" t="s">
        <v>146</v>
      </c>
      <c r="W1255" t="s">
        <v>787</v>
      </c>
    </row>
    <row r="1256" spans="1:23" x14ac:dyDescent="0.3">
      <c r="A1256" s="6" t="s">
        <v>626</v>
      </c>
      <c r="B1256" s="1">
        <v>45834</v>
      </c>
      <c r="C1256" s="6" t="s">
        <v>343</v>
      </c>
      <c r="D1256" s="6" t="s">
        <v>125</v>
      </c>
      <c r="E1256" s="6" t="s">
        <v>68</v>
      </c>
      <c r="F1256" s="6" t="s">
        <v>24</v>
      </c>
      <c r="G1256" s="6" t="s">
        <v>61</v>
      </c>
      <c r="H1256" s="6" t="s">
        <v>48</v>
      </c>
      <c r="I1256" s="6" t="s">
        <v>58</v>
      </c>
      <c r="J1256" s="6" t="s">
        <v>49</v>
      </c>
      <c r="K1256" s="6" t="s">
        <v>48</v>
      </c>
      <c r="L1256" s="6" t="s">
        <v>152</v>
      </c>
      <c r="M1256" s="6" t="s">
        <v>48</v>
      </c>
      <c r="N1256" s="6" t="s">
        <v>28</v>
      </c>
      <c r="O1256" s="6" t="s">
        <v>48</v>
      </c>
      <c r="P1256" s="6" t="s">
        <v>48</v>
      </c>
      <c r="Q1256" s="6" t="s">
        <v>48</v>
      </c>
      <c r="R1256" s="6" t="s">
        <v>125</v>
      </c>
      <c r="S1256" s="6" t="s">
        <v>54</v>
      </c>
      <c r="T1256" s="6" t="s">
        <v>48</v>
      </c>
      <c r="U1256" s="6" t="s">
        <v>94</v>
      </c>
      <c r="V1256" s="6" t="s">
        <v>82</v>
      </c>
      <c r="W1256" t="s">
        <v>787</v>
      </c>
    </row>
    <row r="1257" spans="1:23" x14ac:dyDescent="0.3">
      <c r="A1257" s="6" t="s">
        <v>627</v>
      </c>
      <c r="B1257" s="1">
        <v>45834</v>
      </c>
      <c r="C1257" s="6" t="s">
        <v>343</v>
      </c>
      <c r="D1257" s="6" t="s">
        <v>43</v>
      </c>
      <c r="E1257" s="6" t="s">
        <v>68</v>
      </c>
      <c r="F1257" s="6" t="s">
        <v>24</v>
      </c>
      <c r="G1257" s="6" t="s">
        <v>61</v>
      </c>
      <c r="H1257" s="6" t="s">
        <v>48</v>
      </c>
      <c r="I1257" s="6" t="s">
        <v>58</v>
      </c>
      <c r="J1257" s="6" t="s">
        <v>43</v>
      </c>
      <c r="K1257" s="6" t="s">
        <v>48</v>
      </c>
      <c r="L1257" s="6" t="s">
        <v>54</v>
      </c>
      <c r="M1257" s="6" t="s">
        <v>48</v>
      </c>
      <c r="N1257" s="6" t="s">
        <v>28</v>
      </c>
      <c r="O1257" s="6" t="s">
        <v>48</v>
      </c>
      <c r="P1257" s="6" t="s">
        <v>27</v>
      </c>
      <c r="Q1257" s="6" t="s">
        <v>48</v>
      </c>
      <c r="R1257" s="6" t="s">
        <v>43</v>
      </c>
      <c r="S1257" s="6" t="s">
        <v>54</v>
      </c>
      <c r="T1257" s="6" t="s">
        <v>48</v>
      </c>
      <c r="U1257" s="6" t="s">
        <v>28</v>
      </c>
      <c r="V1257" s="6" t="s">
        <v>146</v>
      </c>
      <c r="W1257" t="s">
        <v>787</v>
      </c>
    </row>
    <row r="1258" spans="1:23" x14ac:dyDescent="0.3">
      <c r="A1258" s="6" t="s">
        <v>628</v>
      </c>
      <c r="B1258" s="1">
        <v>45834</v>
      </c>
      <c r="C1258" s="6" t="s">
        <v>343</v>
      </c>
      <c r="D1258" s="6" t="s">
        <v>43</v>
      </c>
      <c r="E1258" s="6" t="s">
        <v>68</v>
      </c>
      <c r="F1258" s="6" t="s">
        <v>24</v>
      </c>
      <c r="G1258" s="6" t="s">
        <v>61</v>
      </c>
      <c r="H1258" s="6" t="s">
        <v>48</v>
      </c>
      <c r="I1258" s="6" t="s">
        <v>58</v>
      </c>
      <c r="J1258" s="6" t="s">
        <v>43</v>
      </c>
      <c r="K1258" s="6" t="s">
        <v>48</v>
      </c>
      <c r="L1258" s="6" t="s">
        <v>54</v>
      </c>
      <c r="M1258" s="6" t="s">
        <v>48</v>
      </c>
      <c r="N1258" s="6" t="s">
        <v>28</v>
      </c>
      <c r="O1258" s="6" t="s">
        <v>26</v>
      </c>
      <c r="P1258" s="6" t="s">
        <v>48</v>
      </c>
      <c r="Q1258" s="6" t="s">
        <v>48</v>
      </c>
      <c r="R1258" s="6" t="s">
        <v>43</v>
      </c>
      <c r="S1258" s="6" t="s">
        <v>54</v>
      </c>
      <c r="T1258" s="6" t="s">
        <v>48</v>
      </c>
      <c r="U1258" s="6" t="s">
        <v>28</v>
      </c>
      <c r="V1258" s="6" t="s">
        <v>82</v>
      </c>
      <c r="W1258" t="s">
        <v>787</v>
      </c>
    </row>
    <row r="1259" spans="1:23" x14ac:dyDescent="0.3">
      <c r="A1259" s="6" t="s">
        <v>628</v>
      </c>
      <c r="B1259" s="1">
        <v>45834</v>
      </c>
      <c r="C1259" s="6" t="s">
        <v>343</v>
      </c>
      <c r="D1259" s="6" t="s">
        <v>43</v>
      </c>
      <c r="E1259" s="6" t="s">
        <v>68</v>
      </c>
      <c r="F1259" s="6" t="s">
        <v>24</v>
      </c>
      <c r="G1259" s="6" t="s">
        <v>61</v>
      </c>
      <c r="H1259" s="6" t="s">
        <v>48</v>
      </c>
      <c r="I1259" s="6" t="s">
        <v>58</v>
      </c>
      <c r="J1259" s="6" t="s">
        <v>43</v>
      </c>
      <c r="K1259" s="6" t="s">
        <v>48</v>
      </c>
      <c r="L1259" s="6" t="s">
        <v>54</v>
      </c>
      <c r="M1259" s="6" t="s">
        <v>48</v>
      </c>
      <c r="N1259" s="6" t="s">
        <v>28</v>
      </c>
      <c r="O1259" s="6" t="s">
        <v>26</v>
      </c>
      <c r="P1259" s="6" t="s">
        <v>48</v>
      </c>
      <c r="Q1259" s="6" t="s">
        <v>48</v>
      </c>
      <c r="R1259" s="6" t="s">
        <v>43</v>
      </c>
      <c r="S1259" s="6" t="s">
        <v>54</v>
      </c>
      <c r="T1259" s="6" t="s">
        <v>48</v>
      </c>
      <c r="U1259" s="6" t="s">
        <v>28</v>
      </c>
      <c r="V1259" s="6" t="s">
        <v>146</v>
      </c>
      <c r="W1259" t="s">
        <v>787</v>
      </c>
    </row>
    <row r="1260" spans="1:23" x14ac:dyDescent="0.3">
      <c r="A1260" s="6" t="s">
        <v>627</v>
      </c>
      <c r="B1260" s="1">
        <v>45834</v>
      </c>
      <c r="C1260" s="6" t="s">
        <v>343</v>
      </c>
      <c r="D1260" s="6" t="s">
        <v>43</v>
      </c>
      <c r="E1260" s="6" t="s">
        <v>68</v>
      </c>
      <c r="F1260" s="6" t="s">
        <v>24</v>
      </c>
      <c r="G1260" s="6" t="s">
        <v>61</v>
      </c>
      <c r="H1260" s="6" t="s">
        <v>48</v>
      </c>
      <c r="I1260" s="6" t="s">
        <v>58</v>
      </c>
      <c r="J1260" s="6" t="s">
        <v>43</v>
      </c>
      <c r="K1260" s="6" t="s">
        <v>48</v>
      </c>
      <c r="L1260" s="6" t="s">
        <v>54</v>
      </c>
      <c r="M1260" s="6" t="s">
        <v>48</v>
      </c>
      <c r="N1260" s="6" t="s">
        <v>28</v>
      </c>
      <c r="O1260" s="6" t="s">
        <v>48</v>
      </c>
      <c r="P1260" s="6" t="s">
        <v>27</v>
      </c>
      <c r="Q1260" s="6" t="s">
        <v>48</v>
      </c>
      <c r="R1260" s="6" t="s">
        <v>43</v>
      </c>
      <c r="S1260" s="6" t="s">
        <v>54</v>
      </c>
      <c r="T1260" s="6" t="s">
        <v>48</v>
      </c>
      <c r="U1260" s="6" t="s">
        <v>28</v>
      </c>
      <c r="V1260" s="6" t="s">
        <v>82</v>
      </c>
      <c r="W1260" t="s">
        <v>787</v>
      </c>
    </row>
    <row r="1261" spans="1:23" x14ac:dyDescent="0.3">
      <c r="A1261" s="6" t="s">
        <v>627</v>
      </c>
      <c r="B1261" s="1">
        <v>45834</v>
      </c>
      <c r="C1261" s="6" t="s">
        <v>343</v>
      </c>
      <c r="D1261" s="6" t="s">
        <v>43</v>
      </c>
      <c r="E1261" s="6" t="s">
        <v>68</v>
      </c>
      <c r="F1261" s="6" t="s">
        <v>24</v>
      </c>
      <c r="G1261" s="6" t="s">
        <v>61</v>
      </c>
      <c r="H1261" s="6" t="s">
        <v>48</v>
      </c>
      <c r="I1261" s="6" t="s">
        <v>58</v>
      </c>
      <c r="J1261" s="6" t="s">
        <v>43</v>
      </c>
      <c r="K1261" s="6" t="s">
        <v>48</v>
      </c>
      <c r="L1261" s="6" t="s">
        <v>54</v>
      </c>
      <c r="M1261" s="6" t="s">
        <v>48</v>
      </c>
      <c r="N1261" s="6" t="s">
        <v>28</v>
      </c>
      <c r="O1261" s="6" t="s">
        <v>48</v>
      </c>
      <c r="P1261" s="6" t="s">
        <v>27</v>
      </c>
      <c r="Q1261" s="6" t="s">
        <v>48</v>
      </c>
      <c r="R1261" s="6" t="s">
        <v>43</v>
      </c>
      <c r="S1261" s="6" t="s">
        <v>54</v>
      </c>
      <c r="T1261" s="6" t="s">
        <v>48</v>
      </c>
      <c r="U1261" s="6" t="s">
        <v>28</v>
      </c>
      <c r="V1261" s="6" t="s">
        <v>137</v>
      </c>
      <c r="W1261" t="s">
        <v>787</v>
      </c>
    </row>
    <row r="1262" spans="1:23" x14ac:dyDescent="0.3">
      <c r="A1262" s="6" t="s">
        <v>628</v>
      </c>
      <c r="B1262" s="1">
        <v>45834</v>
      </c>
      <c r="C1262" s="6" t="s">
        <v>343</v>
      </c>
      <c r="D1262" s="6" t="s">
        <v>43</v>
      </c>
      <c r="E1262" s="6" t="s">
        <v>68</v>
      </c>
      <c r="F1262" s="6" t="s">
        <v>24</v>
      </c>
      <c r="G1262" s="6" t="s">
        <v>61</v>
      </c>
      <c r="H1262" s="6" t="s">
        <v>48</v>
      </c>
      <c r="I1262" s="6" t="s">
        <v>58</v>
      </c>
      <c r="J1262" s="6" t="s">
        <v>43</v>
      </c>
      <c r="K1262" s="6" t="s">
        <v>48</v>
      </c>
      <c r="L1262" s="6" t="s">
        <v>54</v>
      </c>
      <c r="M1262" s="6" t="s">
        <v>48</v>
      </c>
      <c r="N1262" s="6" t="s">
        <v>28</v>
      </c>
      <c r="O1262" s="6" t="s">
        <v>26</v>
      </c>
      <c r="P1262" s="6" t="s">
        <v>48</v>
      </c>
      <c r="Q1262" s="6" t="s">
        <v>48</v>
      </c>
      <c r="R1262" s="6" t="s">
        <v>43</v>
      </c>
      <c r="S1262" s="6" t="s">
        <v>54</v>
      </c>
      <c r="T1262" s="6" t="s">
        <v>48</v>
      </c>
      <c r="U1262" s="6" t="s">
        <v>28</v>
      </c>
      <c r="V1262" s="6" t="s">
        <v>137</v>
      </c>
      <c r="W1262" t="s">
        <v>787</v>
      </c>
    </row>
    <row r="1263" spans="1:23" x14ac:dyDescent="0.3">
      <c r="A1263" s="6" t="s">
        <v>629</v>
      </c>
      <c r="B1263" s="1">
        <v>45834</v>
      </c>
      <c r="C1263" s="6" t="s">
        <v>343</v>
      </c>
      <c r="D1263" s="6" t="s">
        <v>50</v>
      </c>
      <c r="E1263" s="6" t="s">
        <v>68</v>
      </c>
      <c r="F1263" s="6" t="s">
        <v>24</v>
      </c>
      <c r="G1263" s="6" t="s">
        <v>135</v>
      </c>
      <c r="H1263" s="6" t="s">
        <v>26</v>
      </c>
      <c r="I1263" s="6" t="s">
        <v>45</v>
      </c>
      <c r="J1263" s="6" t="s">
        <v>50</v>
      </c>
      <c r="K1263" s="6" t="s">
        <v>106</v>
      </c>
      <c r="L1263" s="6" t="s">
        <v>152</v>
      </c>
      <c r="M1263" s="6" t="s">
        <v>55</v>
      </c>
      <c r="N1263" s="6" t="s">
        <v>28</v>
      </c>
      <c r="O1263" s="6" t="s">
        <v>48</v>
      </c>
      <c r="P1263" s="6" t="s">
        <v>48</v>
      </c>
      <c r="Q1263" s="6" t="s">
        <v>48</v>
      </c>
      <c r="R1263" s="6" t="s">
        <v>50</v>
      </c>
      <c r="S1263" s="6" t="s">
        <v>54</v>
      </c>
      <c r="T1263" s="6" t="s">
        <v>48</v>
      </c>
      <c r="U1263" s="6" t="s">
        <v>121</v>
      </c>
      <c r="V1263" s="6" t="s">
        <v>82</v>
      </c>
      <c r="W1263" t="s">
        <v>787</v>
      </c>
    </row>
    <row r="1264" spans="1:23" x14ac:dyDescent="0.3">
      <c r="A1264" s="6" t="s">
        <v>630</v>
      </c>
      <c r="B1264" s="1">
        <v>45834</v>
      </c>
      <c r="C1264" s="6" t="s">
        <v>343</v>
      </c>
      <c r="D1264" s="6" t="s">
        <v>43</v>
      </c>
      <c r="E1264" s="6" t="s">
        <v>46</v>
      </c>
      <c r="F1264" s="6" t="s">
        <v>24</v>
      </c>
      <c r="G1264" s="6" t="s">
        <v>61</v>
      </c>
      <c r="H1264" s="6" t="s">
        <v>48</v>
      </c>
      <c r="I1264" s="6" t="s">
        <v>27</v>
      </c>
      <c r="J1264" s="6" t="s">
        <v>43</v>
      </c>
      <c r="K1264" s="6" t="s">
        <v>48</v>
      </c>
      <c r="L1264" s="6" t="s">
        <v>54</v>
      </c>
      <c r="M1264" s="6" t="s">
        <v>48</v>
      </c>
      <c r="N1264" s="6" t="s">
        <v>28</v>
      </c>
      <c r="O1264" s="6" t="s">
        <v>26</v>
      </c>
      <c r="P1264" s="6" t="s">
        <v>48</v>
      </c>
      <c r="Q1264" s="6" t="s">
        <v>48</v>
      </c>
      <c r="R1264" s="6" t="s">
        <v>43</v>
      </c>
      <c r="S1264" s="6" t="s">
        <v>54</v>
      </c>
      <c r="T1264" s="6" t="s">
        <v>48</v>
      </c>
      <c r="U1264" s="6" t="s">
        <v>28</v>
      </c>
      <c r="V1264" s="6" t="s">
        <v>82</v>
      </c>
      <c r="W1264" t="s">
        <v>787</v>
      </c>
    </row>
    <row r="1265" spans="1:23" x14ac:dyDescent="0.3">
      <c r="A1265" s="6" t="s">
        <v>630</v>
      </c>
      <c r="B1265" s="1">
        <v>45834</v>
      </c>
      <c r="C1265" s="6" t="s">
        <v>343</v>
      </c>
      <c r="D1265" s="6" t="s">
        <v>43</v>
      </c>
      <c r="E1265" s="6" t="s">
        <v>46</v>
      </c>
      <c r="F1265" s="6" t="s">
        <v>24</v>
      </c>
      <c r="G1265" s="6" t="s">
        <v>61</v>
      </c>
      <c r="H1265" s="6" t="s">
        <v>48</v>
      </c>
      <c r="I1265" s="6" t="s">
        <v>27</v>
      </c>
      <c r="J1265" s="6" t="s">
        <v>43</v>
      </c>
      <c r="K1265" s="6" t="s">
        <v>48</v>
      </c>
      <c r="L1265" s="6" t="s">
        <v>54</v>
      </c>
      <c r="M1265" s="6" t="s">
        <v>48</v>
      </c>
      <c r="N1265" s="6" t="s">
        <v>28</v>
      </c>
      <c r="O1265" s="6" t="s">
        <v>26</v>
      </c>
      <c r="P1265" s="6" t="s">
        <v>48</v>
      </c>
      <c r="Q1265" s="6" t="s">
        <v>48</v>
      </c>
      <c r="R1265" s="6" t="s">
        <v>43</v>
      </c>
      <c r="S1265" s="6" t="s">
        <v>54</v>
      </c>
      <c r="T1265" s="6" t="s">
        <v>48</v>
      </c>
      <c r="U1265" s="6" t="s">
        <v>28</v>
      </c>
      <c r="V1265" s="6" t="s">
        <v>146</v>
      </c>
      <c r="W1265" t="s">
        <v>787</v>
      </c>
    </row>
    <row r="1266" spans="1:23" x14ac:dyDescent="0.3">
      <c r="A1266" s="6" t="s">
        <v>631</v>
      </c>
      <c r="B1266" s="1">
        <v>45834</v>
      </c>
      <c r="C1266" s="6" t="s">
        <v>343</v>
      </c>
      <c r="D1266" s="6" t="s">
        <v>125</v>
      </c>
      <c r="E1266" s="6" t="s">
        <v>68</v>
      </c>
      <c r="F1266" s="6" t="s">
        <v>24</v>
      </c>
      <c r="G1266" s="6" t="s">
        <v>61</v>
      </c>
      <c r="H1266" s="6" t="s">
        <v>26</v>
      </c>
      <c r="I1266" s="6" t="s">
        <v>42</v>
      </c>
      <c r="J1266" s="6" t="s">
        <v>125</v>
      </c>
      <c r="K1266" s="6" t="s">
        <v>48</v>
      </c>
      <c r="L1266" s="6" t="s">
        <v>54</v>
      </c>
      <c r="M1266" s="6" t="s">
        <v>29</v>
      </c>
      <c r="N1266" s="6" t="s">
        <v>28</v>
      </c>
      <c r="O1266" s="6" t="s">
        <v>48</v>
      </c>
      <c r="P1266" s="6" t="s">
        <v>48</v>
      </c>
      <c r="Q1266" s="6" t="s">
        <v>48</v>
      </c>
      <c r="R1266" s="6" t="s">
        <v>125</v>
      </c>
      <c r="S1266" s="6" t="s">
        <v>54</v>
      </c>
      <c r="T1266" s="6" t="s">
        <v>48</v>
      </c>
      <c r="U1266" s="6" t="s">
        <v>94</v>
      </c>
      <c r="V1266" s="6" t="s">
        <v>82</v>
      </c>
      <c r="W1266" t="s">
        <v>787</v>
      </c>
    </row>
    <row r="1267" spans="1:23" x14ac:dyDescent="0.3">
      <c r="A1267" s="6" t="s">
        <v>631</v>
      </c>
      <c r="B1267" s="1">
        <v>45834</v>
      </c>
      <c r="C1267" s="6" t="s">
        <v>343</v>
      </c>
      <c r="D1267" s="6" t="s">
        <v>125</v>
      </c>
      <c r="E1267" s="6" t="s">
        <v>68</v>
      </c>
      <c r="F1267" s="6" t="s">
        <v>24</v>
      </c>
      <c r="G1267" s="6" t="s">
        <v>61</v>
      </c>
      <c r="H1267" s="6" t="s">
        <v>26</v>
      </c>
      <c r="I1267" s="6" t="s">
        <v>42</v>
      </c>
      <c r="J1267" s="6" t="s">
        <v>125</v>
      </c>
      <c r="K1267" s="6" t="s">
        <v>48</v>
      </c>
      <c r="L1267" s="6" t="s">
        <v>54</v>
      </c>
      <c r="M1267" s="6" t="s">
        <v>29</v>
      </c>
      <c r="N1267" s="6" t="s">
        <v>28</v>
      </c>
      <c r="O1267" s="6" t="s">
        <v>48</v>
      </c>
      <c r="P1267" s="6" t="s">
        <v>48</v>
      </c>
      <c r="Q1267" s="6" t="s">
        <v>48</v>
      </c>
      <c r="R1267" s="6" t="s">
        <v>125</v>
      </c>
      <c r="S1267" s="6" t="s">
        <v>54</v>
      </c>
      <c r="T1267" s="6" t="s">
        <v>48</v>
      </c>
      <c r="U1267" s="6" t="s">
        <v>94</v>
      </c>
      <c r="V1267" s="6" t="s">
        <v>146</v>
      </c>
      <c r="W1267" t="s">
        <v>787</v>
      </c>
    </row>
    <row r="1268" spans="1:23" x14ac:dyDescent="0.3">
      <c r="A1268" s="6" t="s">
        <v>632</v>
      </c>
      <c r="B1268" s="1">
        <v>45835</v>
      </c>
      <c r="C1268" s="6" t="s">
        <v>21</v>
      </c>
      <c r="D1268" s="6" t="s">
        <v>60</v>
      </c>
      <c r="E1268" s="6" t="s">
        <v>41</v>
      </c>
      <c r="F1268" s="6" t="s">
        <v>24</v>
      </c>
      <c r="G1268" s="6" t="s">
        <v>25</v>
      </c>
      <c r="H1268" s="6" t="s">
        <v>26</v>
      </c>
      <c r="I1268" s="6" t="s">
        <v>38</v>
      </c>
      <c r="J1268" s="6" t="s">
        <v>60</v>
      </c>
      <c r="K1268" s="6" t="s">
        <v>48</v>
      </c>
      <c r="L1268" s="6" t="s">
        <v>54</v>
      </c>
      <c r="M1268" s="6" t="s">
        <v>55</v>
      </c>
      <c r="N1268" s="6" t="s">
        <v>28</v>
      </c>
      <c r="O1268" s="6" t="s">
        <v>30</v>
      </c>
      <c r="P1268" s="6" t="s">
        <v>788</v>
      </c>
      <c r="Q1268" s="6" t="s">
        <v>48</v>
      </c>
      <c r="R1268" s="6" t="s">
        <v>60</v>
      </c>
      <c r="S1268" s="6" t="s">
        <v>54</v>
      </c>
      <c r="T1268" s="6" t="s">
        <v>29</v>
      </c>
      <c r="U1268" s="6" t="s">
        <v>28</v>
      </c>
      <c r="V1268" s="6" t="s">
        <v>137</v>
      </c>
      <c r="W1268" t="s">
        <v>787</v>
      </c>
    </row>
    <row r="1269" spans="1:23" x14ac:dyDescent="0.3">
      <c r="A1269" s="6" t="s">
        <v>633</v>
      </c>
      <c r="B1269" s="1">
        <v>45835</v>
      </c>
      <c r="C1269" s="6" t="s">
        <v>343</v>
      </c>
      <c r="D1269" s="6" t="s">
        <v>95</v>
      </c>
      <c r="E1269" s="6" t="s">
        <v>35</v>
      </c>
      <c r="F1269" s="6" t="s">
        <v>24</v>
      </c>
      <c r="G1269" s="6" t="s">
        <v>61</v>
      </c>
      <c r="H1269" s="6" t="s">
        <v>48</v>
      </c>
      <c r="I1269" s="6" t="s">
        <v>42</v>
      </c>
      <c r="J1269" s="6" t="s">
        <v>95</v>
      </c>
      <c r="K1269" s="6" t="s">
        <v>48</v>
      </c>
      <c r="L1269" s="6" t="s">
        <v>54</v>
      </c>
      <c r="M1269" s="6" t="s">
        <v>48</v>
      </c>
      <c r="N1269" s="6" t="s">
        <v>28</v>
      </c>
      <c r="O1269" s="6" t="s">
        <v>30</v>
      </c>
      <c r="P1269" s="6" t="s">
        <v>48</v>
      </c>
      <c r="Q1269" s="6" t="s">
        <v>48</v>
      </c>
      <c r="R1269" s="6" t="s">
        <v>95</v>
      </c>
      <c r="S1269" s="6" t="s">
        <v>54</v>
      </c>
      <c r="T1269" s="6" t="s">
        <v>32</v>
      </c>
      <c r="U1269" s="6" t="s">
        <v>28</v>
      </c>
      <c r="V1269" s="6" t="s">
        <v>82</v>
      </c>
      <c r="W1269" t="s">
        <v>787</v>
      </c>
    </row>
    <row r="1270" spans="1:23" x14ac:dyDescent="0.3">
      <c r="A1270" s="6" t="s">
        <v>633</v>
      </c>
      <c r="B1270" s="1">
        <v>45835</v>
      </c>
      <c r="C1270" s="6" t="s">
        <v>343</v>
      </c>
      <c r="D1270" s="6" t="s">
        <v>95</v>
      </c>
      <c r="E1270" s="6" t="s">
        <v>35</v>
      </c>
      <c r="F1270" s="6" t="s">
        <v>24</v>
      </c>
      <c r="G1270" s="6" t="s">
        <v>61</v>
      </c>
      <c r="H1270" s="6" t="s">
        <v>48</v>
      </c>
      <c r="I1270" s="6" t="s">
        <v>42</v>
      </c>
      <c r="J1270" s="6" t="s">
        <v>95</v>
      </c>
      <c r="K1270" s="6" t="s">
        <v>48</v>
      </c>
      <c r="L1270" s="6" t="s">
        <v>54</v>
      </c>
      <c r="M1270" s="6" t="s">
        <v>48</v>
      </c>
      <c r="N1270" s="6" t="s">
        <v>28</v>
      </c>
      <c r="O1270" s="6" t="s">
        <v>30</v>
      </c>
      <c r="P1270" s="6" t="s">
        <v>48</v>
      </c>
      <c r="Q1270" s="6" t="s">
        <v>48</v>
      </c>
      <c r="R1270" s="6" t="s">
        <v>95</v>
      </c>
      <c r="S1270" s="6" t="s">
        <v>54</v>
      </c>
      <c r="T1270" s="6" t="s">
        <v>32</v>
      </c>
      <c r="U1270" s="6" t="s">
        <v>28</v>
      </c>
      <c r="V1270" s="6" t="s">
        <v>146</v>
      </c>
      <c r="W1270" t="s">
        <v>787</v>
      </c>
    </row>
    <row r="1271" spans="1:23" x14ac:dyDescent="0.3">
      <c r="A1271" s="6" t="s">
        <v>633</v>
      </c>
      <c r="B1271" s="1">
        <v>45835</v>
      </c>
      <c r="C1271" s="6" t="s">
        <v>343</v>
      </c>
      <c r="D1271" s="6" t="s">
        <v>95</v>
      </c>
      <c r="E1271" s="6" t="s">
        <v>35</v>
      </c>
      <c r="F1271" s="6" t="s">
        <v>24</v>
      </c>
      <c r="G1271" s="6" t="s">
        <v>61</v>
      </c>
      <c r="H1271" s="6" t="s">
        <v>48</v>
      </c>
      <c r="I1271" s="6" t="s">
        <v>42</v>
      </c>
      <c r="J1271" s="6" t="s">
        <v>95</v>
      </c>
      <c r="K1271" s="6" t="s">
        <v>48</v>
      </c>
      <c r="L1271" s="6" t="s">
        <v>54</v>
      </c>
      <c r="M1271" s="6" t="s">
        <v>48</v>
      </c>
      <c r="N1271" s="6" t="s">
        <v>28</v>
      </c>
      <c r="O1271" s="6" t="s">
        <v>30</v>
      </c>
      <c r="P1271" s="6" t="s">
        <v>48</v>
      </c>
      <c r="Q1271" s="6" t="s">
        <v>48</v>
      </c>
      <c r="R1271" s="6" t="s">
        <v>95</v>
      </c>
      <c r="S1271" s="6" t="s">
        <v>54</v>
      </c>
      <c r="T1271" s="6" t="s">
        <v>32</v>
      </c>
      <c r="U1271" s="6" t="s">
        <v>28</v>
      </c>
      <c r="V1271" s="6" t="s">
        <v>137</v>
      </c>
      <c r="W1271" t="s">
        <v>787</v>
      </c>
    </row>
    <row r="1272" spans="1:23" x14ac:dyDescent="0.3">
      <c r="A1272" s="6" t="s">
        <v>634</v>
      </c>
      <c r="B1272" s="1">
        <v>45836</v>
      </c>
      <c r="C1272" s="6" t="s">
        <v>343</v>
      </c>
      <c r="D1272" s="6" t="s">
        <v>40</v>
      </c>
      <c r="E1272" s="6" t="s">
        <v>23</v>
      </c>
      <c r="F1272" s="6" t="s">
        <v>24</v>
      </c>
      <c r="G1272" s="6" t="s">
        <v>25</v>
      </c>
      <c r="H1272" s="6" t="s">
        <v>26</v>
      </c>
      <c r="I1272" s="6" t="s">
        <v>42</v>
      </c>
      <c r="J1272" s="6" t="s">
        <v>40</v>
      </c>
      <c r="K1272" s="6" t="s">
        <v>48</v>
      </c>
      <c r="L1272" s="6" t="s">
        <v>54</v>
      </c>
      <c r="M1272" s="6" t="s">
        <v>32</v>
      </c>
      <c r="N1272" s="6" t="s">
        <v>28</v>
      </c>
      <c r="O1272" s="6" t="s">
        <v>48</v>
      </c>
      <c r="P1272" s="6" t="s">
        <v>48</v>
      </c>
      <c r="Q1272" s="6" t="s">
        <v>48</v>
      </c>
      <c r="R1272" s="6" t="s">
        <v>40</v>
      </c>
      <c r="S1272" s="6" t="s">
        <v>54</v>
      </c>
      <c r="T1272" s="6" t="s">
        <v>48</v>
      </c>
      <c r="U1272" s="6" t="s">
        <v>118</v>
      </c>
      <c r="V1272" s="6" t="s">
        <v>137</v>
      </c>
      <c r="W1272" t="s">
        <v>787</v>
      </c>
    </row>
    <row r="1273" spans="1:23" x14ac:dyDescent="0.3">
      <c r="A1273" s="6" t="s">
        <v>635</v>
      </c>
      <c r="B1273" s="1">
        <v>45837</v>
      </c>
      <c r="C1273" s="6" t="s">
        <v>343</v>
      </c>
      <c r="D1273" s="6" t="s">
        <v>96</v>
      </c>
      <c r="E1273" s="6" t="s">
        <v>68</v>
      </c>
      <c r="F1273" s="6" t="s">
        <v>24</v>
      </c>
      <c r="G1273" s="6" t="s">
        <v>51</v>
      </c>
      <c r="H1273" s="6" t="s">
        <v>26</v>
      </c>
      <c r="I1273" s="6" t="s">
        <v>45</v>
      </c>
      <c r="J1273" s="6" t="s">
        <v>96</v>
      </c>
      <c r="K1273" s="6" t="s">
        <v>48</v>
      </c>
      <c r="L1273" s="6" t="s">
        <v>54</v>
      </c>
      <c r="M1273" s="6" t="s">
        <v>55</v>
      </c>
      <c r="N1273" s="6" t="s">
        <v>28</v>
      </c>
      <c r="O1273" s="6" t="s">
        <v>48</v>
      </c>
      <c r="P1273" s="6" t="s">
        <v>48</v>
      </c>
      <c r="Q1273" s="6" t="s">
        <v>48</v>
      </c>
      <c r="R1273" s="6" t="s">
        <v>96</v>
      </c>
      <c r="S1273" s="6" t="s">
        <v>54</v>
      </c>
      <c r="T1273" s="6" t="s">
        <v>48</v>
      </c>
      <c r="U1273" s="6" t="s">
        <v>56</v>
      </c>
      <c r="V1273" s="6" t="s">
        <v>82</v>
      </c>
      <c r="W1273" t="s">
        <v>787</v>
      </c>
    </row>
    <row r="1274" spans="1:23" x14ac:dyDescent="0.3">
      <c r="A1274" s="6" t="s">
        <v>636</v>
      </c>
      <c r="B1274" s="1">
        <v>45838</v>
      </c>
      <c r="C1274" s="6" t="s">
        <v>39</v>
      </c>
      <c r="D1274" s="6" t="s">
        <v>22</v>
      </c>
      <c r="E1274" s="6" t="s">
        <v>35</v>
      </c>
      <c r="F1274" s="6" t="s">
        <v>24</v>
      </c>
      <c r="G1274" s="6" t="s">
        <v>69</v>
      </c>
      <c r="H1274" s="6" t="s">
        <v>26</v>
      </c>
      <c r="I1274" s="6" t="s">
        <v>58</v>
      </c>
      <c r="J1274" s="6" t="s">
        <v>22</v>
      </c>
      <c r="K1274" s="6" t="s">
        <v>48</v>
      </c>
      <c r="L1274" s="6" t="s">
        <v>152</v>
      </c>
      <c r="M1274" s="6" t="s">
        <v>142</v>
      </c>
      <c r="N1274" s="6" t="s">
        <v>28</v>
      </c>
      <c r="O1274" s="6" t="s">
        <v>30</v>
      </c>
      <c r="P1274" s="6" t="s">
        <v>45</v>
      </c>
      <c r="Q1274" s="6" t="s">
        <v>31</v>
      </c>
      <c r="R1274" s="6" t="s">
        <v>22</v>
      </c>
      <c r="S1274" s="6" t="s">
        <v>128</v>
      </c>
      <c r="T1274" s="6" t="s">
        <v>29</v>
      </c>
      <c r="U1274" s="6" t="s">
        <v>28</v>
      </c>
      <c r="V1274" s="6" t="s">
        <v>82</v>
      </c>
      <c r="W1274" t="s">
        <v>787</v>
      </c>
    </row>
    <row r="1275" spans="1:23" x14ac:dyDescent="0.3">
      <c r="A1275" s="6" t="s">
        <v>636</v>
      </c>
      <c r="B1275" s="1">
        <v>45838</v>
      </c>
      <c r="C1275" s="6" t="s">
        <v>39</v>
      </c>
      <c r="D1275" s="6" t="s">
        <v>22</v>
      </c>
      <c r="E1275" s="6" t="s">
        <v>35</v>
      </c>
      <c r="F1275" s="6" t="s">
        <v>24</v>
      </c>
      <c r="G1275" s="6" t="s">
        <v>69</v>
      </c>
      <c r="H1275" s="6" t="s">
        <v>26</v>
      </c>
      <c r="I1275" s="6" t="s">
        <v>58</v>
      </c>
      <c r="J1275" s="6" t="s">
        <v>22</v>
      </c>
      <c r="K1275" s="6" t="s">
        <v>48</v>
      </c>
      <c r="L1275" s="6" t="s">
        <v>152</v>
      </c>
      <c r="M1275" s="6" t="s">
        <v>142</v>
      </c>
      <c r="N1275" s="6" t="s">
        <v>28</v>
      </c>
      <c r="O1275" s="6" t="s">
        <v>30</v>
      </c>
      <c r="P1275" s="6" t="s">
        <v>45</v>
      </c>
      <c r="Q1275" s="6" t="s">
        <v>31</v>
      </c>
      <c r="R1275" s="6" t="s">
        <v>22</v>
      </c>
      <c r="S1275" s="6" t="s">
        <v>128</v>
      </c>
      <c r="T1275" s="6" t="s">
        <v>29</v>
      </c>
      <c r="U1275" s="6" t="s">
        <v>28</v>
      </c>
      <c r="V1275" s="6" t="s">
        <v>146</v>
      </c>
      <c r="W1275" t="s">
        <v>787</v>
      </c>
    </row>
    <row r="1276" spans="1:23" x14ac:dyDescent="0.3">
      <c r="A1276" s="6" t="s">
        <v>637</v>
      </c>
      <c r="B1276" s="1">
        <v>45838</v>
      </c>
      <c r="C1276" s="6" t="s">
        <v>39</v>
      </c>
      <c r="D1276" s="6" t="s">
        <v>22</v>
      </c>
      <c r="E1276" s="6" t="s">
        <v>35</v>
      </c>
      <c r="F1276" s="6" t="s">
        <v>24</v>
      </c>
      <c r="G1276" s="6" t="s">
        <v>69</v>
      </c>
      <c r="H1276" s="6" t="s">
        <v>26</v>
      </c>
      <c r="I1276" s="6" t="s">
        <v>58</v>
      </c>
      <c r="J1276" s="6" t="s">
        <v>22</v>
      </c>
      <c r="K1276" s="6" t="s">
        <v>48</v>
      </c>
      <c r="L1276" s="6" t="s">
        <v>152</v>
      </c>
      <c r="M1276" s="6" t="s">
        <v>142</v>
      </c>
      <c r="N1276" s="6" t="s">
        <v>28</v>
      </c>
      <c r="O1276" s="6" t="s">
        <v>26</v>
      </c>
      <c r="P1276" s="6" t="s">
        <v>38</v>
      </c>
      <c r="Q1276" s="6" t="s">
        <v>31</v>
      </c>
      <c r="R1276" s="6" t="s">
        <v>22</v>
      </c>
      <c r="S1276" s="6" t="s">
        <v>128</v>
      </c>
      <c r="T1276" s="6" t="s">
        <v>29</v>
      </c>
      <c r="U1276" s="6" t="s">
        <v>28</v>
      </c>
      <c r="V1276" s="6" t="s">
        <v>82</v>
      </c>
      <c r="W1276" t="s">
        <v>787</v>
      </c>
    </row>
    <row r="1277" spans="1:23" x14ac:dyDescent="0.3">
      <c r="A1277" s="6" t="s">
        <v>637</v>
      </c>
      <c r="B1277" s="1">
        <v>45838</v>
      </c>
      <c r="C1277" s="6" t="s">
        <v>39</v>
      </c>
      <c r="D1277" s="6" t="s">
        <v>22</v>
      </c>
      <c r="E1277" s="6" t="s">
        <v>35</v>
      </c>
      <c r="F1277" s="6" t="s">
        <v>24</v>
      </c>
      <c r="G1277" s="6" t="s">
        <v>69</v>
      </c>
      <c r="H1277" s="6" t="s">
        <v>26</v>
      </c>
      <c r="I1277" s="6" t="s">
        <v>58</v>
      </c>
      <c r="J1277" s="6" t="s">
        <v>22</v>
      </c>
      <c r="K1277" s="6" t="s">
        <v>48</v>
      </c>
      <c r="L1277" s="6" t="s">
        <v>152</v>
      </c>
      <c r="M1277" s="6" t="s">
        <v>142</v>
      </c>
      <c r="N1277" s="6" t="s">
        <v>28</v>
      </c>
      <c r="O1277" s="6" t="s">
        <v>26</v>
      </c>
      <c r="P1277" s="6" t="s">
        <v>38</v>
      </c>
      <c r="Q1277" s="6" t="s">
        <v>31</v>
      </c>
      <c r="R1277" s="6" t="s">
        <v>22</v>
      </c>
      <c r="S1277" s="6" t="s">
        <v>128</v>
      </c>
      <c r="T1277" s="6" t="s">
        <v>29</v>
      </c>
      <c r="U1277" s="6" t="s">
        <v>28</v>
      </c>
      <c r="V1277" s="6" t="s">
        <v>146</v>
      </c>
      <c r="W1277" t="s">
        <v>787</v>
      </c>
    </row>
    <row r="1278" spans="1:23" x14ac:dyDescent="0.3">
      <c r="A1278" s="6" t="s">
        <v>638</v>
      </c>
      <c r="B1278" s="1">
        <v>45838</v>
      </c>
      <c r="C1278" s="6" t="s">
        <v>33</v>
      </c>
      <c r="D1278" s="6" t="s">
        <v>60</v>
      </c>
      <c r="E1278" s="6" t="s">
        <v>46</v>
      </c>
      <c r="F1278" s="6" t="s">
        <v>24</v>
      </c>
      <c r="G1278" s="6" t="s">
        <v>61</v>
      </c>
      <c r="H1278" s="6" t="s">
        <v>48</v>
      </c>
      <c r="I1278" s="6" t="s">
        <v>48</v>
      </c>
      <c r="J1278" s="6" t="s">
        <v>60</v>
      </c>
      <c r="K1278" s="6" t="s">
        <v>48</v>
      </c>
      <c r="L1278" s="6" t="s">
        <v>152</v>
      </c>
      <c r="M1278" s="6" t="s">
        <v>48</v>
      </c>
      <c r="N1278" s="6" t="s">
        <v>28</v>
      </c>
      <c r="O1278" s="6" t="s">
        <v>48</v>
      </c>
      <c r="P1278" s="6" t="s">
        <v>48</v>
      </c>
      <c r="Q1278" s="6" t="s">
        <v>48</v>
      </c>
      <c r="R1278" s="6" t="s">
        <v>60</v>
      </c>
      <c r="S1278" s="6" t="s">
        <v>54</v>
      </c>
      <c r="T1278" s="6" t="s">
        <v>48</v>
      </c>
      <c r="U1278" s="6" t="s">
        <v>74</v>
      </c>
      <c r="V1278" s="6" t="s">
        <v>82</v>
      </c>
      <c r="W1278" t="s">
        <v>787</v>
      </c>
    </row>
    <row r="1279" spans="1:23" x14ac:dyDescent="0.3">
      <c r="A1279" s="6" t="s">
        <v>638</v>
      </c>
      <c r="B1279" s="1">
        <v>45838</v>
      </c>
      <c r="C1279" s="6" t="s">
        <v>33</v>
      </c>
      <c r="D1279" s="6" t="s">
        <v>60</v>
      </c>
      <c r="E1279" s="6" t="s">
        <v>46</v>
      </c>
      <c r="F1279" s="6" t="s">
        <v>24</v>
      </c>
      <c r="G1279" s="6" t="s">
        <v>61</v>
      </c>
      <c r="H1279" s="6" t="s">
        <v>48</v>
      </c>
      <c r="I1279" s="6" t="s">
        <v>48</v>
      </c>
      <c r="J1279" s="6" t="s">
        <v>60</v>
      </c>
      <c r="K1279" s="6" t="s">
        <v>48</v>
      </c>
      <c r="L1279" s="6" t="s">
        <v>152</v>
      </c>
      <c r="M1279" s="6" t="s">
        <v>48</v>
      </c>
      <c r="N1279" s="6" t="s">
        <v>28</v>
      </c>
      <c r="O1279" s="6" t="s">
        <v>48</v>
      </c>
      <c r="P1279" s="6" t="s">
        <v>48</v>
      </c>
      <c r="Q1279" s="6" t="s">
        <v>48</v>
      </c>
      <c r="R1279" s="6" t="s">
        <v>60</v>
      </c>
      <c r="S1279" s="6" t="s">
        <v>54</v>
      </c>
      <c r="T1279" s="6" t="s">
        <v>48</v>
      </c>
      <c r="U1279" s="6" t="s">
        <v>74</v>
      </c>
      <c r="V1279" s="6" t="s">
        <v>146</v>
      </c>
      <c r="W1279" t="s">
        <v>787</v>
      </c>
    </row>
  </sheetData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69856-A51F-43FB-AED1-D942FE4127F0}">
  <dimension ref="A1:H146"/>
  <sheetViews>
    <sheetView tabSelected="1" workbookViewId="0">
      <selection activeCell="C15" sqref="C15"/>
    </sheetView>
  </sheetViews>
  <sheetFormatPr defaultRowHeight="14.4" x14ac:dyDescent="0.3"/>
  <cols>
    <col min="1" max="1" width="16.77734375" bestFit="1" customWidth="1"/>
    <col min="2" max="3" width="16.21875" style="3" bestFit="1" customWidth="1"/>
    <col min="4" max="4" width="10.88671875" style="3" bestFit="1" customWidth="1"/>
    <col min="5" max="5" width="22.88671875" style="3" bestFit="1" customWidth="1"/>
    <col min="6" max="6" width="16.77734375" bestFit="1" customWidth="1"/>
    <col min="7" max="7" width="16.21875" bestFit="1" customWidth="1"/>
    <col min="8" max="8" width="8.77734375" bestFit="1" customWidth="1"/>
    <col min="9" max="9" width="13.77734375" bestFit="1" customWidth="1"/>
    <col min="10" max="10" width="7" bestFit="1" customWidth="1"/>
    <col min="11" max="11" width="4.33203125" customWidth="1"/>
    <col min="12" max="12" width="13.77734375" bestFit="1" customWidth="1"/>
    <col min="13" max="13" width="5" bestFit="1" customWidth="1"/>
  </cols>
  <sheetData>
    <row r="1" spans="1:8" x14ac:dyDescent="0.3">
      <c r="A1" t="s">
        <v>345</v>
      </c>
    </row>
    <row r="2" spans="1:8" x14ac:dyDescent="0.3">
      <c r="A2" s="5" t="s">
        <v>20</v>
      </c>
      <c r="B2" t="s">
        <v>703</v>
      </c>
      <c r="F2" s="2"/>
    </row>
    <row r="3" spans="1:8" ht="15" thickBot="1" x14ac:dyDescent="0.35"/>
    <row r="4" spans="1:8" ht="15" thickBot="1" x14ac:dyDescent="0.35">
      <c r="A4" s="5" t="s">
        <v>639</v>
      </c>
      <c r="B4" t="s">
        <v>344</v>
      </c>
      <c r="C4"/>
      <c r="D4" s="20" t="s">
        <v>798</v>
      </c>
      <c r="E4" s="22" t="s">
        <v>799</v>
      </c>
      <c r="G4" s="20" t="s">
        <v>351</v>
      </c>
      <c r="H4" s="22" t="s">
        <v>797</v>
      </c>
    </row>
    <row r="5" spans="1:8" x14ac:dyDescent="0.3">
      <c r="A5" s="2" t="s">
        <v>641</v>
      </c>
      <c r="B5" s="6">
        <v>2</v>
      </c>
      <c r="C5"/>
      <c r="D5" s="17" t="s">
        <v>641</v>
      </c>
      <c r="E5" s="12">
        <v>2</v>
      </c>
      <c r="G5" s="17" t="s">
        <v>346</v>
      </c>
      <c r="H5" s="12">
        <f>MIN(E5:E145)</f>
        <v>2</v>
      </c>
    </row>
    <row r="6" spans="1:8" x14ac:dyDescent="0.3">
      <c r="A6" s="2" t="s">
        <v>642</v>
      </c>
      <c r="B6" s="6">
        <v>6</v>
      </c>
      <c r="C6"/>
      <c r="D6" s="16" t="s">
        <v>642</v>
      </c>
      <c r="E6" s="13">
        <v>6</v>
      </c>
      <c r="G6" s="16" t="s">
        <v>347</v>
      </c>
      <c r="H6" s="13">
        <f>_xlfn.QUARTILE.INC(E5:E145,1)</f>
        <v>2</v>
      </c>
    </row>
    <row r="7" spans="1:8" x14ac:dyDescent="0.3">
      <c r="A7" s="2" t="s">
        <v>643</v>
      </c>
      <c r="B7" s="6">
        <v>2</v>
      </c>
      <c r="C7"/>
      <c r="D7" s="17" t="s">
        <v>643</v>
      </c>
      <c r="E7" s="12">
        <v>2</v>
      </c>
      <c r="G7" s="17" t="s">
        <v>349</v>
      </c>
      <c r="H7" s="12">
        <f>_xlfn.QUARTILE.INC(E5:E145,2)</f>
        <v>8</v>
      </c>
    </row>
    <row r="8" spans="1:8" x14ac:dyDescent="0.3">
      <c r="A8" s="2" t="s">
        <v>644</v>
      </c>
      <c r="B8" s="6">
        <v>4</v>
      </c>
      <c r="C8"/>
      <c r="D8" s="16" t="s">
        <v>644</v>
      </c>
      <c r="E8" s="13">
        <v>4</v>
      </c>
      <c r="G8" s="16" t="s">
        <v>348</v>
      </c>
      <c r="H8" s="13">
        <f>_xlfn.QUARTILE.INC(E5:E145,3)</f>
        <v>12</v>
      </c>
    </row>
    <row r="9" spans="1:8" ht="15" thickBot="1" x14ac:dyDescent="0.35">
      <c r="A9" s="2" t="s">
        <v>645</v>
      </c>
      <c r="B9" s="6">
        <v>4</v>
      </c>
      <c r="C9"/>
      <c r="D9" s="17" t="s">
        <v>645</v>
      </c>
      <c r="E9" s="12">
        <v>4</v>
      </c>
      <c r="G9" s="18" t="s">
        <v>350</v>
      </c>
      <c r="H9" s="15">
        <f>MAX(E5:E145)</f>
        <v>60</v>
      </c>
    </row>
    <row r="10" spans="1:8" x14ac:dyDescent="0.3">
      <c r="A10" s="2" t="s">
        <v>646</v>
      </c>
      <c r="B10" s="6">
        <v>2</v>
      </c>
      <c r="C10"/>
      <c r="D10" s="16" t="s">
        <v>646</v>
      </c>
      <c r="E10" s="13">
        <v>2</v>
      </c>
    </row>
    <row r="11" spans="1:8" x14ac:dyDescent="0.3">
      <c r="A11" s="2" t="s">
        <v>647</v>
      </c>
      <c r="B11" s="6">
        <v>10</v>
      </c>
      <c r="C11"/>
      <c r="D11" s="17" t="s">
        <v>647</v>
      </c>
      <c r="E11" s="12">
        <v>10</v>
      </c>
    </row>
    <row r="12" spans="1:8" x14ac:dyDescent="0.3">
      <c r="A12" s="2" t="s">
        <v>648</v>
      </c>
      <c r="B12" s="6">
        <v>2</v>
      </c>
      <c r="C12"/>
      <c r="D12" s="16" t="s">
        <v>648</v>
      </c>
      <c r="E12" s="13">
        <v>2</v>
      </c>
    </row>
    <row r="13" spans="1:8" x14ac:dyDescent="0.3">
      <c r="A13" s="2" t="s">
        <v>649</v>
      </c>
      <c r="B13" s="6">
        <v>4</v>
      </c>
      <c r="C13"/>
      <c r="D13" s="17" t="s">
        <v>649</v>
      </c>
      <c r="E13" s="12">
        <v>4</v>
      </c>
      <c r="F13" s="3"/>
      <c r="G13" s="3"/>
      <c r="H13" s="3"/>
    </row>
    <row r="14" spans="1:8" x14ac:dyDescent="0.3">
      <c r="A14" s="2" t="s">
        <v>650</v>
      </c>
      <c r="B14" s="6">
        <v>8</v>
      </c>
      <c r="C14"/>
      <c r="D14" s="16" t="s">
        <v>650</v>
      </c>
      <c r="E14" s="13">
        <v>8</v>
      </c>
    </row>
    <row r="15" spans="1:8" x14ac:dyDescent="0.3">
      <c r="A15" s="2" t="s">
        <v>651</v>
      </c>
      <c r="B15" s="6">
        <v>8</v>
      </c>
      <c r="C15"/>
      <c r="D15" s="17" t="s">
        <v>651</v>
      </c>
      <c r="E15" s="12">
        <v>8</v>
      </c>
    </row>
    <row r="16" spans="1:8" x14ac:dyDescent="0.3">
      <c r="A16" s="2" t="s">
        <v>652</v>
      </c>
      <c r="B16" s="6">
        <v>2</v>
      </c>
      <c r="C16"/>
      <c r="D16" s="16" t="s">
        <v>652</v>
      </c>
      <c r="E16" s="13">
        <v>2</v>
      </c>
    </row>
    <row r="17" spans="1:5" x14ac:dyDescent="0.3">
      <c r="A17" s="2" t="s">
        <v>653</v>
      </c>
      <c r="B17" s="6">
        <v>18</v>
      </c>
      <c r="C17"/>
      <c r="D17" s="17" t="s">
        <v>653</v>
      </c>
      <c r="E17" s="12">
        <v>18</v>
      </c>
    </row>
    <row r="18" spans="1:5" x14ac:dyDescent="0.3">
      <c r="A18" s="2" t="s">
        <v>654</v>
      </c>
      <c r="B18" s="6">
        <v>6</v>
      </c>
      <c r="C18"/>
      <c r="D18" s="16" t="s">
        <v>654</v>
      </c>
      <c r="E18" s="13">
        <v>6</v>
      </c>
    </row>
    <row r="19" spans="1:5" x14ac:dyDescent="0.3">
      <c r="A19" s="2" t="s">
        <v>655</v>
      </c>
      <c r="B19" s="6">
        <v>10</v>
      </c>
      <c r="C19"/>
      <c r="D19" s="17" t="s">
        <v>655</v>
      </c>
      <c r="E19" s="12">
        <v>10</v>
      </c>
    </row>
    <row r="20" spans="1:5" x14ac:dyDescent="0.3">
      <c r="A20" s="2" t="s">
        <v>656</v>
      </c>
      <c r="B20" s="6">
        <v>8</v>
      </c>
      <c r="C20"/>
      <c r="D20" s="16" t="s">
        <v>656</v>
      </c>
      <c r="E20" s="13">
        <v>8</v>
      </c>
    </row>
    <row r="21" spans="1:5" x14ac:dyDescent="0.3">
      <c r="A21" s="2" t="s">
        <v>657</v>
      </c>
      <c r="B21" s="6">
        <v>2</v>
      </c>
      <c r="C21"/>
      <c r="D21" s="17" t="s">
        <v>657</v>
      </c>
      <c r="E21" s="12">
        <v>2</v>
      </c>
    </row>
    <row r="22" spans="1:5" x14ac:dyDescent="0.3">
      <c r="A22" s="2" t="s">
        <v>658</v>
      </c>
      <c r="B22" s="6">
        <v>18</v>
      </c>
      <c r="D22" s="16" t="s">
        <v>658</v>
      </c>
      <c r="E22" s="13">
        <v>18</v>
      </c>
    </row>
    <row r="23" spans="1:5" x14ac:dyDescent="0.3">
      <c r="A23" s="2" t="s">
        <v>659</v>
      </c>
      <c r="B23" s="6">
        <v>4</v>
      </c>
      <c r="D23" s="17" t="s">
        <v>659</v>
      </c>
      <c r="E23" s="12">
        <v>4</v>
      </c>
    </row>
    <row r="24" spans="1:5" x14ac:dyDescent="0.3">
      <c r="A24" s="2" t="s">
        <v>660</v>
      </c>
      <c r="B24" s="6">
        <v>6</v>
      </c>
      <c r="D24" s="16" t="s">
        <v>660</v>
      </c>
      <c r="E24" s="13">
        <v>6</v>
      </c>
    </row>
    <row r="25" spans="1:5" x14ac:dyDescent="0.3">
      <c r="A25" s="2" t="s">
        <v>661</v>
      </c>
      <c r="B25" s="6">
        <v>12</v>
      </c>
      <c r="D25" s="17" t="s">
        <v>661</v>
      </c>
      <c r="E25" s="12">
        <v>12</v>
      </c>
    </row>
    <row r="26" spans="1:5" x14ac:dyDescent="0.3">
      <c r="A26" s="2" t="s">
        <v>662</v>
      </c>
      <c r="B26" s="6">
        <v>6</v>
      </c>
      <c r="D26" s="16" t="s">
        <v>662</v>
      </c>
      <c r="E26" s="13">
        <v>6</v>
      </c>
    </row>
    <row r="27" spans="1:5" x14ac:dyDescent="0.3">
      <c r="A27" s="2" t="s">
        <v>663</v>
      </c>
      <c r="B27" s="6">
        <v>4</v>
      </c>
      <c r="D27" s="17" t="s">
        <v>663</v>
      </c>
      <c r="E27" s="12">
        <v>4</v>
      </c>
    </row>
    <row r="28" spans="1:5" x14ac:dyDescent="0.3">
      <c r="A28" s="2" t="s">
        <v>664</v>
      </c>
      <c r="B28" s="6">
        <v>6</v>
      </c>
      <c r="D28" s="16" t="s">
        <v>664</v>
      </c>
      <c r="E28" s="13">
        <v>6</v>
      </c>
    </row>
    <row r="29" spans="1:5" x14ac:dyDescent="0.3">
      <c r="A29" s="2" t="s">
        <v>665</v>
      </c>
      <c r="B29" s="6">
        <v>2</v>
      </c>
      <c r="D29" s="17" t="s">
        <v>665</v>
      </c>
      <c r="E29" s="12">
        <v>2</v>
      </c>
    </row>
    <row r="30" spans="1:5" x14ac:dyDescent="0.3">
      <c r="A30" s="2" t="s">
        <v>666</v>
      </c>
      <c r="B30" s="6">
        <v>2</v>
      </c>
      <c r="D30" s="16" t="s">
        <v>666</v>
      </c>
      <c r="E30" s="13">
        <v>2</v>
      </c>
    </row>
    <row r="31" spans="1:5" x14ac:dyDescent="0.3">
      <c r="A31" s="2" t="s">
        <v>667</v>
      </c>
      <c r="B31" s="6">
        <v>6</v>
      </c>
      <c r="D31" s="17" t="s">
        <v>667</v>
      </c>
      <c r="E31" s="12">
        <v>6</v>
      </c>
    </row>
    <row r="32" spans="1:5" x14ac:dyDescent="0.3">
      <c r="A32" s="2" t="s">
        <v>668</v>
      </c>
      <c r="B32" s="6">
        <v>2</v>
      </c>
      <c r="D32" s="16" t="s">
        <v>668</v>
      </c>
      <c r="E32" s="13">
        <v>2</v>
      </c>
    </row>
    <row r="33" spans="1:5" x14ac:dyDescent="0.3">
      <c r="A33" s="2" t="s">
        <v>669</v>
      </c>
      <c r="B33" s="6">
        <v>6</v>
      </c>
      <c r="D33" s="17" t="s">
        <v>669</v>
      </c>
      <c r="E33" s="12">
        <v>6</v>
      </c>
    </row>
    <row r="34" spans="1:5" x14ac:dyDescent="0.3">
      <c r="A34" s="2" t="s">
        <v>670</v>
      </c>
      <c r="B34" s="6">
        <v>12</v>
      </c>
      <c r="D34" s="16" t="s">
        <v>670</v>
      </c>
      <c r="E34" s="13">
        <v>12</v>
      </c>
    </row>
    <row r="35" spans="1:5" x14ac:dyDescent="0.3">
      <c r="A35" s="2" t="s">
        <v>671</v>
      </c>
      <c r="B35" s="6">
        <v>2</v>
      </c>
      <c r="D35" s="17" t="s">
        <v>671</v>
      </c>
      <c r="E35" s="12">
        <v>2</v>
      </c>
    </row>
    <row r="36" spans="1:5" x14ac:dyDescent="0.3">
      <c r="A36" s="2" t="s">
        <v>672</v>
      </c>
      <c r="B36" s="6">
        <v>10</v>
      </c>
      <c r="D36" s="16" t="s">
        <v>672</v>
      </c>
      <c r="E36" s="13">
        <v>10</v>
      </c>
    </row>
    <row r="37" spans="1:5" x14ac:dyDescent="0.3">
      <c r="A37" s="2" t="s">
        <v>673</v>
      </c>
      <c r="B37" s="6">
        <v>2</v>
      </c>
      <c r="D37" s="17" t="s">
        <v>673</v>
      </c>
      <c r="E37" s="12">
        <v>2</v>
      </c>
    </row>
    <row r="38" spans="1:5" x14ac:dyDescent="0.3">
      <c r="A38" s="2" t="s">
        <v>674</v>
      </c>
      <c r="B38" s="6">
        <v>60</v>
      </c>
      <c r="D38" s="16" t="s">
        <v>674</v>
      </c>
      <c r="E38" s="13">
        <v>60</v>
      </c>
    </row>
    <row r="39" spans="1:5" x14ac:dyDescent="0.3">
      <c r="A39" s="2" t="s">
        <v>675</v>
      </c>
      <c r="B39" s="6">
        <v>22</v>
      </c>
      <c r="D39" s="17" t="s">
        <v>675</v>
      </c>
      <c r="E39" s="12">
        <v>22</v>
      </c>
    </row>
    <row r="40" spans="1:5" x14ac:dyDescent="0.3">
      <c r="A40" s="2" t="s">
        <v>676</v>
      </c>
      <c r="B40" s="6">
        <v>8</v>
      </c>
      <c r="D40" s="16" t="s">
        <v>676</v>
      </c>
      <c r="E40" s="13">
        <v>8</v>
      </c>
    </row>
    <row r="41" spans="1:5" x14ac:dyDescent="0.3">
      <c r="A41" s="2" t="s">
        <v>677</v>
      </c>
      <c r="B41" s="6">
        <v>2</v>
      </c>
      <c r="D41" s="17" t="s">
        <v>677</v>
      </c>
      <c r="E41" s="12">
        <v>2</v>
      </c>
    </row>
    <row r="42" spans="1:5" x14ac:dyDescent="0.3">
      <c r="A42" s="2" t="s">
        <v>678</v>
      </c>
      <c r="B42" s="6">
        <v>8</v>
      </c>
      <c r="D42" s="16" t="s">
        <v>678</v>
      </c>
      <c r="E42" s="13">
        <v>8</v>
      </c>
    </row>
    <row r="43" spans="1:5" x14ac:dyDescent="0.3">
      <c r="A43" s="2" t="s">
        <v>679</v>
      </c>
      <c r="B43" s="6">
        <v>8</v>
      </c>
      <c r="D43" s="17" t="s">
        <v>679</v>
      </c>
      <c r="E43" s="12">
        <v>8</v>
      </c>
    </row>
    <row r="44" spans="1:5" x14ac:dyDescent="0.3">
      <c r="A44" s="2" t="s">
        <v>680</v>
      </c>
      <c r="B44" s="6">
        <v>2</v>
      </c>
      <c r="D44" s="16" t="s">
        <v>680</v>
      </c>
      <c r="E44" s="13">
        <v>2</v>
      </c>
    </row>
    <row r="45" spans="1:5" x14ac:dyDescent="0.3">
      <c r="A45" s="2" t="s">
        <v>681</v>
      </c>
      <c r="B45" s="6">
        <v>4</v>
      </c>
      <c r="D45" s="17" t="s">
        <v>681</v>
      </c>
      <c r="E45" s="12">
        <v>4</v>
      </c>
    </row>
    <row r="46" spans="1:5" x14ac:dyDescent="0.3">
      <c r="A46" s="2" t="s">
        <v>682</v>
      </c>
      <c r="B46" s="6">
        <v>2</v>
      </c>
      <c r="D46" s="16" t="s">
        <v>682</v>
      </c>
      <c r="E46" s="13">
        <v>2</v>
      </c>
    </row>
    <row r="47" spans="1:5" x14ac:dyDescent="0.3">
      <c r="A47" s="2" t="s">
        <v>683</v>
      </c>
      <c r="B47" s="6">
        <v>2</v>
      </c>
      <c r="D47" s="17" t="s">
        <v>683</v>
      </c>
      <c r="E47" s="12">
        <v>2</v>
      </c>
    </row>
    <row r="48" spans="1:5" x14ac:dyDescent="0.3">
      <c r="A48" s="2" t="s">
        <v>684</v>
      </c>
      <c r="B48" s="6">
        <v>18</v>
      </c>
      <c r="D48" s="16" t="s">
        <v>684</v>
      </c>
      <c r="E48" s="13">
        <v>18</v>
      </c>
    </row>
    <row r="49" spans="1:5" x14ac:dyDescent="0.3">
      <c r="A49" s="2" t="s">
        <v>685</v>
      </c>
      <c r="B49" s="6">
        <v>14</v>
      </c>
      <c r="D49" s="17" t="s">
        <v>685</v>
      </c>
      <c r="E49" s="12">
        <v>14</v>
      </c>
    </row>
    <row r="50" spans="1:5" x14ac:dyDescent="0.3">
      <c r="A50" s="2" t="s">
        <v>686</v>
      </c>
      <c r="B50" s="6">
        <v>2</v>
      </c>
      <c r="D50" s="16" t="s">
        <v>686</v>
      </c>
      <c r="E50" s="13">
        <v>2</v>
      </c>
    </row>
    <row r="51" spans="1:5" x14ac:dyDescent="0.3">
      <c r="A51" s="2" t="s">
        <v>687</v>
      </c>
      <c r="B51" s="6">
        <v>8</v>
      </c>
      <c r="D51" s="17" t="s">
        <v>687</v>
      </c>
      <c r="E51" s="12">
        <v>8</v>
      </c>
    </row>
    <row r="52" spans="1:5" x14ac:dyDescent="0.3">
      <c r="A52" s="2" t="s">
        <v>688</v>
      </c>
      <c r="B52" s="6">
        <v>10</v>
      </c>
      <c r="D52" s="16" t="s">
        <v>688</v>
      </c>
      <c r="E52" s="13">
        <v>10</v>
      </c>
    </row>
    <row r="53" spans="1:5" x14ac:dyDescent="0.3">
      <c r="A53" s="2" t="s">
        <v>689</v>
      </c>
      <c r="B53" s="6">
        <v>10</v>
      </c>
      <c r="D53" s="17" t="s">
        <v>689</v>
      </c>
      <c r="E53" s="12">
        <v>10</v>
      </c>
    </row>
    <row r="54" spans="1:5" x14ac:dyDescent="0.3">
      <c r="A54" s="2" t="s">
        <v>690</v>
      </c>
      <c r="B54" s="6">
        <v>10</v>
      </c>
      <c r="D54" s="16" t="s">
        <v>690</v>
      </c>
      <c r="E54" s="13">
        <v>10</v>
      </c>
    </row>
    <row r="55" spans="1:5" x14ac:dyDescent="0.3">
      <c r="A55" s="2" t="s">
        <v>691</v>
      </c>
      <c r="B55" s="6">
        <v>4</v>
      </c>
      <c r="D55" s="17" t="s">
        <v>691</v>
      </c>
      <c r="E55" s="12">
        <v>4</v>
      </c>
    </row>
    <row r="56" spans="1:5" x14ac:dyDescent="0.3">
      <c r="A56" s="2" t="s">
        <v>692</v>
      </c>
      <c r="B56" s="6">
        <v>2</v>
      </c>
      <c r="D56" s="16" t="s">
        <v>692</v>
      </c>
      <c r="E56" s="13">
        <v>2</v>
      </c>
    </row>
    <row r="57" spans="1:5" x14ac:dyDescent="0.3">
      <c r="A57" s="2" t="s">
        <v>693</v>
      </c>
      <c r="B57" s="6">
        <v>2</v>
      </c>
      <c r="D57" s="17" t="s">
        <v>693</v>
      </c>
      <c r="E57" s="12">
        <v>2</v>
      </c>
    </row>
    <row r="58" spans="1:5" x14ac:dyDescent="0.3">
      <c r="A58" s="2" t="s">
        <v>694</v>
      </c>
      <c r="B58" s="6">
        <v>18</v>
      </c>
      <c r="D58" s="16" t="s">
        <v>694</v>
      </c>
      <c r="E58" s="13">
        <v>18</v>
      </c>
    </row>
    <row r="59" spans="1:5" x14ac:dyDescent="0.3">
      <c r="A59" s="2" t="s">
        <v>695</v>
      </c>
      <c r="B59" s="6">
        <v>28</v>
      </c>
      <c r="D59" s="17" t="s">
        <v>695</v>
      </c>
      <c r="E59" s="12">
        <v>28</v>
      </c>
    </row>
    <row r="60" spans="1:5" x14ac:dyDescent="0.3">
      <c r="A60" s="2" t="s">
        <v>696</v>
      </c>
      <c r="B60" s="6">
        <v>24</v>
      </c>
      <c r="D60" s="16" t="s">
        <v>696</v>
      </c>
      <c r="E60" s="13">
        <v>24</v>
      </c>
    </row>
    <row r="61" spans="1:5" x14ac:dyDescent="0.3">
      <c r="A61" s="2" t="s">
        <v>697</v>
      </c>
      <c r="B61" s="6">
        <v>6</v>
      </c>
      <c r="D61" s="17" t="s">
        <v>697</v>
      </c>
      <c r="E61" s="12">
        <v>6</v>
      </c>
    </row>
    <row r="62" spans="1:5" x14ac:dyDescent="0.3">
      <c r="A62" s="2" t="s">
        <v>698</v>
      </c>
      <c r="B62" s="6">
        <v>4</v>
      </c>
      <c r="D62" s="16" t="s">
        <v>698</v>
      </c>
      <c r="E62" s="13">
        <v>4</v>
      </c>
    </row>
    <row r="63" spans="1:5" x14ac:dyDescent="0.3">
      <c r="A63" s="2" t="s">
        <v>699</v>
      </c>
      <c r="B63" s="6">
        <v>14</v>
      </c>
      <c r="D63" s="17" t="s">
        <v>699</v>
      </c>
      <c r="E63" s="12">
        <v>14</v>
      </c>
    </row>
    <row r="64" spans="1:5" x14ac:dyDescent="0.3">
      <c r="A64" s="2" t="s">
        <v>700</v>
      </c>
      <c r="B64" s="6">
        <v>8</v>
      </c>
      <c r="D64" s="16" t="s">
        <v>700</v>
      </c>
      <c r="E64" s="13">
        <v>8</v>
      </c>
    </row>
    <row r="65" spans="1:5" x14ac:dyDescent="0.3">
      <c r="A65" s="2" t="s">
        <v>701</v>
      </c>
      <c r="B65" s="6">
        <v>12</v>
      </c>
      <c r="D65" s="17" t="s">
        <v>701</v>
      </c>
      <c r="E65" s="12">
        <v>12</v>
      </c>
    </row>
    <row r="66" spans="1:5" x14ac:dyDescent="0.3">
      <c r="A66" s="2" t="s">
        <v>702</v>
      </c>
      <c r="B66" s="6">
        <v>6</v>
      </c>
      <c r="D66" s="16" t="s">
        <v>702</v>
      </c>
      <c r="E66" s="13">
        <v>6</v>
      </c>
    </row>
    <row r="67" spans="1:5" x14ac:dyDescent="0.3">
      <c r="A67" s="2" t="s">
        <v>706</v>
      </c>
      <c r="B67" s="6">
        <v>14</v>
      </c>
      <c r="D67" s="17" t="s">
        <v>706</v>
      </c>
      <c r="E67" s="12">
        <v>14</v>
      </c>
    </row>
    <row r="68" spans="1:5" x14ac:dyDescent="0.3">
      <c r="A68" s="2" t="s">
        <v>707</v>
      </c>
      <c r="B68" s="6">
        <v>4</v>
      </c>
      <c r="D68" s="16" t="s">
        <v>707</v>
      </c>
      <c r="E68" s="13">
        <v>4</v>
      </c>
    </row>
    <row r="69" spans="1:5" x14ac:dyDescent="0.3">
      <c r="A69" s="2" t="s">
        <v>708</v>
      </c>
      <c r="B69" s="6">
        <v>12</v>
      </c>
      <c r="D69" s="17" t="s">
        <v>708</v>
      </c>
      <c r="E69" s="12">
        <v>12</v>
      </c>
    </row>
    <row r="70" spans="1:5" x14ac:dyDescent="0.3">
      <c r="A70" s="2" t="s">
        <v>709</v>
      </c>
      <c r="B70" s="6">
        <v>8</v>
      </c>
      <c r="D70" s="16" t="s">
        <v>709</v>
      </c>
      <c r="E70" s="13">
        <v>8</v>
      </c>
    </row>
    <row r="71" spans="1:5" x14ac:dyDescent="0.3">
      <c r="A71" s="2" t="s">
        <v>710</v>
      </c>
      <c r="B71" s="6">
        <v>16</v>
      </c>
      <c r="D71" s="17" t="s">
        <v>710</v>
      </c>
      <c r="E71" s="12">
        <v>16</v>
      </c>
    </row>
    <row r="72" spans="1:5" x14ac:dyDescent="0.3">
      <c r="A72" s="2" t="s">
        <v>711</v>
      </c>
      <c r="B72" s="6">
        <v>2</v>
      </c>
      <c r="D72" s="16" t="s">
        <v>711</v>
      </c>
      <c r="E72" s="13">
        <v>2</v>
      </c>
    </row>
    <row r="73" spans="1:5" x14ac:dyDescent="0.3">
      <c r="A73" s="2" t="s">
        <v>712</v>
      </c>
      <c r="B73" s="6">
        <v>12</v>
      </c>
      <c r="D73" s="17" t="s">
        <v>712</v>
      </c>
      <c r="E73" s="12">
        <v>12</v>
      </c>
    </row>
    <row r="74" spans="1:5" x14ac:dyDescent="0.3">
      <c r="A74" s="2" t="s">
        <v>713</v>
      </c>
      <c r="B74" s="6">
        <v>22</v>
      </c>
      <c r="D74" s="16" t="s">
        <v>713</v>
      </c>
      <c r="E74" s="13">
        <v>22</v>
      </c>
    </row>
    <row r="75" spans="1:5" x14ac:dyDescent="0.3">
      <c r="A75" s="2" t="s">
        <v>714</v>
      </c>
      <c r="B75" s="6">
        <v>4</v>
      </c>
      <c r="D75" s="17" t="s">
        <v>714</v>
      </c>
      <c r="E75" s="12">
        <v>4</v>
      </c>
    </row>
    <row r="76" spans="1:5" x14ac:dyDescent="0.3">
      <c r="A76" s="2" t="s">
        <v>715</v>
      </c>
      <c r="B76" s="6">
        <v>8</v>
      </c>
      <c r="D76" s="16" t="s">
        <v>715</v>
      </c>
      <c r="E76" s="13">
        <v>8</v>
      </c>
    </row>
    <row r="77" spans="1:5" x14ac:dyDescent="0.3">
      <c r="A77" s="2" t="s">
        <v>716</v>
      </c>
      <c r="B77" s="6">
        <v>8</v>
      </c>
      <c r="D77" s="17" t="s">
        <v>716</v>
      </c>
      <c r="E77" s="12">
        <v>8</v>
      </c>
    </row>
    <row r="78" spans="1:5" x14ac:dyDescent="0.3">
      <c r="A78" s="2" t="s">
        <v>717</v>
      </c>
      <c r="B78" s="6">
        <v>2</v>
      </c>
      <c r="D78" s="16" t="s">
        <v>717</v>
      </c>
      <c r="E78" s="13">
        <v>2</v>
      </c>
    </row>
    <row r="79" spans="1:5" x14ac:dyDescent="0.3">
      <c r="A79" s="2" t="s">
        <v>718</v>
      </c>
      <c r="B79" s="6">
        <v>6</v>
      </c>
      <c r="D79" s="17" t="s">
        <v>718</v>
      </c>
      <c r="E79" s="12">
        <v>6</v>
      </c>
    </row>
    <row r="80" spans="1:5" x14ac:dyDescent="0.3">
      <c r="A80" s="2" t="s">
        <v>719</v>
      </c>
      <c r="B80" s="6">
        <v>2</v>
      </c>
      <c r="D80" s="16" t="s">
        <v>719</v>
      </c>
      <c r="E80" s="13">
        <v>2</v>
      </c>
    </row>
    <row r="81" spans="1:5" x14ac:dyDescent="0.3">
      <c r="A81" s="2" t="s">
        <v>720</v>
      </c>
      <c r="B81" s="6">
        <v>2</v>
      </c>
      <c r="D81" s="17" t="s">
        <v>720</v>
      </c>
      <c r="E81" s="12">
        <v>2</v>
      </c>
    </row>
    <row r="82" spans="1:5" x14ac:dyDescent="0.3">
      <c r="A82" s="2" t="s">
        <v>721</v>
      </c>
      <c r="B82" s="6">
        <v>12</v>
      </c>
      <c r="D82" s="16" t="s">
        <v>721</v>
      </c>
      <c r="E82" s="13">
        <v>12</v>
      </c>
    </row>
    <row r="83" spans="1:5" x14ac:dyDescent="0.3">
      <c r="A83" s="2" t="s">
        <v>722</v>
      </c>
      <c r="B83" s="6">
        <v>40</v>
      </c>
      <c r="D83" s="17" t="s">
        <v>722</v>
      </c>
      <c r="E83" s="12">
        <v>40</v>
      </c>
    </row>
    <row r="84" spans="1:5" x14ac:dyDescent="0.3">
      <c r="A84" s="2" t="s">
        <v>723</v>
      </c>
      <c r="B84" s="6">
        <v>16</v>
      </c>
      <c r="D84" s="16" t="s">
        <v>723</v>
      </c>
      <c r="E84" s="13">
        <v>16</v>
      </c>
    </row>
    <row r="85" spans="1:5" x14ac:dyDescent="0.3">
      <c r="A85" s="2" t="s">
        <v>724</v>
      </c>
      <c r="B85" s="6">
        <v>4</v>
      </c>
      <c r="D85" s="17" t="s">
        <v>724</v>
      </c>
      <c r="E85" s="12">
        <v>4</v>
      </c>
    </row>
    <row r="86" spans="1:5" x14ac:dyDescent="0.3">
      <c r="A86" s="2" t="s">
        <v>725</v>
      </c>
      <c r="B86" s="6">
        <v>18</v>
      </c>
      <c r="D86" s="16" t="s">
        <v>725</v>
      </c>
      <c r="E86" s="13">
        <v>18</v>
      </c>
    </row>
    <row r="87" spans="1:5" x14ac:dyDescent="0.3">
      <c r="A87" s="2" t="s">
        <v>726</v>
      </c>
      <c r="B87" s="6">
        <v>2</v>
      </c>
      <c r="D87" s="17" t="s">
        <v>726</v>
      </c>
      <c r="E87" s="12">
        <v>2</v>
      </c>
    </row>
    <row r="88" spans="1:5" x14ac:dyDescent="0.3">
      <c r="A88" s="2" t="s">
        <v>727</v>
      </c>
      <c r="B88" s="6">
        <v>2</v>
      </c>
      <c r="D88" s="16" t="s">
        <v>727</v>
      </c>
      <c r="E88" s="13">
        <v>2</v>
      </c>
    </row>
    <row r="89" spans="1:5" x14ac:dyDescent="0.3">
      <c r="A89" s="2" t="s">
        <v>728</v>
      </c>
      <c r="B89" s="6">
        <v>10</v>
      </c>
      <c r="D89" s="17" t="s">
        <v>728</v>
      </c>
      <c r="E89" s="12">
        <v>10</v>
      </c>
    </row>
    <row r="90" spans="1:5" x14ac:dyDescent="0.3">
      <c r="A90" s="2" t="s">
        <v>729</v>
      </c>
      <c r="B90" s="6">
        <v>12</v>
      </c>
      <c r="D90" s="16" t="s">
        <v>729</v>
      </c>
      <c r="E90" s="13">
        <v>12</v>
      </c>
    </row>
    <row r="91" spans="1:5" x14ac:dyDescent="0.3">
      <c r="A91" s="2" t="s">
        <v>730</v>
      </c>
      <c r="B91" s="6">
        <v>18</v>
      </c>
      <c r="D91" s="17" t="s">
        <v>730</v>
      </c>
      <c r="E91" s="12">
        <v>18</v>
      </c>
    </row>
    <row r="92" spans="1:5" x14ac:dyDescent="0.3">
      <c r="A92" s="2" t="s">
        <v>731</v>
      </c>
      <c r="B92" s="6">
        <v>24</v>
      </c>
      <c r="D92" s="16" t="s">
        <v>731</v>
      </c>
      <c r="E92" s="13">
        <v>24</v>
      </c>
    </row>
    <row r="93" spans="1:5" x14ac:dyDescent="0.3">
      <c r="A93" s="2" t="s">
        <v>732</v>
      </c>
      <c r="B93" s="6">
        <v>2</v>
      </c>
      <c r="D93" s="17" t="s">
        <v>732</v>
      </c>
      <c r="E93" s="12">
        <v>2</v>
      </c>
    </row>
    <row r="94" spans="1:5" x14ac:dyDescent="0.3">
      <c r="A94" s="2" t="s">
        <v>733</v>
      </c>
      <c r="B94" s="6">
        <v>4</v>
      </c>
      <c r="D94" s="16" t="s">
        <v>733</v>
      </c>
      <c r="E94" s="13">
        <v>4</v>
      </c>
    </row>
    <row r="95" spans="1:5" x14ac:dyDescent="0.3">
      <c r="A95" s="2" t="s">
        <v>734</v>
      </c>
      <c r="B95" s="6">
        <v>24</v>
      </c>
      <c r="D95" s="17" t="s">
        <v>734</v>
      </c>
      <c r="E95" s="12">
        <v>24</v>
      </c>
    </row>
    <row r="96" spans="1:5" x14ac:dyDescent="0.3">
      <c r="A96" s="2" t="s">
        <v>735</v>
      </c>
      <c r="B96" s="6">
        <v>8</v>
      </c>
      <c r="D96" s="16" t="s">
        <v>735</v>
      </c>
      <c r="E96" s="13">
        <v>8</v>
      </c>
    </row>
    <row r="97" spans="1:5" x14ac:dyDescent="0.3">
      <c r="A97" s="2" t="s">
        <v>736</v>
      </c>
      <c r="B97" s="6">
        <v>8</v>
      </c>
      <c r="D97" s="17" t="s">
        <v>736</v>
      </c>
      <c r="E97" s="12">
        <v>8</v>
      </c>
    </row>
    <row r="98" spans="1:5" x14ac:dyDescent="0.3">
      <c r="A98" s="2" t="s">
        <v>737</v>
      </c>
      <c r="B98" s="6">
        <v>10</v>
      </c>
      <c r="D98" s="16" t="s">
        <v>737</v>
      </c>
      <c r="E98" s="13">
        <v>10</v>
      </c>
    </row>
    <row r="99" spans="1:5" x14ac:dyDescent="0.3">
      <c r="A99" s="2" t="s">
        <v>738</v>
      </c>
      <c r="B99" s="6">
        <v>4</v>
      </c>
      <c r="D99" s="17" t="s">
        <v>738</v>
      </c>
      <c r="E99" s="12">
        <v>4</v>
      </c>
    </row>
    <row r="100" spans="1:5" x14ac:dyDescent="0.3">
      <c r="A100" s="2" t="s">
        <v>739</v>
      </c>
      <c r="B100" s="6">
        <v>2</v>
      </c>
      <c r="D100" s="16" t="s">
        <v>739</v>
      </c>
      <c r="E100" s="13">
        <v>2</v>
      </c>
    </row>
    <row r="101" spans="1:5" x14ac:dyDescent="0.3">
      <c r="A101" s="2" t="s">
        <v>740</v>
      </c>
      <c r="B101" s="6">
        <v>14</v>
      </c>
      <c r="D101" s="17" t="s">
        <v>740</v>
      </c>
      <c r="E101" s="12">
        <v>14</v>
      </c>
    </row>
    <row r="102" spans="1:5" x14ac:dyDescent="0.3">
      <c r="A102" s="2" t="s">
        <v>741</v>
      </c>
      <c r="B102" s="6">
        <v>2</v>
      </c>
      <c r="D102" s="16" t="s">
        <v>741</v>
      </c>
      <c r="E102" s="13">
        <v>2</v>
      </c>
    </row>
    <row r="103" spans="1:5" x14ac:dyDescent="0.3">
      <c r="A103" s="2" t="s">
        <v>742</v>
      </c>
      <c r="B103" s="6">
        <v>6</v>
      </c>
      <c r="D103" s="17" t="s">
        <v>742</v>
      </c>
      <c r="E103" s="12">
        <v>6</v>
      </c>
    </row>
    <row r="104" spans="1:5" x14ac:dyDescent="0.3">
      <c r="A104" s="2" t="s">
        <v>743</v>
      </c>
      <c r="B104" s="6">
        <v>10</v>
      </c>
      <c r="D104" s="16" t="s">
        <v>743</v>
      </c>
      <c r="E104" s="13">
        <v>10</v>
      </c>
    </row>
    <row r="105" spans="1:5" x14ac:dyDescent="0.3">
      <c r="A105" s="2" t="s">
        <v>744</v>
      </c>
      <c r="B105" s="6">
        <v>10</v>
      </c>
      <c r="D105" s="17" t="s">
        <v>744</v>
      </c>
      <c r="E105" s="12">
        <v>10</v>
      </c>
    </row>
    <row r="106" spans="1:5" x14ac:dyDescent="0.3">
      <c r="A106" s="2" t="s">
        <v>745</v>
      </c>
      <c r="B106" s="6">
        <v>6</v>
      </c>
      <c r="D106" s="16" t="s">
        <v>745</v>
      </c>
      <c r="E106" s="13">
        <v>6</v>
      </c>
    </row>
    <row r="107" spans="1:5" x14ac:dyDescent="0.3">
      <c r="A107" s="2" t="s">
        <v>746</v>
      </c>
      <c r="B107" s="6">
        <v>8</v>
      </c>
      <c r="D107" s="17" t="s">
        <v>746</v>
      </c>
      <c r="E107" s="12">
        <v>8</v>
      </c>
    </row>
    <row r="108" spans="1:5" x14ac:dyDescent="0.3">
      <c r="A108" s="2" t="s">
        <v>747</v>
      </c>
      <c r="B108" s="6">
        <v>6</v>
      </c>
      <c r="D108" s="16" t="s">
        <v>747</v>
      </c>
      <c r="E108" s="13">
        <v>6</v>
      </c>
    </row>
    <row r="109" spans="1:5" x14ac:dyDescent="0.3">
      <c r="A109" s="2" t="s">
        <v>748</v>
      </c>
      <c r="B109" s="6">
        <v>8</v>
      </c>
      <c r="D109" s="17" t="s">
        <v>748</v>
      </c>
      <c r="E109" s="12">
        <v>8</v>
      </c>
    </row>
    <row r="110" spans="1:5" x14ac:dyDescent="0.3">
      <c r="A110" s="2" t="s">
        <v>749</v>
      </c>
      <c r="B110" s="6">
        <v>8</v>
      </c>
      <c r="D110" s="16" t="s">
        <v>749</v>
      </c>
      <c r="E110" s="13">
        <v>8</v>
      </c>
    </row>
    <row r="111" spans="1:5" x14ac:dyDescent="0.3">
      <c r="A111" s="2" t="s">
        <v>750</v>
      </c>
      <c r="B111" s="6">
        <v>8</v>
      </c>
      <c r="D111" s="17" t="s">
        <v>750</v>
      </c>
      <c r="E111" s="12">
        <v>8</v>
      </c>
    </row>
    <row r="112" spans="1:5" x14ac:dyDescent="0.3">
      <c r="A112" s="2" t="s">
        <v>751</v>
      </c>
      <c r="B112" s="6">
        <v>12</v>
      </c>
      <c r="D112" s="16" t="s">
        <v>751</v>
      </c>
      <c r="E112" s="13">
        <v>12</v>
      </c>
    </row>
    <row r="113" spans="1:5" x14ac:dyDescent="0.3">
      <c r="A113" s="2" t="s">
        <v>752</v>
      </c>
      <c r="B113" s="6">
        <v>20</v>
      </c>
      <c r="D113" s="17" t="s">
        <v>752</v>
      </c>
      <c r="E113" s="12">
        <v>20</v>
      </c>
    </row>
    <row r="114" spans="1:5" x14ac:dyDescent="0.3">
      <c r="A114" s="2" t="s">
        <v>753</v>
      </c>
      <c r="B114" s="6">
        <v>2</v>
      </c>
      <c r="D114" s="16" t="s">
        <v>753</v>
      </c>
      <c r="E114" s="13">
        <v>2</v>
      </c>
    </row>
    <row r="115" spans="1:5" x14ac:dyDescent="0.3">
      <c r="A115" s="2" t="s">
        <v>754</v>
      </c>
      <c r="B115" s="6">
        <v>4</v>
      </c>
      <c r="D115" s="17" t="s">
        <v>754</v>
      </c>
      <c r="E115" s="12">
        <v>4</v>
      </c>
    </row>
    <row r="116" spans="1:5" x14ac:dyDescent="0.3">
      <c r="A116" s="2" t="s">
        <v>755</v>
      </c>
      <c r="B116" s="6">
        <v>8</v>
      </c>
      <c r="D116" s="16" t="s">
        <v>755</v>
      </c>
      <c r="E116" s="13">
        <v>8</v>
      </c>
    </row>
    <row r="117" spans="1:5" x14ac:dyDescent="0.3">
      <c r="A117" s="2" t="s">
        <v>756</v>
      </c>
      <c r="B117" s="6">
        <v>2</v>
      </c>
      <c r="D117" s="17" t="s">
        <v>756</v>
      </c>
      <c r="E117" s="12">
        <v>2</v>
      </c>
    </row>
    <row r="118" spans="1:5" x14ac:dyDescent="0.3">
      <c r="A118" s="2" t="s">
        <v>757</v>
      </c>
      <c r="B118" s="6">
        <v>2</v>
      </c>
      <c r="D118" s="16" t="s">
        <v>757</v>
      </c>
      <c r="E118" s="13">
        <v>2</v>
      </c>
    </row>
    <row r="119" spans="1:5" x14ac:dyDescent="0.3">
      <c r="A119" s="2" t="s">
        <v>758</v>
      </c>
      <c r="B119" s="6">
        <v>2</v>
      </c>
      <c r="D119" s="17" t="s">
        <v>758</v>
      </c>
      <c r="E119" s="12">
        <v>2</v>
      </c>
    </row>
    <row r="120" spans="1:5" x14ac:dyDescent="0.3">
      <c r="A120" s="2" t="s">
        <v>759</v>
      </c>
      <c r="B120" s="6">
        <v>8</v>
      </c>
      <c r="D120" s="16" t="s">
        <v>759</v>
      </c>
      <c r="E120" s="13">
        <v>8</v>
      </c>
    </row>
    <row r="121" spans="1:5" x14ac:dyDescent="0.3">
      <c r="A121" s="2" t="s">
        <v>760</v>
      </c>
      <c r="B121" s="6">
        <v>6</v>
      </c>
      <c r="D121" s="17" t="s">
        <v>760</v>
      </c>
      <c r="E121" s="12">
        <v>6</v>
      </c>
    </row>
    <row r="122" spans="1:5" x14ac:dyDescent="0.3">
      <c r="A122" s="2" t="s">
        <v>761</v>
      </c>
      <c r="B122" s="6">
        <v>8</v>
      </c>
      <c r="D122" s="16" t="s">
        <v>761</v>
      </c>
      <c r="E122" s="13">
        <v>8</v>
      </c>
    </row>
    <row r="123" spans="1:5" x14ac:dyDescent="0.3">
      <c r="A123" s="2" t="s">
        <v>762</v>
      </c>
      <c r="B123" s="6">
        <v>2</v>
      </c>
      <c r="D123" s="17" t="s">
        <v>762</v>
      </c>
      <c r="E123" s="12">
        <v>2</v>
      </c>
    </row>
    <row r="124" spans="1:5" x14ac:dyDescent="0.3">
      <c r="A124" s="2" t="s">
        <v>763</v>
      </c>
      <c r="B124" s="6">
        <v>12</v>
      </c>
      <c r="D124" s="16" t="s">
        <v>763</v>
      </c>
      <c r="E124" s="13">
        <v>12</v>
      </c>
    </row>
    <row r="125" spans="1:5" x14ac:dyDescent="0.3">
      <c r="A125" s="2" t="s">
        <v>764</v>
      </c>
      <c r="B125" s="6">
        <v>10</v>
      </c>
      <c r="D125" s="17" t="s">
        <v>764</v>
      </c>
      <c r="E125" s="12">
        <v>10</v>
      </c>
    </row>
    <row r="126" spans="1:5" x14ac:dyDescent="0.3">
      <c r="A126" s="2" t="s">
        <v>765</v>
      </c>
      <c r="B126" s="6">
        <v>12</v>
      </c>
      <c r="D126" s="16" t="s">
        <v>765</v>
      </c>
      <c r="E126" s="13">
        <v>12</v>
      </c>
    </row>
    <row r="127" spans="1:5" x14ac:dyDescent="0.3">
      <c r="A127" s="2" t="s">
        <v>766</v>
      </c>
      <c r="B127" s="6">
        <v>16</v>
      </c>
      <c r="D127" s="17" t="s">
        <v>766</v>
      </c>
      <c r="E127" s="12">
        <v>16</v>
      </c>
    </row>
    <row r="128" spans="1:5" x14ac:dyDescent="0.3">
      <c r="A128" s="2" t="s">
        <v>767</v>
      </c>
      <c r="B128" s="6">
        <v>2</v>
      </c>
      <c r="D128" s="16" t="s">
        <v>767</v>
      </c>
      <c r="E128" s="13">
        <v>2</v>
      </c>
    </row>
    <row r="129" spans="1:5" x14ac:dyDescent="0.3">
      <c r="A129" s="2" t="s">
        <v>768</v>
      </c>
      <c r="B129" s="6">
        <v>54</v>
      </c>
      <c r="D129" s="17" t="s">
        <v>768</v>
      </c>
      <c r="E129" s="12">
        <v>54</v>
      </c>
    </row>
    <row r="130" spans="1:5" x14ac:dyDescent="0.3">
      <c r="A130" s="2" t="s">
        <v>769</v>
      </c>
      <c r="B130" s="6">
        <v>2</v>
      </c>
      <c r="D130" s="16" t="s">
        <v>769</v>
      </c>
      <c r="E130" s="13">
        <v>2</v>
      </c>
    </row>
    <row r="131" spans="1:5" x14ac:dyDescent="0.3">
      <c r="A131" s="2" t="s">
        <v>770</v>
      </c>
      <c r="B131" s="6">
        <v>4</v>
      </c>
      <c r="D131" s="17" t="s">
        <v>770</v>
      </c>
      <c r="E131" s="12">
        <v>4</v>
      </c>
    </row>
    <row r="132" spans="1:5" x14ac:dyDescent="0.3">
      <c r="A132" s="2" t="s">
        <v>771</v>
      </c>
      <c r="B132" s="6">
        <v>4</v>
      </c>
      <c r="D132" s="16" t="s">
        <v>771</v>
      </c>
      <c r="E132" s="13">
        <v>4</v>
      </c>
    </row>
    <row r="133" spans="1:5" x14ac:dyDescent="0.3">
      <c r="A133" s="2" t="s">
        <v>772</v>
      </c>
      <c r="B133" s="6">
        <v>2</v>
      </c>
      <c r="D133" s="17" t="s">
        <v>772</v>
      </c>
      <c r="E133" s="12">
        <v>2</v>
      </c>
    </row>
    <row r="134" spans="1:5" x14ac:dyDescent="0.3">
      <c r="A134" s="2" t="s">
        <v>773</v>
      </c>
      <c r="B134" s="6">
        <v>8</v>
      </c>
      <c r="D134" s="16" t="s">
        <v>773</v>
      </c>
      <c r="E134" s="13">
        <v>8</v>
      </c>
    </row>
    <row r="135" spans="1:5" x14ac:dyDescent="0.3">
      <c r="A135" s="2" t="s">
        <v>774</v>
      </c>
      <c r="B135" s="6">
        <v>8</v>
      </c>
      <c r="D135" s="17" t="s">
        <v>774</v>
      </c>
      <c r="E135" s="12">
        <v>8</v>
      </c>
    </row>
    <row r="136" spans="1:5" x14ac:dyDescent="0.3">
      <c r="A136" s="2" t="s">
        <v>775</v>
      </c>
      <c r="B136" s="6">
        <v>20</v>
      </c>
      <c r="D136" s="16" t="s">
        <v>775</v>
      </c>
      <c r="E136" s="13">
        <v>20</v>
      </c>
    </row>
    <row r="137" spans="1:5" x14ac:dyDescent="0.3">
      <c r="A137" s="2" t="s">
        <v>776</v>
      </c>
      <c r="B137" s="6">
        <v>4</v>
      </c>
      <c r="D137" s="17" t="s">
        <v>776</v>
      </c>
      <c r="E137" s="12">
        <v>4</v>
      </c>
    </row>
    <row r="138" spans="1:5" x14ac:dyDescent="0.3">
      <c r="A138" s="2" t="s">
        <v>777</v>
      </c>
      <c r="B138" s="6">
        <v>32</v>
      </c>
      <c r="D138" s="16" t="s">
        <v>777</v>
      </c>
      <c r="E138" s="13">
        <v>32</v>
      </c>
    </row>
    <row r="139" spans="1:5" x14ac:dyDescent="0.3">
      <c r="A139" s="2" t="s">
        <v>778</v>
      </c>
      <c r="B139" s="6">
        <v>6</v>
      </c>
      <c r="D139" s="17" t="s">
        <v>778</v>
      </c>
      <c r="E139" s="12">
        <v>6</v>
      </c>
    </row>
    <row r="140" spans="1:5" x14ac:dyDescent="0.3">
      <c r="A140" s="2" t="s">
        <v>779</v>
      </c>
      <c r="B140" s="6">
        <v>14</v>
      </c>
      <c r="D140" s="16" t="s">
        <v>779</v>
      </c>
      <c r="E140" s="13">
        <v>14</v>
      </c>
    </row>
    <row r="141" spans="1:5" x14ac:dyDescent="0.3">
      <c r="A141" s="2" t="s">
        <v>780</v>
      </c>
      <c r="B141" s="6">
        <v>24</v>
      </c>
      <c r="D141" s="17" t="s">
        <v>780</v>
      </c>
      <c r="E141" s="12">
        <v>24</v>
      </c>
    </row>
    <row r="142" spans="1:5" x14ac:dyDescent="0.3">
      <c r="A142" s="2" t="s">
        <v>781</v>
      </c>
      <c r="B142" s="6">
        <v>8</v>
      </c>
      <c r="D142" s="16" t="s">
        <v>781</v>
      </c>
      <c r="E142" s="13">
        <v>8</v>
      </c>
    </row>
    <row r="143" spans="1:5" x14ac:dyDescent="0.3">
      <c r="A143" s="2" t="s">
        <v>782</v>
      </c>
      <c r="B143" s="6">
        <v>2</v>
      </c>
      <c r="D143" s="17" t="s">
        <v>782</v>
      </c>
      <c r="E143" s="12">
        <v>2</v>
      </c>
    </row>
    <row r="144" spans="1:5" x14ac:dyDescent="0.3">
      <c r="A144" s="2" t="s">
        <v>783</v>
      </c>
      <c r="B144" s="6">
        <v>2</v>
      </c>
      <c r="D144" s="16" t="s">
        <v>783</v>
      </c>
      <c r="E144" s="13">
        <v>2</v>
      </c>
    </row>
    <row r="145" spans="1:5" ht="15" thickBot="1" x14ac:dyDescent="0.35">
      <c r="A145" s="2" t="s">
        <v>784</v>
      </c>
      <c r="B145" s="6">
        <v>12</v>
      </c>
      <c r="D145" s="18" t="s">
        <v>784</v>
      </c>
      <c r="E145" s="15">
        <v>12</v>
      </c>
    </row>
    <row r="146" spans="1:5" x14ac:dyDescent="0.3">
      <c r="A146" s="2" t="s">
        <v>640</v>
      </c>
      <c r="B146" s="6">
        <v>1278</v>
      </c>
    </row>
  </sheetData>
  <autoFilter ref="D4:E4" xr:uid="{E2969856-A51F-43FB-AED1-D942FE4127F0}"/>
  <phoneticPr fontId="2" type="noConversion"/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FC582-35B8-450D-9F71-943063FCB0AF}">
  <dimension ref="A1:V144"/>
  <sheetViews>
    <sheetView topLeftCell="P1" workbookViewId="0">
      <selection activeCell="U18" sqref="U18"/>
    </sheetView>
  </sheetViews>
  <sheetFormatPr defaultRowHeight="14.4" x14ac:dyDescent="0.3"/>
  <cols>
    <col min="1" max="1" width="16.77734375" hidden="1" customWidth="1"/>
    <col min="2" max="2" width="18.109375" hidden="1" customWidth="1"/>
    <col min="3" max="3" width="8.77734375" hidden="1" customWidth="1"/>
    <col min="4" max="4" width="6.109375" hidden="1" customWidth="1"/>
    <col min="5" max="6" width="5" hidden="1" customWidth="1"/>
    <col min="7" max="7" width="5.6640625" hidden="1" customWidth="1"/>
    <col min="8" max="8" width="10" hidden="1" customWidth="1"/>
    <col min="9" max="15" width="8.88671875" hidden="1" customWidth="1"/>
  </cols>
  <sheetData>
    <row r="1" spans="1:22" ht="15" thickBot="1" x14ac:dyDescent="0.35">
      <c r="A1" s="5" t="s">
        <v>344</v>
      </c>
      <c r="B1" s="5" t="s">
        <v>796</v>
      </c>
      <c r="P1" s="20"/>
      <c r="Q1" s="21" t="s">
        <v>352</v>
      </c>
      <c r="R1" s="21" t="s">
        <v>353</v>
      </c>
      <c r="S1" s="21" t="s">
        <v>354</v>
      </c>
      <c r="T1" s="21" t="s">
        <v>785</v>
      </c>
      <c r="U1" s="21" t="s">
        <v>786</v>
      </c>
      <c r="V1" s="19" t="s">
        <v>787</v>
      </c>
    </row>
    <row r="2" spans="1:22" x14ac:dyDescent="0.3">
      <c r="A2" s="5" t="s">
        <v>639</v>
      </c>
      <c r="B2" t="s">
        <v>352</v>
      </c>
      <c r="C2" t="s">
        <v>353</v>
      </c>
      <c r="D2" t="s">
        <v>354</v>
      </c>
      <c r="E2" t="s">
        <v>785</v>
      </c>
      <c r="F2" t="s">
        <v>786</v>
      </c>
      <c r="G2" t="s">
        <v>787</v>
      </c>
      <c r="H2" t="s">
        <v>640</v>
      </c>
      <c r="J2" s="4" t="s">
        <v>352</v>
      </c>
      <c r="K2" s="4" t="s">
        <v>353</v>
      </c>
      <c r="L2" s="4" t="s">
        <v>354</v>
      </c>
      <c r="M2" s="4" t="s">
        <v>785</v>
      </c>
      <c r="N2" s="4" t="s">
        <v>786</v>
      </c>
      <c r="O2" s="4" t="s">
        <v>787</v>
      </c>
      <c r="P2" s="17" t="s">
        <v>791</v>
      </c>
      <c r="Q2" s="11">
        <f>AVERAGE(J$3:J$1048576)</f>
        <v>6.24</v>
      </c>
      <c r="R2" s="11">
        <f>AVERAGE(K$3:K$1048576)</f>
        <v>9.2380952380952372</v>
      </c>
      <c r="S2" s="11">
        <f>AVERAGE(L$3:L$1048576)</f>
        <v>10.199999999999999</v>
      </c>
      <c r="T2" s="11">
        <f>AVERAGE(M$3:M$1048576)</f>
        <v>10.88</v>
      </c>
      <c r="U2" s="11">
        <f>AVERAGE(N$3:N$1048576)</f>
        <v>7.12</v>
      </c>
      <c r="V2" s="12">
        <f>AVERAGE(O$3:O$1048576)</f>
        <v>10.96</v>
      </c>
    </row>
    <row r="3" spans="1:22" x14ac:dyDescent="0.3">
      <c r="A3" s="2" t="s">
        <v>641</v>
      </c>
      <c r="B3" s="6">
        <v>2</v>
      </c>
      <c r="C3" s="6"/>
      <c r="D3" s="6"/>
      <c r="E3" s="6"/>
      <c r="F3" s="6"/>
      <c r="G3" s="6"/>
      <c r="H3" s="6">
        <v>2</v>
      </c>
      <c r="J3" s="6">
        <v>2</v>
      </c>
      <c r="K3" s="6"/>
      <c r="L3" s="6"/>
      <c r="M3" s="6"/>
      <c r="N3" s="6"/>
      <c r="O3" s="6"/>
      <c r="P3" s="16" t="s">
        <v>792</v>
      </c>
      <c r="Q3" s="10">
        <f>MODE(J:J)</f>
        <v>2</v>
      </c>
      <c r="R3" s="10">
        <f>MODE(K:K)</f>
        <v>2</v>
      </c>
      <c r="S3" s="10">
        <f>MODE(L:L)</f>
        <v>8</v>
      </c>
      <c r="T3" s="10">
        <f>MODE(M:M)</f>
        <v>2</v>
      </c>
      <c r="U3" s="10">
        <f>MODE(N:N)</f>
        <v>8</v>
      </c>
      <c r="V3" s="13">
        <f>MODE(O:O)</f>
        <v>2</v>
      </c>
    </row>
    <row r="4" spans="1:22" x14ac:dyDescent="0.3">
      <c r="A4" s="2" t="s">
        <v>642</v>
      </c>
      <c r="B4" s="6">
        <v>6</v>
      </c>
      <c r="C4" s="6"/>
      <c r="D4" s="6"/>
      <c r="E4" s="6"/>
      <c r="F4" s="6"/>
      <c r="G4" s="6"/>
      <c r="H4" s="6">
        <v>6</v>
      </c>
      <c r="J4" s="6">
        <v>6</v>
      </c>
      <c r="K4" s="6"/>
      <c r="L4" s="6"/>
      <c r="M4" s="6"/>
      <c r="N4" s="6"/>
      <c r="O4" s="6"/>
      <c r="P4" s="17" t="s">
        <v>793</v>
      </c>
      <c r="Q4" s="11">
        <f>MEDIAN(J:J)</f>
        <v>6</v>
      </c>
      <c r="R4" s="11">
        <f>MEDIAN(K:K)</f>
        <v>6</v>
      </c>
      <c r="S4" s="11">
        <f>MEDIAN(L:L)</f>
        <v>9</v>
      </c>
      <c r="T4" s="11">
        <f>MEDIAN(M:M)</f>
        <v>8</v>
      </c>
      <c r="U4" s="11">
        <f>MEDIAN(N:N)</f>
        <v>8</v>
      </c>
      <c r="V4" s="12">
        <f>MEDIAN(O:O)</f>
        <v>8</v>
      </c>
    </row>
    <row r="5" spans="1:22" x14ac:dyDescent="0.3">
      <c r="A5" s="2" t="s">
        <v>643</v>
      </c>
      <c r="B5" s="6">
        <v>2</v>
      </c>
      <c r="C5" s="6"/>
      <c r="D5" s="6"/>
      <c r="E5" s="6"/>
      <c r="F5" s="6"/>
      <c r="G5" s="6"/>
      <c r="H5" s="6">
        <v>2</v>
      </c>
      <c r="J5" s="6">
        <v>2</v>
      </c>
      <c r="K5" s="6"/>
      <c r="L5" s="6"/>
      <c r="M5" s="6"/>
      <c r="N5" s="6"/>
      <c r="O5" s="6"/>
      <c r="P5" s="16" t="s">
        <v>794</v>
      </c>
      <c r="Q5" s="10">
        <f>MIN(J:J)</f>
        <v>2</v>
      </c>
      <c r="R5" s="10">
        <f>MIN(K:K)</f>
        <v>2</v>
      </c>
      <c r="S5" s="10">
        <f>MIN(L:L)</f>
        <v>2</v>
      </c>
      <c r="T5" s="10">
        <f>MIN(M:M)</f>
        <v>2</v>
      </c>
      <c r="U5" s="10">
        <f>MIN(N:N)</f>
        <v>2</v>
      </c>
      <c r="V5" s="13">
        <f>MIN(O:O)</f>
        <v>2</v>
      </c>
    </row>
    <row r="6" spans="1:22" ht="15" thickBot="1" x14ac:dyDescent="0.35">
      <c r="A6" s="2" t="s">
        <v>644</v>
      </c>
      <c r="B6" s="6">
        <v>4</v>
      </c>
      <c r="C6" s="6"/>
      <c r="D6" s="6"/>
      <c r="E6" s="6"/>
      <c r="F6" s="6"/>
      <c r="G6" s="6"/>
      <c r="H6" s="6">
        <v>4</v>
      </c>
      <c r="J6" s="6">
        <v>4</v>
      </c>
      <c r="K6" s="6"/>
      <c r="L6" s="6"/>
      <c r="M6" s="6"/>
      <c r="N6" s="6"/>
      <c r="O6" s="6"/>
      <c r="P6" s="18" t="s">
        <v>795</v>
      </c>
      <c r="Q6" s="14">
        <f>MAX(J:J)</f>
        <v>18</v>
      </c>
      <c r="R6" s="14">
        <f>MAX(K:K)</f>
        <v>60</v>
      </c>
      <c r="S6" s="14">
        <f>MAX(L:L)</f>
        <v>28</v>
      </c>
      <c r="T6" s="14">
        <f>MAX(M:M)</f>
        <v>40</v>
      </c>
      <c r="U6" s="14">
        <f>MAX(N:N)</f>
        <v>20</v>
      </c>
      <c r="V6" s="15">
        <f>MAX(O:O)</f>
        <v>54</v>
      </c>
    </row>
    <row r="7" spans="1:22" x14ac:dyDescent="0.3">
      <c r="A7" s="2" t="s">
        <v>645</v>
      </c>
      <c r="B7" s="6">
        <v>4</v>
      </c>
      <c r="C7" s="6"/>
      <c r="D7" s="6"/>
      <c r="E7" s="6"/>
      <c r="F7" s="6"/>
      <c r="G7" s="6"/>
      <c r="H7" s="6">
        <v>4</v>
      </c>
      <c r="J7" s="6">
        <v>4</v>
      </c>
      <c r="K7" s="6"/>
      <c r="L7" s="6"/>
      <c r="M7" s="6"/>
      <c r="N7" s="6"/>
      <c r="O7" s="6"/>
    </row>
    <row r="8" spans="1:22" x14ac:dyDescent="0.3">
      <c r="A8" s="2" t="s">
        <v>646</v>
      </c>
      <c r="B8" s="6">
        <v>2</v>
      </c>
      <c r="C8" s="6"/>
      <c r="D8" s="6"/>
      <c r="E8" s="6"/>
      <c r="F8" s="6"/>
      <c r="G8" s="6"/>
      <c r="H8" s="6">
        <v>2</v>
      </c>
      <c r="J8" s="6">
        <v>2</v>
      </c>
      <c r="K8" s="6"/>
      <c r="L8" s="6"/>
      <c r="M8" s="6"/>
      <c r="N8" s="6"/>
      <c r="O8" s="6"/>
    </row>
    <row r="9" spans="1:22" x14ac:dyDescent="0.3">
      <c r="A9" s="2" t="s">
        <v>647</v>
      </c>
      <c r="B9" s="6">
        <v>10</v>
      </c>
      <c r="C9" s="6"/>
      <c r="D9" s="6"/>
      <c r="E9" s="6"/>
      <c r="F9" s="6"/>
      <c r="G9" s="6"/>
      <c r="H9" s="6">
        <v>10</v>
      </c>
      <c r="J9" s="6">
        <v>10</v>
      </c>
      <c r="K9" s="6"/>
      <c r="L9" s="6"/>
      <c r="M9" s="6"/>
      <c r="N9" s="6"/>
      <c r="O9" s="6"/>
    </row>
    <row r="10" spans="1:22" x14ac:dyDescent="0.3">
      <c r="A10" s="2" t="s">
        <v>648</v>
      </c>
      <c r="B10" s="6">
        <v>2</v>
      </c>
      <c r="C10" s="6"/>
      <c r="D10" s="6"/>
      <c r="E10" s="6"/>
      <c r="F10" s="6"/>
      <c r="G10" s="6"/>
      <c r="H10" s="6">
        <v>2</v>
      </c>
      <c r="J10" s="6">
        <v>2</v>
      </c>
      <c r="K10" s="6"/>
      <c r="L10" s="6"/>
      <c r="M10" s="6"/>
      <c r="N10" s="6"/>
      <c r="O10" s="6"/>
    </row>
    <row r="11" spans="1:22" x14ac:dyDescent="0.3">
      <c r="A11" s="2" t="s">
        <v>649</v>
      </c>
      <c r="B11" s="6">
        <v>4</v>
      </c>
      <c r="C11" s="6"/>
      <c r="D11" s="6"/>
      <c r="E11" s="6"/>
      <c r="F11" s="6"/>
      <c r="G11" s="6"/>
      <c r="H11" s="6">
        <v>4</v>
      </c>
      <c r="J11" s="6">
        <v>4</v>
      </c>
      <c r="K11" s="6"/>
      <c r="L11" s="6"/>
      <c r="M11" s="6"/>
      <c r="N11" s="6"/>
      <c r="O11" s="6"/>
    </row>
    <row r="12" spans="1:22" x14ac:dyDescent="0.3">
      <c r="A12" s="2" t="s">
        <v>650</v>
      </c>
      <c r="B12" s="6">
        <v>8</v>
      </c>
      <c r="C12" s="6"/>
      <c r="D12" s="6"/>
      <c r="E12" s="6"/>
      <c r="F12" s="6"/>
      <c r="G12" s="6"/>
      <c r="H12" s="6">
        <v>8</v>
      </c>
      <c r="J12" s="6">
        <v>8</v>
      </c>
      <c r="K12" s="6"/>
      <c r="L12" s="6"/>
      <c r="M12" s="6"/>
      <c r="N12" s="6"/>
      <c r="O12" s="6"/>
    </row>
    <row r="13" spans="1:22" x14ac:dyDescent="0.3">
      <c r="A13" s="2" t="s">
        <v>651</v>
      </c>
      <c r="B13" s="6">
        <v>8</v>
      </c>
      <c r="C13" s="6"/>
      <c r="D13" s="6"/>
      <c r="E13" s="6"/>
      <c r="F13" s="6"/>
      <c r="G13" s="6"/>
      <c r="H13" s="6">
        <v>8</v>
      </c>
      <c r="J13" s="6">
        <v>8</v>
      </c>
      <c r="K13" s="6"/>
      <c r="L13" s="6"/>
      <c r="M13" s="6"/>
      <c r="N13" s="6"/>
      <c r="O13" s="6"/>
    </row>
    <row r="14" spans="1:22" x14ac:dyDescent="0.3">
      <c r="A14" s="2" t="s">
        <v>652</v>
      </c>
      <c r="B14" s="6">
        <v>2</v>
      </c>
      <c r="C14" s="6"/>
      <c r="D14" s="6"/>
      <c r="E14" s="6"/>
      <c r="F14" s="6"/>
      <c r="G14" s="6"/>
      <c r="H14" s="6">
        <v>2</v>
      </c>
      <c r="J14" s="6">
        <v>2</v>
      </c>
      <c r="K14" s="6"/>
      <c r="L14" s="6"/>
      <c r="M14" s="6"/>
      <c r="N14" s="6"/>
      <c r="O14" s="6"/>
    </row>
    <row r="15" spans="1:22" x14ac:dyDescent="0.3">
      <c r="A15" s="2" t="s">
        <v>653</v>
      </c>
      <c r="B15" s="6">
        <v>18</v>
      </c>
      <c r="C15" s="6"/>
      <c r="D15" s="6"/>
      <c r="E15" s="6"/>
      <c r="F15" s="6"/>
      <c r="G15" s="6"/>
      <c r="H15" s="6">
        <v>18</v>
      </c>
      <c r="J15" s="6">
        <v>18</v>
      </c>
      <c r="K15" s="6"/>
      <c r="L15" s="6"/>
      <c r="M15" s="6"/>
      <c r="N15" s="6"/>
      <c r="O15" s="6"/>
    </row>
    <row r="16" spans="1:22" x14ac:dyDescent="0.3">
      <c r="A16" s="2" t="s">
        <v>654</v>
      </c>
      <c r="B16" s="6">
        <v>6</v>
      </c>
      <c r="C16" s="6"/>
      <c r="D16" s="6"/>
      <c r="E16" s="6"/>
      <c r="F16" s="6"/>
      <c r="G16" s="6"/>
      <c r="H16" s="6">
        <v>6</v>
      </c>
      <c r="J16" s="6">
        <v>6</v>
      </c>
      <c r="K16" s="6"/>
      <c r="L16" s="6"/>
      <c r="M16" s="6"/>
      <c r="N16" s="6"/>
      <c r="O16" s="6"/>
    </row>
    <row r="17" spans="1:15" x14ac:dyDescent="0.3">
      <c r="A17" s="2" t="s">
        <v>655</v>
      </c>
      <c r="B17" s="6">
        <v>10</v>
      </c>
      <c r="C17" s="6"/>
      <c r="D17" s="6"/>
      <c r="E17" s="6"/>
      <c r="F17" s="6"/>
      <c r="G17" s="6"/>
      <c r="H17" s="6">
        <v>10</v>
      </c>
      <c r="J17" s="6">
        <v>10</v>
      </c>
      <c r="K17" s="6"/>
      <c r="L17" s="6"/>
      <c r="M17" s="6"/>
      <c r="N17" s="6"/>
      <c r="O17" s="6"/>
    </row>
    <row r="18" spans="1:15" x14ac:dyDescent="0.3">
      <c r="A18" s="2" t="s">
        <v>656</v>
      </c>
      <c r="B18" s="6">
        <v>8</v>
      </c>
      <c r="C18" s="6"/>
      <c r="D18" s="6"/>
      <c r="E18" s="6"/>
      <c r="F18" s="6"/>
      <c r="G18" s="6"/>
      <c r="H18" s="6">
        <v>8</v>
      </c>
      <c r="J18" s="6">
        <v>8</v>
      </c>
      <c r="K18" s="6"/>
      <c r="L18" s="6"/>
      <c r="M18" s="6"/>
      <c r="N18" s="6"/>
      <c r="O18" s="6"/>
    </row>
    <row r="19" spans="1:15" x14ac:dyDescent="0.3">
      <c r="A19" s="2" t="s">
        <v>657</v>
      </c>
      <c r="B19" s="6">
        <v>2</v>
      </c>
      <c r="C19" s="6"/>
      <c r="D19" s="6"/>
      <c r="E19" s="6"/>
      <c r="F19" s="6"/>
      <c r="G19" s="6"/>
      <c r="H19" s="6">
        <v>2</v>
      </c>
      <c r="J19" s="6">
        <v>2</v>
      </c>
      <c r="K19" s="6"/>
      <c r="L19" s="6"/>
      <c r="M19" s="6"/>
      <c r="N19" s="6"/>
      <c r="O19" s="6"/>
    </row>
    <row r="20" spans="1:15" x14ac:dyDescent="0.3">
      <c r="A20" s="2" t="s">
        <v>658</v>
      </c>
      <c r="B20" s="6">
        <v>18</v>
      </c>
      <c r="C20" s="6"/>
      <c r="D20" s="6"/>
      <c r="E20" s="6"/>
      <c r="F20" s="6"/>
      <c r="G20" s="6"/>
      <c r="H20" s="6">
        <v>18</v>
      </c>
      <c r="J20" s="6">
        <v>18</v>
      </c>
      <c r="K20" s="6"/>
      <c r="L20" s="6"/>
      <c r="M20" s="6"/>
      <c r="N20" s="6"/>
      <c r="O20" s="6"/>
    </row>
    <row r="21" spans="1:15" x14ac:dyDescent="0.3">
      <c r="A21" s="2" t="s">
        <v>659</v>
      </c>
      <c r="B21" s="6">
        <v>4</v>
      </c>
      <c r="C21" s="6"/>
      <c r="D21" s="6"/>
      <c r="E21" s="6"/>
      <c r="F21" s="6"/>
      <c r="G21" s="6"/>
      <c r="H21" s="6">
        <v>4</v>
      </c>
      <c r="J21" s="6">
        <v>4</v>
      </c>
      <c r="K21" s="6"/>
      <c r="L21" s="6"/>
      <c r="M21" s="6"/>
      <c r="N21" s="6"/>
      <c r="O21" s="6"/>
    </row>
    <row r="22" spans="1:15" x14ac:dyDescent="0.3">
      <c r="A22" s="2" t="s">
        <v>660</v>
      </c>
      <c r="B22" s="6">
        <v>6</v>
      </c>
      <c r="C22" s="6"/>
      <c r="D22" s="6"/>
      <c r="E22" s="6"/>
      <c r="F22" s="6"/>
      <c r="G22" s="6"/>
      <c r="H22" s="6">
        <v>6</v>
      </c>
      <c r="J22" s="6">
        <v>6</v>
      </c>
      <c r="K22" s="6"/>
      <c r="L22" s="6"/>
      <c r="M22" s="6"/>
      <c r="N22" s="6"/>
      <c r="O22" s="6"/>
    </row>
    <row r="23" spans="1:15" x14ac:dyDescent="0.3">
      <c r="A23" s="2" t="s">
        <v>661</v>
      </c>
      <c r="B23" s="6">
        <v>12</v>
      </c>
      <c r="C23" s="6"/>
      <c r="D23" s="6"/>
      <c r="E23" s="6"/>
      <c r="F23" s="6"/>
      <c r="G23" s="6"/>
      <c r="H23" s="6">
        <v>12</v>
      </c>
      <c r="J23" s="6">
        <v>12</v>
      </c>
      <c r="K23" s="6"/>
      <c r="L23" s="6"/>
      <c r="M23" s="6"/>
      <c r="N23" s="6"/>
      <c r="O23" s="6"/>
    </row>
    <row r="24" spans="1:15" x14ac:dyDescent="0.3">
      <c r="A24" s="2" t="s">
        <v>662</v>
      </c>
      <c r="B24" s="6">
        <v>6</v>
      </c>
      <c r="C24" s="6"/>
      <c r="D24" s="6"/>
      <c r="E24" s="6"/>
      <c r="F24" s="6"/>
      <c r="G24" s="6"/>
      <c r="H24" s="6">
        <v>6</v>
      </c>
      <c r="J24" s="6">
        <v>6</v>
      </c>
      <c r="K24" s="6"/>
      <c r="L24" s="6"/>
      <c r="M24" s="6"/>
      <c r="N24" s="6"/>
      <c r="O24" s="6"/>
    </row>
    <row r="25" spans="1:15" x14ac:dyDescent="0.3">
      <c r="A25" s="2" t="s">
        <v>663</v>
      </c>
      <c r="B25" s="6">
        <v>4</v>
      </c>
      <c r="C25" s="6"/>
      <c r="D25" s="6"/>
      <c r="E25" s="6"/>
      <c r="F25" s="6"/>
      <c r="G25" s="6"/>
      <c r="H25" s="6">
        <v>4</v>
      </c>
      <c r="J25" s="6">
        <v>4</v>
      </c>
      <c r="K25" s="6"/>
      <c r="L25" s="6"/>
      <c r="M25" s="6"/>
      <c r="N25" s="6"/>
      <c r="O25" s="6"/>
    </row>
    <row r="26" spans="1:15" x14ac:dyDescent="0.3">
      <c r="A26" s="2" t="s">
        <v>664</v>
      </c>
      <c r="B26" s="6">
        <v>6</v>
      </c>
      <c r="C26" s="6"/>
      <c r="D26" s="6"/>
      <c r="E26" s="6"/>
      <c r="F26" s="6"/>
      <c r="G26" s="6"/>
      <c r="H26" s="6">
        <v>6</v>
      </c>
      <c r="J26" s="6">
        <v>6</v>
      </c>
      <c r="K26" s="6"/>
      <c r="L26" s="6"/>
      <c r="M26" s="6"/>
      <c r="N26" s="6"/>
      <c r="O26" s="6"/>
    </row>
    <row r="27" spans="1:15" x14ac:dyDescent="0.3">
      <c r="A27" s="2" t="s">
        <v>665</v>
      </c>
      <c r="B27" s="6">
        <v>2</v>
      </c>
      <c r="C27" s="6"/>
      <c r="D27" s="6"/>
      <c r="E27" s="6"/>
      <c r="F27" s="6"/>
      <c r="G27" s="6"/>
      <c r="H27" s="6">
        <v>2</v>
      </c>
      <c r="J27" s="6">
        <v>2</v>
      </c>
      <c r="K27" s="6"/>
      <c r="L27" s="6"/>
      <c r="M27" s="6"/>
      <c r="N27" s="6"/>
      <c r="O27" s="6"/>
    </row>
    <row r="28" spans="1:15" x14ac:dyDescent="0.3">
      <c r="A28" s="2" t="s">
        <v>666</v>
      </c>
      <c r="B28" s="6"/>
      <c r="C28" s="6">
        <v>2</v>
      </c>
      <c r="D28" s="6"/>
      <c r="E28" s="6"/>
      <c r="F28" s="6"/>
      <c r="G28" s="6"/>
      <c r="H28" s="6">
        <v>2</v>
      </c>
      <c r="J28" s="6"/>
      <c r="K28" s="6">
        <v>2</v>
      </c>
      <c r="L28" s="6"/>
      <c r="M28" s="6"/>
      <c r="N28" s="6"/>
      <c r="O28" s="6"/>
    </row>
    <row r="29" spans="1:15" x14ac:dyDescent="0.3">
      <c r="A29" s="2" t="s">
        <v>667</v>
      </c>
      <c r="B29" s="6"/>
      <c r="C29" s="6">
        <v>6</v>
      </c>
      <c r="D29" s="6"/>
      <c r="E29" s="6"/>
      <c r="F29" s="6"/>
      <c r="G29" s="6"/>
      <c r="H29" s="6">
        <v>6</v>
      </c>
      <c r="J29" s="6"/>
      <c r="K29" s="6">
        <v>6</v>
      </c>
      <c r="L29" s="6"/>
      <c r="M29" s="6"/>
      <c r="N29" s="6"/>
      <c r="O29" s="6"/>
    </row>
    <row r="30" spans="1:15" x14ac:dyDescent="0.3">
      <c r="A30" s="2" t="s">
        <v>668</v>
      </c>
      <c r="B30" s="6"/>
      <c r="C30" s="6">
        <v>2</v>
      </c>
      <c r="D30" s="6"/>
      <c r="E30" s="6"/>
      <c r="F30" s="6"/>
      <c r="G30" s="6"/>
      <c r="H30" s="6">
        <v>2</v>
      </c>
      <c r="J30" s="6"/>
      <c r="K30" s="6">
        <v>2</v>
      </c>
      <c r="L30" s="6"/>
      <c r="M30" s="6"/>
      <c r="N30" s="6"/>
      <c r="O30" s="6"/>
    </row>
    <row r="31" spans="1:15" x14ac:dyDescent="0.3">
      <c r="A31" s="2" t="s">
        <v>669</v>
      </c>
      <c r="B31" s="6"/>
      <c r="C31" s="6">
        <v>6</v>
      </c>
      <c r="D31" s="6"/>
      <c r="E31" s="6"/>
      <c r="F31" s="6"/>
      <c r="G31" s="6"/>
      <c r="H31" s="6">
        <v>6</v>
      </c>
      <c r="J31" s="6"/>
      <c r="K31" s="6">
        <v>6</v>
      </c>
      <c r="L31" s="6"/>
      <c r="M31" s="6"/>
      <c r="N31" s="6"/>
      <c r="O31" s="6"/>
    </row>
    <row r="32" spans="1:15" x14ac:dyDescent="0.3">
      <c r="A32" s="2" t="s">
        <v>670</v>
      </c>
      <c r="B32" s="6"/>
      <c r="C32" s="6">
        <v>12</v>
      </c>
      <c r="D32" s="6"/>
      <c r="E32" s="6"/>
      <c r="F32" s="6"/>
      <c r="G32" s="6"/>
      <c r="H32" s="6">
        <v>12</v>
      </c>
      <c r="J32" s="6"/>
      <c r="K32" s="6">
        <v>12</v>
      </c>
      <c r="L32" s="6"/>
      <c r="M32" s="6"/>
      <c r="N32" s="6"/>
      <c r="O32" s="6"/>
    </row>
    <row r="33" spans="1:15" x14ac:dyDescent="0.3">
      <c r="A33" s="2" t="s">
        <v>671</v>
      </c>
      <c r="B33" s="6"/>
      <c r="C33" s="6">
        <v>2</v>
      </c>
      <c r="D33" s="6"/>
      <c r="E33" s="6"/>
      <c r="F33" s="6"/>
      <c r="G33" s="6"/>
      <c r="H33" s="6">
        <v>2</v>
      </c>
      <c r="J33" s="6"/>
      <c r="K33" s="6">
        <v>2</v>
      </c>
      <c r="L33" s="6"/>
      <c r="M33" s="6"/>
      <c r="N33" s="6"/>
      <c r="O33" s="6"/>
    </row>
    <row r="34" spans="1:15" x14ac:dyDescent="0.3">
      <c r="A34" s="2" t="s">
        <v>672</v>
      </c>
      <c r="B34" s="6"/>
      <c r="C34" s="6">
        <v>10</v>
      </c>
      <c r="D34" s="6"/>
      <c r="E34" s="6"/>
      <c r="F34" s="6"/>
      <c r="G34" s="6"/>
      <c r="H34" s="6">
        <v>10</v>
      </c>
      <c r="J34" s="6"/>
      <c r="K34" s="6">
        <v>10</v>
      </c>
      <c r="L34" s="6"/>
      <c r="M34" s="6"/>
      <c r="N34" s="6"/>
      <c r="O34" s="6"/>
    </row>
    <row r="35" spans="1:15" x14ac:dyDescent="0.3">
      <c r="A35" s="2" t="s">
        <v>673</v>
      </c>
      <c r="B35" s="6"/>
      <c r="C35" s="6">
        <v>2</v>
      </c>
      <c r="D35" s="6"/>
      <c r="E35" s="6"/>
      <c r="F35" s="6"/>
      <c r="G35" s="6"/>
      <c r="H35" s="6">
        <v>2</v>
      </c>
      <c r="J35" s="6"/>
      <c r="K35" s="6">
        <v>2</v>
      </c>
      <c r="L35" s="6"/>
      <c r="M35" s="6"/>
      <c r="N35" s="6"/>
      <c r="O35" s="6"/>
    </row>
    <row r="36" spans="1:15" x14ac:dyDescent="0.3">
      <c r="A36" s="2" t="s">
        <v>674</v>
      </c>
      <c r="B36" s="6"/>
      <c r="C36" s="6">
        <v>60</v>
      </c>
      <c r="D36" s="6"/>
      <c r="E36" s="6"/>
      <c r="F36" s="6"/>
      <c r="G36" s="6"/>
      <c r="H36" s="6">
        <v>60</v>
      </c>
      <c r="J36" s="6"/>
      <c r="K36" s="6">
        <v>60</v>
      </c>
      <c r="L36" s="6"/>
      <c r="M36" s="6"/>
      <c r="N36" s="6"/>
      <c r="O36" s="6"/>
    </row>
    <row r="37" spans="1:15" x14ac:dyDescent="0.3">
      <c r="A37" s="2" t="s">
        <v>675</v>
      </c>
      <c r="B37" s="6"/>
      <c r="C37" s="6">
        <v>22</v>
      </c>
      <c r="D37" s="6"/>
      <c r="E37" s="6"/>
      <c r="F37" s="6"/>
      <c r="G37" s="6"/>
      <c r="H37" s="6">
        <v>22</v>
      </c>
      <c r="J37" s="6"/>
      <c r="K37" s="6">
        <v>22</v>
      </c>
      <c r="L37" s="6"/>
      <c r="M37" s="6"/>
      <c r="N37" s="6"/>
      <c r="O37" s="6"/>
    </row>
    <row r="38" spans="1:15" x14ac:dyDescent="0.3">
      <c r="A38" s="2" t="s">
        <v>676</v>
      </c>
      <c r="B38" s="6"/>
      <c r="C38" s="6">
        <v>8</v>
      </c>
      <c r="D38" s="6"/>
      <c r="E38" s="6"/>
      <c r="F38" s="6"/>
      <c r="G38" s="6"/>
      <c r="H38" s="6">
        <v>8</v>
      </c>
      <c r="J38" s="6"/>
      <c r="K38" s="6">
        <v>8</v>
      </c>
      <c r="L38" s="6"/>
      <c r="M38" s="6"/>
      <c r="N38" s="6"/>
      <c r="O38" s="6"/>
    </row>
    <row r="39" spans="1:15" x14ac:dyDescent="0.3">
      <c r="A39" s="2" t="s">
        <v>677</v>
      </c>
      <c r="B39" s="6"/>
      <c r="C39" s="6">
        <v>2</v>
      </c>
      <c r="D39" s="6"/>
      <c r="E39" s="6"/>
      <c r="F39" s="6"/>
      <c r="G39" s="6"/>
      <c r="H39" s="6">
        <v>2</v>
      </c>
      <c r="J39" s="6"/>
      <c r="K39" s="6">
        <v>2</v>
      </c>
      <c r="L39" s="6"/>
      <c r="M39" s="6"/>
      <c r="N39" s="6"/>
      <c r="O39" s="6"/>
    </row>
    <row r="40" spans="1:15" x14ac:dyDescent="0.3">
      <c r="A40" s="2" t="s">
        <v>678</v>
      </c>
      <c r="B40" s="6"/>
      <c r="C40" s="6">
        <v>8</v>
      </c>
      <c r="D40" s="6"/>
      <c r="E40" s="6"/>
      <c r="F40" s="6"/>
      <c r="G40" s="6"/>
      <c r="H40" s="6">
        <v>8</v>
      </c>
      <c r="J40" s="6"/>
      <c r="K40" s="6">
        <v>8</v>
      </c>
      <c r="L40" s="6"/>
      <c r="M40" s="6"/>
      <c r="N40" s="6"/>
      <c r="O40" s="6"/>
    </row>
    <row r="41" spans="1:15" x14ac:dyDescent="0.3">
      <c r="A41" s="2" t="s">
        <v>679</v>
      </c>
      <c r="B41" s="6"/>
      <c r="C41" s="6">
        <v>8</v>
      </c>
      <c r="D41" s="6"/>
      <c r="E41" s="6"/>
      <c r="F41" s="6"/>
      <c r="G41" s="6"/>
      <c r="H41" s="6">
        <v>8</v>
      </c>
      <c r="J41" s="6"/>
      <c r="K41" s="6">
        <v>8</v>
      </c>
      <c r="L41" s="6"/>
      <c r="M41" s="6"/>
      <c r="N41" s="6"/>
      <c r="O41" s="6"/>
    </row>
    <row r="42" spans="1:15" x14ac:dyDescent="0.3">
      <c r="A42" s="2" t="s">
        <v>680</v>
      </c>
      <c r="B42" s="6"/>
      <c r="C42" s="6">
        <v>2</v>
      </c>
      <c r="D42" s="6"/>
      <c r="E42" s="6"/>
      <c r="F42" s="6"/>
      <c r="G42" s="6"/>
      <c r="H42" s="6">
        <v>2</v>
      </c>
      <c r="J42" s="6"/>
      <c r="K42" s="6">
        <v>2</v>
      </c>
      <c r="L42" s="6"/>
      <c r="M42" s="6"/>
      <c r="N42" s="6"/>
      <c r="O42" s="6"/>
    </row>
    <row r="43" spans="1:15" x14ac:dyDescent="0.3">
      <c r="A43" s="2" t="s">
        <v>681</v>
      </c>
      <c r="B43" s="6"/>
      <c r="C43" s="6">
        <v>4</v>
      </c>
      <c r="D43" s="6"/>
      <c r="E43" s="6"/>
      <c r="F43" s="6"/>
      <c r="G43" s="6"/>
      <c r="H43" s="6">
        <v>4</v>
      </c>
      <c r="J43" s="6"/>
      <c r="K43" s="6">
        <v>4</v>
      </c>
      <c r="L43" s="6"/>
      <c r="M43" s="6"/>
      <c r="N43" s="6"/>
      <c r="O43" s="6"/>
    </row>
    <row r="44" spans="1:15" x14ac:dyDescent="0.3">
      <c r="A44" s="2" t="s">
        <v>682</v>
      </c>
      <c r="B44" s="6"/>
      <c r="C44" s="6">
        <v>2</v>
      </c>
      <c r="D44" s="6"/>
      <c r="E44" s="6"/>
      <c r="F44" s="6"/>
      <c r="G44" s="6"/>
      <c r="H44" s="6">
        <v>2</v>
      </c>
      <c r="J44" s="6"/>
      <c r="K44" s="6">
        <v>2</v>
      </c>
      <c r="L44" s="6"/>
      <c r="M44" s="6"/>
      <c r="N44" s="6"/>
      <c r="O44" s="6"/>
    </row>
    <row r="45" spans="1:15" x14ac:dyDescent="0.3">
      <c r="A45" s="2" t="s">
        <v>683</v>
      </c>
      <c r="B45" s="6"/>
      <c r="C45" s="6">
        <v>2</v>
      </c>
      <c r="D45" s="6"/>
      <c r="E45" s="6"/>
      <c r="F45" s="6"/>
      <c r="G45" s="6"/>
      <c r="H45" s="6">
        <v>2</v>
      </c>
      <c r="J45" s="6"/>
      <c r="K45" s="6">
        <v>2</v>
      </c>
      <c r="L45" s="6"/>
      <c r="M45" s="6"/>
      <c r="N45" s="6"/>
      <c r="O45" s="6"/>
    </row>
    <row r="46" spans="1:15" x14ac:dyDescent="0.3">
      <c r="A46" s="2" t="s">
        <v>684</v>
      </c>
      <c r="B46" s="6"/>
      <c r="C46" s="6">
        <v>18</v>
      </c>
      <c r="D46" s="6"/>
      <c r="E46" s="6"/>
      <c r="F46" s="6"/>
      <c r="G46" s="6"/>
      <c r="H46" s="6">
        <v>18</v>
      </c>
      <c r="J46" s="6"/>
      <c r="K46" s="6">
        <v>18</v>
      </c>
      <c r="L46" s="6"/>
      <c r="M46" s="6"/>
      <c r="N46" s="6"/>
      <c r="O46" s="6"/>
    </row>
    <row r="47" spans="1:15" x14ac:dyDescent="0.3">
      <c r="A47" s="2" t="s">
        <v>685</v>
      </c>
      <c r="B47" s="6"/>
      <c r="C47" s="6">
        <v>14</v>
      </c>
      <c r="D47" s="6"/>
      <c r="E47" s="6"/>
      <c r="F47" s="6"/>
      <c r="G47" s="6"/>
      <c r="H47" s="6">
        <v>14</v>
      </c>
      <c r="J47" s="6"/>
      <c r="K47" s="6">
        <v>14</v>
      </c>
      <c r="L47" s="6"/>
      <c r="M47" s="6"/>
      <c r="N47" s="6"/>
      <c r="O47" s="6"/>
    </row>
    <row r="48" spans="1:15" x14ac:dyDescent="0.3">
      <c r="A48" s="2" t="s">
        <v>686</v>
      </c>
      <c r="B48" s="6"/>
      <c r="C48" s="6">
        <v>2</v>
      </c>
      <c r="D48" s="6"/>
      <c r="E48" s="6"/>
      <c r="F48" s="6"/>
      <c r="G48" s="6"/>
      <c r="H48" s="6">
        <v>2</v>
      </c>
      <c r="J48" s="6"/>
      <c r="K48" s="6">
        <v>2</v>
      </c>
      <c r="L48" s="6"/>
      <c r="M48" s="6"/>
      <c r="N48" s="6"/>
      <c r="O48" s="6"/>
    </row>
    <row r="49" spans="1:15" x14ac:dyDescent="0.3">
      <c r="A49" s="2" t="s">
        <v>687</v>
      </c>
      <c r="B49" s="6"/>
      <c r="C49" s="6"/>
      <c r="D49" s="6">
        <v>8</v>
      </c>
      <c r="E49" s="6"/>
      <c r="F49" s="6"/>
      <c r="G49" s="6"/>
      <c r="H49" s="6">
        <v>8</v>
      </c>
      <c r="J49" s="6"/>
      <c r="K49" s="6"/>
      <c r="L49" s="6">
        <v>8</v>
      </c>
      <c r="M49" s="6"/>
      <c r="N49" s="6"/>
      <c r="O49" s="6"/>
    </row>
    <row r="50" spans="1:15" x14ac:dyDescent="0.3">
      <c r="A50" s="2" t="s">
        <v>688</v>
      </c>
      <c r="B50" s="6"/>
      <c r="C50" s="6"/>
      <c r="D50" s="6">
        <v>10</v>
      </c>
      <c r="E50" s="6"/>
      <c r="F50" s="6"/>
      <c r="G50" s="6"/>
      <c r="H50" s="6">
        <v>10</v>
      </c>
      <c r="J50" s="6"/>
      <c r="K50" s="6"/>
      <c r="L50" s="6">
        <v>10</v>
      </c>
      <c r="M50" s="6"/>
      <c r="N50" s="6"/>
      <c r="O50" s="6"/>
    </row>
    <row r="51" spans="1:15" x14ac:dyDescent="0.3">
      <c r="A51" s="2" t="s">
        <v>689</v>
      </c>
      <c r="B51" s="6"/>
      <c r="C51" s="6"/>
      <c r="D51" s="6">
        <v>10</v>
      </c>
      <c r="E51" s="6"/>
      <c r="F51" s="6"/>
      <c r="G51" s="6"/>
      <c r="H51" s="6">
        <v>10</v>
      </c>
      <c r="J51" s="6"/>
      <c r="K51" s="6"/>
      <c r="L51" s="6">
        <v>10</v>
      </c>
      <c r="M51" s="6"/>
      <c r="N51" s="6"/>
      <c r="O51" s="6"/>
    </row>
    <row r="52" spans="1:15" x14ac:dyDescent="0.3">
      <c r="A52" s="2" t="s">
        <v>690</v>
      </c>
      <c r="B52" s="6"/>
      <c r="C52" s="6"/>
      <c r="D52" s="6">
        <v>10</v>
      </c>
      <c r="E52" s="6"/>
      <c r="F52" s="6"/>
      <c r="G52" s="6"/>
      <c r="H52" s="6">
        <v>10</v>
      </c>
      <c r="J52" s="6"/>
      <c r="K52" s="6"/>
      <c r="L52" s="6">
        <v>10</v>
      </c>
      <c r="M52" s="6"/>
      <c r="N52" s="6"/>
      <c r="O52" s="6"/>
    </row>
    <row r="53" spans="1:15" x14ac:dyDescent="0.3">
      <c r="A53" s="2" t="s">
        <v>691</v>
      </c>
      <c r="B53" s="6"/>
      <c r="C53" s="6"/>
      <c r="D53" s="6">
        <v>4</v>
      </c>
      <c r="E53" s="6"/>
      <c r="F53" s="6"/>
      <c r="G53" s="6"/>
      <c r="H53" s="6">
        <v>4</v>
      </c>
      <c r="J53" s="6"/>
      <c r="K53" s="6"/>
      <c r="L53" s="6">
        <v>4</v>
      </c>
      <c r="M53" s="6"/>
      <c r="N53" s="6"/>
      <c r="O53" s="6"/>
    </row>
    <row r="54" spans="1:15" x14ac:dyDescent="0.3">
      <c r="A54" s="2" t="s">
        <v>692</v>
      </c>
      <c r="B54" s="6"/>
      <c r="C54" s="6"/>
      <c r="D54" s="6">
        <v>2</v>
      </c>
      <c r="E54" s="6"/>
      <c r="F54" s="6"/>
      <c r="G54" s="6"/>
      <c r="H54" s="6">
        <v>2</v>
      </c>
      <c r="J54" s="6"/>
      <c r="K54" s="6"/>
      <c r="L54" s="6">
        <v>2</v>
      </c>
      <c r="M54" s="6"/>
      <c r="N54" s="6"/>
      <c r="O54" s="6"/>
    </row>
    <row r="55" spans="1:15" x14ac:dyDescent="0.3">
      <c r="A55" s="2" t="s">
        <v>693</v>
      </c>
      <c r="B55" s="6"/>
      <c r="C55" s="6"/>
      <c r="D55" s="6">
        <v>2</v>
      </c>
      <c r="E55" s="6"/>
      <c r="F55" s="6"/>
      <c r="G55" s="6"/>
      <c r="H55" s="6">
        <v>2</v>
      </c>
      <c r="J55" s="6"/>
      <c r="K55" s="6"/>
      <c r="L55" s="6">
        <v>2</v>
      </c>
      <c r="M55" s="6"/>
      <c r="N55" s="6"/>
      <c r="O55" s="6"/>
    </row>
    <row r="56" spans="1:15" x14ac:dyDescent="0.3">
      <c r="A56" s="2" t="s">
        <v>694</v>
      </c>
      <c r="B56" s="6"/>
      <c r="C56" s="6"/>
      <c r="D56" s="6">
        <v>18</v>
      </c>
      <c r="E56" s="6"/>
      <c r="F56" s="6"/>
      <c r="G56" s="6"/>
      <c r="H56" s="6">
        <v>18</v>
      </c>
      <c r="J56" s="6"/>
      <c r="K56" s="6"/>
      <c r="L56" s="6">
        <v>18</v>
      </c>
      <c r="M56" s="6"/>
      <c r="N56" s="6"/>
      <c r="O56" s="6"/>
    </row>
    <row r="57" spans="1:15" x14ac:dyDescent="0.3">
      <c r="A57" s="2" t="s">
        <v>695</v>
      </c>
      <c r="B57" s="6"/>
      <c r="C57" s="6"/>
      <c r="D57" s="6">
        <v>28</v>
      </c>
      <c r="E57" s="6"/>
      <c r="F57" s="6"/>
      <c r="G57" s="6"/>
      <c r="H57" s="6">
        <v>28</v>
      </c>
      <c r="J57" s="6"/>
      <c r="K57" s="6"/>
      <c r="L57" s="6">
        <v>28</v>
      </c>
      <c r="M57" s="6"/>
      <c r="N57" s="6"/>
      <c r="O57" s="6"/>
    </row>
    <row r="58" spans="1:15" x14ac:dyDescent="0.3">
      <c r="A58" s="2" t="s">
        <v>696</v>
      </c>
      <c r="B58" s="6"/>
      <c r="C58" s="6"/>
      <c r="D58" s="6">
        <v>24</v>
      </c>
      <c r="E58" s="6"/>
      <c r="F58" s="6"/>
      <c r="G58" s="6"/>
      <c r="H58" s="6">
        <v>24</v>
      </c>
      <c r="J58" s="6"/>
      <c r="K58" s="6"/>
      <c r="L58" s="6">
        <v>24</v>
      </c>
      <c r="M58" s="6"/>
      <c r="N58" s="6"/>
      <c r="O58" s="6"/>
    </row>
    <row r="59" spans="1:15" x14ac:dyDescent="0.3">
      <c r="A59" s="2" t="s">
        <v>697</v>
      </c>
      <c r="B59" s="6"/>
      <c r="C59" s="6"/>
      <c r="D59" s="6">
        <v>6</v>
      </c>
      <c r="E59" s="6"/>
      <c r="F59" s="6"/>
      <c r="G59" s="6"/>
      <c r="H59" s="6">
        <v>6</v>
      </c>
      <c r="J59" s="6"/>
      <c r="K59" s="6"/>
      <c r="L59" s="6">
        <v>6</v>
      </c>
      <c r="M59" s="6"/>
      <c r="N59" s="6"/>
      <c r="O59" s="6"/>
    </row>
    <row r="60" spans="1:15" x14ac:dyDescent="0.3">
      <c r="A60" s="2" t="s">
        <v>698</v>
      </c>
      <c r="B60" s="6"/>
      <c r="C60" s="6"/>
      <c r="D60" s="6">
        <v>4</v>
      </c>
      <c r="E60" s="6"/>
      <c r="F60" s="6"/>
      <c r="G60" s="6"/>
      <c r="H60" s="6">
        <v>4</v>
      </c>
      <c r="J60" s="6"/>
      <c r="K60" s="6"/>
      <c r="L60" s="6">
        <v>4</v>
      </c>
      <c r="M60" s="6"/>
      <c r="N60" s="6"/>
      <c r="O60" s="6"/>
    </row>
    <row r="61" spans="1:15" x14ac:dyDescent="0.3">
      <c r="A61" s="2" t="s">
        <v>699</v>
      </c>
      <c r="B61" s="6"/>
      <c r="C61" s="6"/>
      <c r="D61" s="6">
        <v>14</v>
      </c>
      <c r="E61" s="6"/>
      <c r="F61" s="6"/>
      <c r="G61" s="6"/>
      <c r="H61" s="6">
        <v>14</v>
      </c>
      <c r="J61" s="6"/>
      <c r="K61" s="6"/>
      <c r="L61" s="6">
        <v>14</v>
      </c>
      <c r="M61" s="6"/>
      <c r="N61" s="6"/>
      <c r="O61" s="6"/>
    </row>
    <row r="62" spans="1:15" x14ac:dyDescent="0.3">
      <c r="A62" s="2" t="s">
        <v>700</v>
      </c>
      <c r="B62" s="6"/>
      <c r="C62" s="6"/>
      <c r="D62" s="6">
        <v>8</v>
      </c>
      <c r="E62" s="6"/>
      <c r="F62" s="6"/>
      <c r="G62" s="6"/>
      <c r="H62" s="6">
        <v>8</v>
      </c>
      <c r="J62" s="6"/>
      <c r="K62" s="6"/>
      <c r="L62" s="6">
        <v>8</v>
      </c>
      <c r="M62" s="6"/>
      <c r="N62" s="6"/>
      <c r="O62" s="6"/>
    </row>
    <row r="63" spans="1:15" x14ac:dyDescent="0.3">
      <c r="A63" s="2" t="s">
        <v>701</v>
      </c>
      <c r="B63" s="6"/>
      <c r="C63" s="6"/>
      <c r="D63" s="6">
        <v>12</v>
      </c>
      <c r="E63" s="6"/>
      <c r="F63" s="6"/>
      <c r="G63" s="6"/>
      <c r="H63" s="6">
        <v>12</v>
      </c>
      <c r="J63" s="6"/>
      <c r="K63" s="6"/>
      <c r="L63" s="6">
        <v>12</v>
      </c>
      <c r="M63" s="6"/>
      <c r="N63" s="6"/>
      <c r="O63" s="6"/>
    </row>
    <row r="64" spans="1:15" x14ac:dyDescent="0.3">
      <c r="A64" s="2" t="s">
        <v>702</v>
      </c>
      <c r="B64" s="6"/>
      <c r="C64" s="6"/>
      <c r="D64" s="6">
        <v>6</v>
      </c>
      <c r="E64" s="6"/>
      <c r="F64" s="6"/>
      <c r="G64" s="6"/>
      <c r="H64" s="6">
        <v>6</v>
      </c>
      <c r="J64" s="6"/>
      <c r="K64" s="6"/>
      <c r="L64" s="6">
        <v>6</v>
      </c>
      <c r="M64" s="6"/>
      <c r="N64" s="6"/>
      <c r="O64" s="6"/>
    </row>
    <row r="65" spans="1:15" x14ac:dyDescent="0.3">
      <c r="A65" s="2" t="s">
        <v>706</v>
      </c>
      <c r="B65" s="6"/>
      <c r="C65" s="6"/>
      <c r="D65" s="6">
        <v>14</v>
      </c>
      <c r="E65" s="6"/>
      <c r="F65" s="6"/>
      <c r="G65" s="6"/>
      <c r="H65" s="6">
        <v>14</v>
      </c>
      <c r="J65" s="6"/>
      <c r="K65" s="6"/>
      <c r="L65" s="6">
        <v>14</v>
      </c>
      <c r="M65" s="6"/>
      <c r="N65" s="6"/>
      <c r="O65" s="6"/>
    </row>
    <row r="66" spans="1:15" x14ac:dyDescent="0.3">
      <c r="A66" s="2" t="s">
        <v>707</v>
      </c>
      <c r="B66" s="6"/>
      <c r="C66" s="6"/>
      <c r="D66" s="6">
        <v>4</v>
      </c>
      <c r="E66" s="6"/>
      <c r="F66" s="6"/>
      <c r="G66" s="6"/>
      <c r="H66" s="6">
        <v>4</v>
      </c>
      <c r="J66" s="6"/>
      <c r="K66" s="6"/>
      <c r="L66" s="6">
        <v>4</v>
      </c>
      <c r="M66" s="6"/>
      <c r="N66" s="6"/>
      <c r="O66" s="6"/>
    </row>
    <row r="67" spans="1:15" x14ac:dyDescent="0.3">
      <c r="A67" s="2" t="s">
        <v>708</v>
      </c>
      <c r="B67" s="6"/>
      <c r="C67" s="6"/>
      <c r="D67" s="6">
        <v>12</v>
      </c>
      <c r="E67" s="6"/>
      <c r="F67" s="6"/>
      <c r="G67" s="6"/>
      <c r="H67" s="6">
        <v>12</v>
      </c>
      <c r="J67" s="6"/>
      <c r="K67" s="6"/>
      <c r="L67" s="6">
        <v>12</v>
      </c>
      <c r="M67" s="6"/>
      <c r="N67" s="6"/>
      <c r="O67" s="6"/>
    </row>
    <row r="68" spans="1:15" x14ac:dyDescent="0.3">
      <c r="A68" s="2" t="s">
        <v>709</v>
      </c>
      <c r="B68" s="6"/>
      <c r="C68" s="6"/>
      <c r="D68" s="6">
        <v>8</v>
      </c>
      <c r="E68" s="6"/>
      <c r="F68" s="6"/>
      <c r="G68" s="6"/>
      <c r="H68" s="6">
        <v>8</v>
      </c>
      <c r="J68" s="6"/>
      <c r="K68" s="6"/>
      <c r="L68" s="6">
        <v>8</v>
      </c>
      <c r="M68" s="6"/>
      <c r="N68" s="6"/>
      <c r="O68" s="6"/>
    </row>
    <row r="69" spans="1:15" x14ac:dyDescent="0.3">
      <c r="A69" s="2" t="s">
        <v>710</v>
      </c>
      <c r="B69" s="6"/>
      <c r="C69" s="6"/>
      <c r="D69" s="6"/>
      <c r="E69" s="6">
        <v>16</v>
      </c>
      <c r="F69" s="6"/>
      <c r="G69" s="6"/>
      <c r="H69" s="6">
        <v>16</v>
      </c>
      <c r="J69" s="6"/>
      <c r="K69" s="6"/>
      <c r="L69" s="6"/>
      <c r="M69" s="6">
        <v>16</v>
      </c>
      <c r="N69" s="6"/>
      <c r="O69" s="6"/>
    </row>
    <row r="70" spans="1:15" x14ac:dyDescent="0.3">
      <c r="A70" s="2" t="s">
        <v>711</v>
      </c>
      <c r="B70" s="6"/>
      <c r="C70" s="6"/>
      <c r="D70" s="6"/>
      <c r="E70" s="6">
        <v>2</v>
      </c>
      <c r="F70" s="6"/>
      <c r="G70" s="6"/>
      <c r="H70" s="6">
        <v>2</v>
      </c>
      <c r="J70" s="6"/>
      <c r="K70" s="6"/>
      <c r="L70" s="6"/>
      <c r="M70" s="6">
        <v>2</v>
      </c>
      <c r="N70" s="6"/>
      <c r="O70" s="6"/>
    </row>
    <row r="71" spans="1:15" x14ac:dyDescent="0.3">
      <c r="A71" s="2" t="s">
        <v>712</v>
      </c>
      <c r="B71" s="6"/>
      <c r="C71" s="6"/>
      <c r="D71" s="6"/>
      <c r="E71" s="6">
        <v>12</v>
      </c>
      <c r="F71" s="6"/>
      <c r="G71" s="6"/>
      <c r="H71" s="6">
        <v>12</v>
      </c>
      <c r="J71" s="6"/>
      <c r="K71" s="6"/>
      <c r="L71" s="6"/>
      <c r="M71" s="6">
        <v>12</v>
      </c>
      <c r="N71" s="6"/>
      <c r="O71" s="6"/>
    </row>
    <row r="72" spans="1:15" x14ac:dyDescent="0.3">
      <c r="A72" s="2" t="s">
        <v>713</v>
      </c>
      <c r="B72" s="6"/>
      <c r="C72" s="6"/>
      <c r="D72" s="6"/>
      <c r="E72" s="6">
        <v>22</v>
      </c>
      <c r="F72" s="6"/>
      <c r="G72" s="6"/>
      <c r="H72" s="6">
        <v>22</v>
      </c>
      <c r="J72" s="6"/>
      <c r="K72" s="6"/>
      <c r="L72" s="6"/>
      <c r="M72" s="6">
        <v>22</v>
      </c>
      <c r="N72" s="6"/>
      <c r="O72" s="6"/>
    </row>
    <row r="73" spans="1:15" x14ac:dyDescent="0.3">
      <c r="A73" s="2" t="s">
        <v>714</v>
      </c>
      <c r="B73" s="6"/>
      <c r="C73" s="6"/>
      <c r="D73" s="6"/>
      <c r="E73" s="6">
        <v>4</v>
      </c>
      <c r="F73" s="6"/>
      <c r="G73" s="6"/>
      <c r="H73" s="6">
        <v>4</v>
      </c>
      <c r="J73" s="6"/>
      <c r="K73" s="6"/>
      <c r="L73" s="6"/>
      <c r="M73" s="6">
        <v>4</v>
      </c>
      <c r="N73" s="6"/>
      <c r="O73" s="6"/>
    </row>
    <row r="74" spans="1:15" x14ac:dyDescent="0.3">
      <c r="A74" s="2" t="s">
        <v>715</v>
      </c>
      <c r="B74" s="6"/>
      <c r="C74" s="6"/>
      <c r="D74" s="6"/>
      <c r="E74" s="6">
        <v>8</v>
      </c>
      <c r="F74" s="6"/>
      <c r="G74" s="6"/>
      <c r="H74" s="6">
        <v>8</v>
      </c>
      <c r="J74" s="6"/>
      <c r="K74" s="6"/>
      <c r="L74" s="6"/>
      <c r="M74" s="6">
        <v>8</v>
      </c>
      <c r="N74" s="6"/>
      <c r="O74" s="6"/>
    </row>
    <row r="75" spans="1:15" x14ac:dyDescent="0.3">
      <c r="A75" s="2" t="s">
        <v>716</v>
      </c>
      <c r="B75" s="6"/>
      <c r="C75" s="6"/>
      <c r="D75" s="6"/>
      <c r="E75" s="6">
        <v>8</v>
      </c>
      <c r="F75" s="6"/>
      <c r="G75" s="6"/>
      <c r="H75" s="6">
        <v>8</v>
      </c>
      <c r="J75" s="6"/>
      <c r="K75" s="6"/>
      <c r="L75" s="6"/>
      <c r="M75" s="6">
        <v>8</v>
      </c>
      <c r="N75" s="6"/>
      <c r="O75" s="6"/>
    </row>
    <row r="76" spans="1:15" x14ac:dyDescent="0.3">
      <c r="A76" s="2" t="s">
        <v>717</v>
      </c>
      <c r="B76" s="6"/>
      <c r="C76" s="6"/>
      <c r="D76" s="6"/>
      <c r="E76" s="6">
        <v>2</v>
      </c>
      <c r="F76" s="6"/>
      <c r="G76" s="6"/>
      <c r="H76" s="6">
        <v>2</v>
      </c>
      <c r="J76" s="6"/>
      <c r="K76" s="6"/>
      <c r="L76" s="6"/>
      <c r="M76" s="6">
        <v>2</v>
      </c>
      <c r="N76" s="6"/>
      <c r="O76" s="6"/>
    </row>
    <row r="77" spans="1:15" x14ac:dyDescent="0.3">
      <c r="A77" s="2" t="s">
        <v>718</v>
      </c>
      <c r="B77" s="6"/>
      <c r="C77" s="6"/>
      <c r="D77" s="6"/>
      <c r="E77" s="6">
        <v>6</v>
      </c>
      <c r="F77" s="6"/>
      <c r="G77" s="6"/>
      <c r="H77" s="6">
        <v>6</v>
      </c>
      <c r="J77" s="6"/>
      <c r="K77" s="6"/>
      <c r="L77" s="6"/>
      <c r="M77" s="6">
        <v>6</v>
      </c>
      <c r="N77" s="6"/>
      <c r="O77" s="6"/>
    </row>
    <row r="78" spans="1:15" x14ac:dyDescent="0.3">
      <c r="A78" s="2" t="s">
        <v>719</v>
      </c>
      <c r="B78" s="6"/>
      <c r="C78" s="6"/>
      <c r="D78" s="6"/>
      <c r="E78" s="6">
        <v>2</v>
      </c>
      <c r="F78" s="6"/>
      <c r="G78" s="6"/>
      <c r="H78" s="6">
        <v>2</v>
      </c>
      <c r="J78" s="6"/>
      <c r="K78" s="6"/>
      <c r="L78" s="6"/>
      <c r="M78" s="6">
        <v>2</v>
      </c>
      <c r="N78" s="6"/>
      <c r="O78" s="6"/>
    </row>
    <row r="79" spans="1:15" x14ac:dyDescent="0.3">
      <c r="A79" s="2" t="s">
        <v>720</v>
      </c>
      <c r="B79" s="6"/>
      <c r="C79" s="6"/>
      <c r="D79" s="6"/>
      <c r="E79" s="6">
        <v>2</v>
      </c>
      <c r="F79" s="6"/>
      <c r="G79" s="6"/>
      <c r="H79" s="6">
        <v>2</v>
      </c>
      <c r="J79" s="6"/>
      <c r="K79" s="6"/>
      <c r="L79" s="6"/>
      <c r="M79" s="6">
        <v>2</v>
      </c>
      <c r="N79" s="6"/>
      <c r="O79" s="6"/>
    </row>
    <row r="80" spans="1:15" x14ac:dyDescent="0.3">
      <c r="A80" s="2" t="s">
        <v>721</v>
      </c>
      <c r="B80" s="6"/>
      <c r="C80" s="6"/>
      <c r="D80" s="6"/>
      <c r="E80" s="6">
        <v>12</v>
      </c>
      <c r="F80" s="6"/>
      <c r="G80" s="6"/>
      <c r="H80" s="6">
        <v>12</v>
      </c>
      <c r="J80" s="6"/>
      <c r="K80" s="6"/>
      <c r="L80" s="6"/>
      <c r="M80" s="6">
        <v>12</v>
      </c>
      <c r="N80" s="6"/>
      <c r="O80" s="6"/>
    </row>
    <row r="81" spans="1:15" x14ac:dyDescent="0.3">
      <c r="A81" s="2" t="s">
        <v>722</v>
      </c>
      <c r="B81" s="6"/>
      <c r="C81" s="6"/>
      <c r="D81" s="6"/>
      <c r="E81" s="6">
        <v>40</v>
      </c>
      <c r="F81" s="6"/>
      <c r="G81" s="6"/>
      <c r="H81" s="6">
        <v>40</v>
      </c>
      <c r="J81" s="6"/>
      <c r="K81" s="6"/>
      <c r="L81" s="6"/>
      <c r="M81" s="6">
        <v>40</v>
      </c>
      <c r="N81" s="6"/>
      <c r="O81" s="6"/>
    </row>
    <row r="82" spans="1:15" x14ac:dyDescent="0.3">
      <c r="A82" s="2" t="s">
        <v>723</v>
      </c>
      <c r="B82" s="6"/>
      <c r="C82" s="6"/>
      <c r="D82" s="6"/>
      <c r="E82" s="6">
        <v>16</v>
      </c>
      <c r="F82" s="6"/>
      <c r="G82" s="6"/>
      <c r="H82" s="6">
        <v>16</v>
      </c>
      <c r="J82" s="6"/>
      <c r="K82" s="6"/>
      <c r="L82" s="6"/>
      <c r="M82" s="6">
        <v>16</v>
      </c>
      <c r="N82" s="6"/>
      <c r="O82" s="6"/>
    </row>
    <row r="83" spans="1:15" x14ac:dyDescent="0.3">
      <c r="A83" s="2" t="s">
        <v>724</v>
      </c>
      <c r="B83" s="6"/>
      <c r="C83" s="6"/>
      <c r="D83" s="6"/>
      <c r="E83" s="6">
        <v>4</v>
      </c>
      <c r="F83" s="6"/>
      <c r="G83" s="6"/>
      <c r="H83" s="6">
        <v>4</v>
      </c>
      <c r="J83" s="6"/>
      <c r="K83" s="6"/>
      <c r="L83" s="6"/>
      <c r="M83" s="6">
        <v>4</v>
      </c>
      <c r="N83" s="6"/>
      <c r="O83" s="6"/>
    </row>
    <row r="84" spans="1:15" x14ac:dyDescent="0.3">
      <c r="A84" s="2" t="s">
        <v>725</v>
      </c>
      <c r="B84" s="6"/>
      <c r="C84" s="6"/>
      <c r="D84" s="6"/>
      <c r="E84" s="6">
        <v>18</v>
      </c>
      <c r="F84" s="6"/>
      <c r="G84" s="6"/>
      <c r="H84" s="6">
        <v>18</v>
      </c>
      <c r="J84" s="6"/>
      <c r="K84" s="6"/>
      <c r="L84" s="6"/>
      <c r="M84" s="6">
        <v>18</v>
      </c>
      <c r="N84" s="6"/>
      <c r="O84" s="6"/>
    </row>
    <row r="85" spans="1:15" x14ac:dyDescent="0.3">
      <c r="A85" s="2" t="s">
        <v>726</v>
      </c>
      <c r="B85" s="6"/>
      <c r="C85" s="6"/>
      <c r="D85" s="6"/>
      <c r="E85" s="6">
        <v>2</v>
      </c>
      <c r="F85" s="6"/>
      <c r="G85" s="6"/>
      <c r="H85" s="6">
        <v>2</v>
      </c>
      <c r="J85" s="6"/>
      <c r="K85" s="6"/>
      <c r="L85" s="6"/>
      <c r="M85" s="6">
        <v>2</v>
      </c>
      <c r="N85" s="6"/>
      <c r="O85" s="6"/>
    </row>
    <row r="86" spans="1:15" x14ac:dyDescent="0.3">
      <c r="A86" s="2" t="s">
        <v>727</v>
      </c>
      <c r="B86" s="6"/>
      <c r="C86" s="6"/>
      <c r="D86" s="6"/>
      <c r="E86" s="6">
        <v>2</v>
      </c>
      <c r="F86" s="6"/>
      <c r="G86" s="6"/>
      <c r="H86" s="6">
        <v>2</v>
      </c>
      <c r="J86" s="6"/>
      <c r="K86" s="6"/>
      <c r="L86" s="6"/>
      <c r="M86" s="6">
        <v>2</v>
      </c>
      <c r="N86" s="6"/>
      <c r="O86" s="6"/>
    </row>
    <row r="87" spans="1:15" x14ac:dyDescent="0.3">
      <c r="A87" s="2" t="s">
        <v>728</v>
      </c>
      <c r="B87" s="6"/>
      <c r="C87" s="6"/>
      <c r="D87" s="6"/>
      <c r="E87" s="6">
        <v>10</v>
      </c>
      <c r="F87" s="6"/>
      <c r="G87" s="6"/>
      <c r="H87" s="6">
        <v>10</v>
      </c>
      <c r="J87" s="6"/>
      <c r="K87" s="6"/>
      <c r="L87" s="6"/>
      <c r="M87" s="6">
        <v>10</v>
      </c>
      <c r="N87" s="6"/>
      <c r="O87" s="6"/>
    </row>
    <row r="88" spans="1:15" x14ac:dyDescent="0.3">
      <c r="A88" s="2" t="s">
        <v>729</v>
      </c>
      <c r="B88" s="6"/>
      <c r="C88" s="6"/>
      <c r="D88" s="6"/>
      <c r="E88" s="6">
        <v>12</v>
      </c>
      <c r="F88" s="6"/>
      <c r="G88" s="6"/>
      <c r="H88" s="6">
        <v>12</v>
      </c>
      <c r="J88" s="6"/>
      <c r="K88" s="6"/>
      <c r="L88" s="6"/>
      <c r="M88" s="6">
        <v>12</v>
      </c>
      <c r="N88" s="6"/>
      <c r="O88" s="6"/>
    </row>
    <row r="89" spans="1:15" x14ac:dyDescent="0.3">
      <c r="A89" s="2" t="s">
        <v>730</v>
      </c>
      <c r="B89" s="6"/>
      <c r="C89" s="6"/>
      <c r="D89" s="6"/>
      <c r="E89" s="6">
        <v>18</v>
      </c>
      <c r="F89" s="6"/>
      <c r="G89" s="6"/>
      <c r="H89" s="6">
        <v>18</v>
      </c>
      <c r="J89" s="6"/>
      <c r="K89" s="6"/>
      <c r="L89" s="6"/>
      <c r="M89" s="6">
        <v>18</v>
      </c>
      <c r="N89" s="6"/>
      <c r="O89" s="6"/>
    </row>
    <row r="90" spans="1:15" x14ac:dyDescent="0.3">
      <c r="A90" s="2" t="s">
        <v>731</v>
      </c>
      <c r="B90" s="6"/>
      <c r="C90" s="6"/>
      <c r="D90" s="6"/>
      <c r="E90" s="6">
        <v>24</v>
      </c>
      <c r="F90" s="6"/>
      <c r="G90" s="6"/>
      <c r="H90" s="6">
        <v>24</v>
      </c>
      <c r="J90" s="6"/>
      <c r="K90" s="6"/>
      <c r="L90" s="6"/>
      <c r="M90" s="6">
        <v>24</v>
      </c>
      <c r="N90" s="6"/>
      <c r="O90" s="6"/>
    </row>
    <row r="91" spans="1:15" x14ac:dyDescent="0.3">
      <c r="A91" s="2" t="s">
        <v>732</v>
      </c>
      <c r="B91" s="6"/>
      <c r="C91" s="6"/>
      <c r="D91" s="6"/>
      <c r="E91" s="6">
        <v>2</v>
      </c>
      <c r="F91" s="6"/>
      <c r="G91" s="6"/>
      <c r="H91" s="6">
        <v>2</v>
      </c>
      <c r="J91" s="6"/>
      <c r="K91" s="6"/>
      <c r="L91" s="6"/>
      <c r="M91" s="6">
        <v>2</v>
      </c>
      <c r="N91" s="6"/>
      <c r="O91" s="6"/>
    </row>
    <row r="92" spans="1:15" x14ac:dyDescent="0.3">
      <c r="A92" s="2" t="s">
        <v>733</v>
      </c>
      <c r="B92" s="6"/>
      <c r="C92" s="6"/>
      <c r="D92" s="6"/>
      <c r="E92" s="6">
        <v>4</v>
      </c>
      <c r="F92" s="6"/>
      <c r="G92" s="6"/>
      <c r="H92" s="6">
        <v>4</v>
      </c>
      <c r="J92" s="6"/>
      <c r="K92" s="6"/>
      <c r="L92" s="6"/>
      <c r="M92" s="6">
        <v>4</v>
      </c>
      <c r="N92" s="6"/>
      <c r="O92" s="6"/>
    </row>
    <row r="93" spans="1:15" x14ac:dyDescent="0.3">
      <c r="A93" s="2" t="s">
        <v>734</v>
      </c>
      <c r="B93" s="6"/>
      <c r="C93" s="6"/>
      <c r="D93" s="6"/>
      <c r="E93" s="6">
        <v>24</v>
      </c>
      <c r="F93" s="6"/>
      <c r="G93" s="6"/>
      <c r="H93" s="6">
        <v>24</v>
      </c>
      <c r="J93" s="6"/>
      <c r="K93" s="6"/>
      <c r="L93" s="6"/>
      <c r="M93" s="6">
        <v>24</v>
      </c>
      <c r="N93" s="6"/>
      <c r="O93" s="6"/>
    </row>
    <row r="94" spans="1:15" x14ac:dyDescent="0.3">
      <c r="A94" s="2" t="s">
        <v>735</v>
      </c>
      <c r="B94" s="6"/>
      <c r="C94" s="6"/>
      <c r="D94" s="6"/>
      <c r="E94" s="6"/>
      <c r="F94" s="6">
        <v>8</v>
      </c>
      <c r="G94" s="6"/>
      <c r="H94" s="6">
        <v>8</v>
      </c>
      <c r="J94" s="6"/>
      <c r="K94" s="6"/>
      <c r="L94" s="6"/>
      <c r="M94" s="6"/>
      <c r="N94" s="6">
        <v>8</v>
      </c>
      <c r="O94" s="6"/>
    </row>
    <row r="95" spans="1:15" x14ac:dyDescent="0.3">
      <c r="A95" s="2" t="s">
        <v>736</v>
      </c>
      <c r="B95" s="6"/>
      <c r="C95" s="6"/>
      <c r="D95" s="6"/>
      <c r="E95" s="6"/>
      <c r="F95" s="6">
        <v>8</v>
      </c>
      <c r="G95" s="6"/>
      <c r="H95" s="6">
        <v>8</v>
      </c>
      <c r="J95" s="6"/>
      <c r="K95" s="6"/>
      <c r="L95" s="6"/>
      <c r="M95" s="6"/>
      <c r="N95" s="6">
        <v>8</v>
      </c>
      <c r="O95" s="6"/>
    </row>
    <row r="96" spans="1:15" x14ac:dyDescent="0.3">
      <c r="A96" s="2" t="s">
        <v>737</v>
      </c>
      <c r="B96" s="6"/>
      <c r="C96" s="6"/>
      <c r="D96" s="6"/>
      <c r="E96" s="6"/>
      <c r="F96" s="6">
        <v>10</v>
      </c>
      <c r="G96" s="6"/>
      <c r="H96" s="6">
        <v>10</v>
      </c>
      <c r="J96" s="6"/>
      <c r="K96" s="6"/>
      <c r="L96" s="6"/>
      <c r="M96" s="6"/>
      <c r="N96" s="6">
        <v>10</v>
      </c>
      <c r="O96" s="6"/>
    </row>
    <row r="97" spans="1:15" x14ac:dyDescent="0.3">
      <c r="A97" s="2" t="s">
        <v>738</v>
      </c>
      <c r="B97" s="6"/>
      <c r="C97" s="6"/>
      <c r="D97" s="6"/>
      <c r="E97" s="6"/>
      <c r="F97" s="6">
        <v>4</v>
      </c>
      <c r="G97" s="6"/>
      <c r="H97" s="6">
        <v>4</v>
      </c>
      <c r="J97" s="6"/>
      <c r="K97" s="6"/>
      <c r="L97" s="6"/>
      <c r="M97" s="6"/>
      <c r="N97" s="6">
        <v>4</v>
      </c>
      <c r="O97" s="6"/>
    </row>
    <row r="98" spans="1:15" x14ac:dyDescent="0.3">
      <c r="A98" s="2" t="s">
        <v>739</v>
      </c>
      <c r="B98" s="6"/>
      <c r="C98" s="6"/>
      <c r="D98" s="6"/>
      <c r="E98" s="6"/>
      <c r="F98" s="6">
        <v>2</v>
      </c>
      <c r="G98" s="6"/>
      <c r="H98" s="6">
        <v>2</v>
      </c>
      <c r="J98" s="6"/>
      <c r="K98" s="6"/>
      <c r="L98" s="6"/>
      <c r="M98" s="6"/>
      <c r="N98" s="6">
        <v>2</v>
      </c>
      <c r="O98" s="6"/>
    </row>
    <row r="99" spans="1:15" x14ac:dyDescent="0.3">
      <c r="A99" s="2" t="s">
        <v>740</v>
      </c>
      <c r="B99" s="6"/>
      <c r="C99" s="6"/>
      <c r="D99" s="6"/>
      <c r="E99" s="6"/>
      <c r="F99" s="6">
        <v>14</v>
      </c>
      <c r="G99" s="6"/>
      <c r="H99" s="6">
        <v>14</v>
      </c>
      <c r="J99" s="6"/>
      <c r="K99" s="6"/>
      <c r="L99" s="6"/>
      <c r="M99" s="6"/>
      <c r="N99" s="6">
        <v>14</v>
      </c>
      <c r="O99" s="6"/>
    </row>
    <row r="100" spans="1:15" x14ac:dyDescent="0.3">
      <c r="A100" s="2" t="s">
        <v>741</v>
      </c>
      <c r="B100" s="6"/>
      <c r="C100" s="6"/>
      <c r="D100" s="6"/>
      <c r="E100" s="6"/>
      <c r="F100" s="6">
        <v>2</v>
      </c>
      <c r="G100" s="6"/>
      <c r="H100" s="6">
        <v>2</v>
      </c>
      <c r="J100" s="6"/>
      <c r="K100" s="6"/>
      <c r="L100" s="6"/>
      <c r="M100" s="6"/>
      <c r="N100" s="6">
        <v>2</v>
      </c>
      <c r="O100" s="6"/>
    </row>
    <row r="101" spans="1:15" x14ac:dyDescent="0.3">
      <c r="A101" s="2" t="s">
        <v>742</v>
      </c>
      <c r="B101" s="6"/>
      <c r="C101" s="6"/>
      <c r="D101" s="6"/>
      <c r="E101" s="6"/>
      <c r="F101" s="6">
        <v>6</v>
      </c>
      <c r="G101" s="6"/>
      <c r="H101" s="6">
        <v>6</v>
      </c>
      <c r="J101" s="6"/>
      <c r="K101" s="6"/>
      <c r="L101" s="6"/>
      <c r="M101" s="6"/>
      <c r="N101" s="6">
        <v>6</v>
      </c>
      <c r="O101" s="6"/>
    </row>
    <row r="102" spans="1:15" x14ac:dyDescent="0.3">
      <c r="A102" s="2" t="s">
        <v>743</v>
      </c>
      <c r="B102" s="6"/>
      <c r="C102" s="6"/>
      <c r="D102" s="6"/>
      <c r="E102" s="6"/>
      <c r="F102" s="6">
        <v>10</v>
      </c>
      <c r="G102" s="6"/>
      <c r="H102" s="6">
        <v>10</v>
      </c>
      <c r="J102" s="6"/>
      <c r="K102" s="6"/>
      <c r="L102" s="6"/>
      <c r="M102" s="6"/>
      <c r="N102" s="6">
        <v>10</v>
      </c>
      <c r="O102" s="6"/>
    </row>
    <row r="103" spans="1:15" x14ac:dyDescent="0.3">
      <c r="A103" s="2" t="s">
        <v>744</v>
      </c>
      <c r="B103" s="6"/>
      <c r="C103" s="6"/>
      <c r="D103" s="6"/>
      <c r="E103" s="6"/>
      <c r="F103" s="6">
        <v>10</v>
      </c>
      <c r="G103" s="6"/>
      <c r="H103" s="6">
        <v>10</v>
      </c>
      <c r="J103" s="6"/>
      <c r="K103" s="6"/>
      <c r="L103" s="6"/>
      <c r="M103" s="6"/>
      <c r="N103" s="6">
        <v>10</v>
      </c>
      <c r="O103" s="6"/>
    </row>
    <row r="104" spans="1:15" x14ac:dyDescent="0.3">
      <c r="A104" s="2" t="s">
        <v>745</v>
      </c>
      <c r="B104" s="6"/>
      <c r="C104" s="6"/>
      <c r="D104" s="6"/>
      <c r="E104" s="6"/>
      <c r="F104" s="6">
        <v>6</v>
      </c>
      <c r="G104" s="6"/>
      <c r="H104" s="6">
        <v>6</v>
      </c>
      <c r="J104" s="6"/>
      <c r="K104" s="6"/>
      <c r="L104" s="6"/>
      <c r="M104" s="6"/>
      <c r="N104" s="6">
        <v>6</v>
      </c>
      <c r="O104" s="6"/>
    </row>
    <row r="105" spans="1:15" x14ac:dyDescent="0.3">
      <c r="A105" s="2" t="s">
        <v>746</v>
      </c>
      <c r="B105" s="6"/>
      <c r="C105" s="6"/>
      <c r="D105" s="6"/>
      <c r="E105" s="6"/>
      <c r="F105" s="6">
        <v>8</v>
      </c>
      <c r="G105" s="6"/>
      <c r="H105" s="6">
        <v>8</v>
      </c>
      <c r="J105" s="6"/>
      <c r="K105" s="6"/>
      <c r="L105" s="6"/>
      <c r="M105" s="6"/>
      <c r="N105" s="6">
        <v>8</v>
      </c>
      <c r="O105" s="6"/>
    </row>
    <row r="106" spans="1:15" x14ac:dyDescent="0.3">
      <c r="A106" s="2" t="s">
        <v>747</v>
      </c>
      <c r="B106" s="6"/>
      <c r="C106" s="6"/>
      <c r="D106" s="6"/>
      <c r="E106" s="6"/>
      <c r="F106" s="6">
        <v>6</v>
      </c>
      <c r="G106" s="6"/>
      <c r="H106" s="6">
        <v>6</v>
      </c>
      <c r="J106" s="6"/>
      <c r="K106" s="6"/>
      <c r="L106" s="6"/>
      <c r="M106" s="6"/>
      <c r="N106" s="6">
        <v>6</v>
      </c>
      <c r="O106" s="6"/>
    </row>
    <row r="107" spans="1:15" x14ac:dyDescent="0.3">
      <c r="A107" s="2" t="s">
        <v>748</v>
      </c>
      <c r="B107" s="6"/>
      <c r="C107" s="6"/>
      <c r="D107" s="6"/>
      <c r="E107" s="6"/>
      <c r="F107" s="6">
        <v>8</v>
      </c>
      <c r="G107" s="6"/>
      <c r="H107" s="6">
        <v>8</v>
      </c>
      <c r="J107" s="6"/>
      <c r="K107" s="6"/>
      <c r="L107" s="6"/>
      <c r="M107" s="6"/>
      <c r="N107" s="6">
        <v>8</v>
      </c>
      <c r="O107" s="6"/>
    </row>
    <row r="108" spans="1:15" x14ac:dyDescent="0.3">
      <c r="A108" s="2" t="s">
        <v>749</v>
      </c>
      <c r="B108" s="6"/>
      <c r="C108" s="6"/>
      <c r="D108" s="6"/>
      <c r="E108" s="6"/>
      <c r="F108" s="6">
        <v>8</v>
      </c>
      <c r="G108" s="6"/>
      <c r="H108" s="6">
        <v>8</v>
      </c>
      <c r="J108" s="6"/>
      <c r="K108" s="6"/>
      <c r="L108" s="6"/>
      <c r="M108" s="6"/>
      <c r="N108" s="6">
        <v>8</v>
      </c>
      <c r="O108" s="6"/>
    </row>
    <row r="109" spans="1:15" x14ac:dyDescent="0.3">
      <c r="A109" s="2" t="s">
        <v>750</v>
      </c>
      <c r="B109" s="6"/>
      <c r="C109" s="6"/>
      <c r="D109" s="6"/>
      <c r="E109" s="6"/>
      <c r="F109" s="6">
        <v>8</v>
      </c>
      <c r="G109" s="6"/>
      <c r="H109" s="6">
        <v>8</v>
      </c>
      <c r="J109" s="6"/>
      <c r="K109" s="6"/>
      <c r="L109" s="6"/>
      <c r="M109" s="6"/>
      <c r="N109" s="6">
        <v>8</v>
      </c>
      <c r="O109" s="6"/>
    </row>
    <row r="110" spans="1:15" x14ac:dyDescent="0.3">
      <c r="A110" s="2" t="s">
        <v>751</v>
      </c>
      <c r="B110" s="6"/>
      <c r="C110" s="6"/>
      <c r="D110" s="6"/>
      <c r="E110" s="6"/>
      <c r="F110" s="6">
        <v>12</v>
      </c>
      <c r="G110" s="6"/>
      <c r="H110" s="6">
        <v>12</v>
      </c>
      <c r="J110" s="6"/>
      <c r="K110" s="6"/>
      <c r="L110" s="6"/>
      <c r="M110" s="6"/>
      <c r="N110" s="6">
        <v>12</v>
      </c>
      <c r="O110" s="6"/>
    </row>
    <row r="111" spans="1:15" x14ac:dyDescent="0.3">
      <c r="A111" s="2" t="s">
        <v>752</v>
      </c>
      <c r="B111" s="6"/>
      <c r="C111" s="6"/>
      <c r="D111" s="6"/>
      <c r="E111" s="6"/>
      <c r="F111" s="6">
        <v>20</v>
      </c>
      <c r="G111" s="6"/>
      <c r="H111" s="6">
        <v>20</v>
      </c>
      <c r="J111" s="6"/>
      <c r="K111" s="6"/>
      <c r="L111" s="6"/>
      <c r="M111" s="6"/>
      <c r="N111" s="6">
        <v>20</v>
      </c>
      <c r="O111" s="6"/>
    </row>
    <row r="112" spans="1:15" x14ac:dyDescent="0.3">
      <c r="A112" s="2" t="s">
        <v>753</v>
      </c>
      <c r="B112" s="6"/>
      <c r="C112" s="6"/>
      <c r="D112" s="6"/>
      <c r="E112" s="6"/>
      <c r="F112" s="6">
        <v>2</v>
      </c>
      <c r="G112" s="6"/>
      <c r="H112" s="6">
        <v>2</v>
      </c>
      <c r="J112" s="6"/>
      <c r="K112" s="6"/>
      <c r="L112" s="6"/>
      <c r="M112" s="6"/>
      <c r="N112" s="6">
        <v>2</v>
      </c>
      <c r="O112" s="6"/>
    </row>
    <row r="113" spans="1:15" x14ac:dyDescent="0.3">
      <c r="A113" s="2" t="s">
        <v>754</v>
      </c>
      <c r="B113" s="6"/>
      <c r="C113" s="6"/>
      <c r="D113" s="6"/>
      <c r="E113" s="6"/>
      <c r="F113" s="6">
        <v>4</v>
      </c>
      <c r="G113" s="6"/>
      <c r="H113" s="6">
        <v>4</v>
      </c>
      <c r="J113" s="6"/>
      <c r="K113" s="6"/>
      <c r="L113" s="6"/>
      <c r="M113" s="6"/>
      <c r="N113" s="6">
        <v>4</v>
      </c>
      <c r="O113" s="6"/>
    </row>
    <row r="114" spans="1:15" x14ac:dyDescent="0.3">
      <c r="A114" s="2" t="s">
        <v>755</v>
      </c>
      <c r="B114" s="6"/>
      <c r="C114" s="6"/>
      <c r="D114" s="6"/>
      <c r="E114" s="6"/>
      <c r="F114" s="6">
        <v>8</v>
      </c>
      <c r="G114" s="6"/>
      <c r="H114" s="6">
        <v>8</v>
      </c>
      <c r="J114" s="6"/>
      <c r="K114" s="6"/>
      <c r="L114" s="6"/>
      <c r="M114" s="6"/>
      <c r="N114" s="6">
        <v>8</v>
      </c>
      <c r="O114" s="6"/>
    </row>
    <row r="115" spans="1:15" x14ac:dyDescent="0.3">
      <c r="A115" s="2" t="s">
        <v>756</v>
      </c>
      <c r="B115" s="6"/>
      <c r="C115" s="6"/>
      <c r="D115" s="6"/>
      <c r="E115" s="6"/>
      <c r="F115" s="6">
        <v>2</v>
      </c>
      <c r="G115" s="6"/>
      <c r="H115" s="6">
        <v>2</v>
      </c>
      <c r="J115" s="6"/>
      <c r="K115" s="6"/>
      <c r="L115" s="6"/>
      <c r="M115" s="6"/>
      <c r="N115" s="6">
        <v>2</v>
      </c>
      <c r="O115" s="6"/>
    </row>
    <row r="116" spans="1:15" x14ac:dyDescent="0.3">
      <c r="A116" s="2" t="s">
        <v>757</v>
      </c>
      <c r="B116" s="6"/>
      <c r="C116" s="6"/>
      <c r="D116" s="6"/>
      <c r="E116" s="6"/>
      <c r="F116" s="6">
        <v>2</v>
      </c>
      <c r="G116" s="6"/>
      <c r="H116" s="6">
        <v>2</v>
      </c>
      <c r="J116" s="6"/>
      <c r="K116" s="6"/>
      <c r="L116" s="6"/>
      <c r="M116" s="6"/>
      <c r="N116" s="6">
        <v>2</v>
      </c>
      <c r="O116" s="6"/>
    </row>
    <row r="117" spans="1:15" x14ac:dyDescent="0.3">
      <c r="A117" s="2" t="s">
        <v>758</v>
      </c>
      <c r="B117" s="6"/>
      <c r="C117" s="6"/>
      <c r="D117" s="6"/>
      <c r="E117" s="6"/>
      <c r="F117" s="6">
        <v>2</v>
      </c>
      <c r="G117" s="6"/>
      <c r="H117" s="6">
        <v>2</v>
      </c>
      <c r="J117" s="6"/>
      <c r="K117" s="6"/>
      <c r="L117" s="6"/>
      <c r="M117" s="6"/>
      <c r="N117" s="6">
        <v>2</v>
      </c>
      <c r="O117" s="6"/>
    </row>
    <row r="118" spans="1:15" x14ac:dyDescent="0.3">
      <c r="A118" s="2" t="s">
        <v>759</v>
      </c>
      <c r="B118" s="6"/>
      <c r="C118" s="6"/>
      <c r="D118" s="6"/>
      <c r="E118" s="6"/>
      <c r="F118" s="6">
        <v>8</v>
      </c>
      <c r="G118" s="6"/>
      <c r="H118" s="6">
        <v>8</v>
      </c>
      <c r="J118" s="6"/>
      <c r="K118" s="6"/>
      <c r="L118" s="6"/>
      <c r="M118" s="6"/>
      <c r="N118" s="6">
        <v>8</v>
      </c>
      <c r="O118" s="6"/>
    </row>
    <row r="119" spans="1:15" x14ac:dyDescent="0.3">
      <c r="A119" s="2" t="s">
        <v>760</v>
      </c>
      <c r="B119" s="6"/>
      <c r="C119" s="6"/>
      <c r="D119" s="6"/>
      <c r="E119" s="6"/>
      <c r="F119" s="6"/>
      <c r="G119" s="6">
        <v>6</v>
      </c>
      <c r="H119" s="6">
        <v>6</v>
      </c>
      <c r="J119" s="6"/>
      <c r="K119" s="6"/>
      <c r="L119" s="6"/>
      <c r="M119" s="6"/>
      <c r="N119" s="6"/>
      <c r="O119" s="6">
        <v>6</v>
      </c>
    </row>
    <row r="120" spans="1:15" x14ac:dyDescent="0.3">
      <c r="A120" s="2" t="s">
        <v>761</v>
      </c>
      <c r="B120" s="6"/>
      <c r="C120" s="6"/>
      <c r="D120" s="6"/>
      <c r="E120" s="6"/>
      <c r="F120" s="6"/>
      <c r="G120" s="6">
        <v>8</v>
      </c>
      <c r="H120" s="6">
        <v>8</v>
      </c>
      <c r="J120" s="6"/>
      <c r="K120" s="6"/>
      <c r="L120" s="6"/>
      <c r="M120" s="6"/>
      <c r="N120" s="6"/>
      <c r="O120" s="6">
        <v>8</v>
      </c>
    </row>
    <row r="121" spans="1:15" x14ac:dyDescent="0.3">
      <c r="A121" s="2" t="s">
        <v>762</v>
      </c>
      <c r="B121" s="6"/>
      <c r="C121" s="6"/>
      <c r="D121" s="6"/>
      <c r="E121" s="6"/>
      <c r="F121" s="6"/>
      <c r="G121" s="6">
        <v>2</v>
      </c>
      <c r="H121" s="6">
        <v>2</v>
      </c>
      <c r="J121" s="6"/>
      <c r="K121" s="6"/>
      <c r="L121" s="6"/>
      <c r="M121" s="6"/>
      <c r="N121" s="6"/>
      <c r="O121" s="6">
        <v>2</v>
      </c>
    </row>
    <row r="122" spans="1:15" x14ac:dyDescent="0.3">
      <c r="A122" s="2" t="s">
        <v>763</v>
      </c>
      <c r="B122" s="6"/>
      <c r="C122" s="6"/>
      <c r="D122" s="6"/>
      <c r="E122" s="6"/>
      <c r="F122" s="6"/>
      <c r="G122" s="6">
        <v>12</v>
      </c>
      <c r="H122" s="6">
        <v>12</v>
      </c>
      <c r="J122" s="6"/>
      <c r="K122" s="6"/>
      <c r="L122" s="6"/>
      <c r="M122" s="6"/>
      <c r="N122" s="6"/>
      <c r="O122" s="6">
        <v>12</v>
      </c>
    </row>
    <row r="123" spans="1:15" x14ac:dyDescent="0.3">
      <c r="A123" s="2" t="s">
        <v>764</v>
      </c>
      <c r="B123" s="6"/>
      <c r="C123" s="6"/>
      <c r="D123" s="6"/>
      <c r="E123" s="6"/>
      <c r="F123" s="6"/>
      <c r="G123" s="6">
        <v>10</v>
      </c>
      <c r="H123" s="6">
        <v>10</v>
      </c>
      <c r="J123" s="6"/>
      <c r="K123" s="6"/>
      <c r="L123" s="6"/>
      <c r="M123" s="6"/>
      <c r="N123" s="6"/>
      <c r="O123" s="6">
        <v>10</v>
      </c>
    </row>
    <row r="124" spans="1:15" x14ac:dyDescent="0.3">
      <c r="A124" s="2" t="s">
        <v>765</v>
      </c>
      <c r="B124" s="6"/>
      <c r="C124" s="6"/>
      <c r="D124" s="6"/>
      <c r="E124" s="6"/>
      <c r="F124" s="6"/>
      <c r="G124" s="6">
        <v>12</v>
      </c>
      <c r="H124" s="6">
        <v>12</v>
      </c>
      <c r="J124" s="6"/>
      <c r="K124" s="6"/>
      <c r="L124" s="6"/>
      <c r="M124" s="6"/>
      <c r="N124" s="6"/>
      <c r="O124" s="6">
        <v>12</v>
      </c>
    </row>
    <row r="125" spans="1:15" x14ac:dyDescent="0.3">
      <c r="A125" s="2" t="s">
        <v>766</v>
      </c>
      <c r="B125" s="6"/>
      <c r="C125" s="6"/>
      <c r="D125" s="6"/>
      <c r="E125" s="6"/>
      <c r="F125" s="6"/>
      <c r="G125" s="6">
        <v>16</v>
      </c>
      <c r="H125" s="6">
        <v>16</v>
      </c>
      <c r="J125" s="6"/>
      <c r="K125" s="6"/>
      <c r="L125" s="6"/>
      <c r="M125" s="6"/>
      <c r="N125" s="6"/>
      <c r="O125" s="6">
        <v>16</v>
      </c>
    </row>
    <row r="126" spans="1:15" x14ac:dyDescent="0.3">
      <c r="A126" s="2" t="s">
        <v>767</v>
      </c>
      <c r="B126" s="6"/>
      <c r="C126" s="6"/>
      <c r="D126" s="6"/>
      <c r="E126" s="6"/>
      <c r="F126" s="6"/>
      <c r="G126" s="6">
        <v>2</v>
      </c>
      <c r="H126" s="6">
        <v>2</v>
      </c>
      <c r="J126" s="6"/>
      <c r="K126" s="6"/>
      <c r="L126" s="6"/>
      <c r="M126" s="6"/>
      <c r="N126" s="6"/>
      <c r="O126" s="6">
        <v>2</v>
      </c>
    </row>
    <row r="127" spans="1:15" x14ac:dyDescent="0.3">
      <c r="A127" s="2" t="s">
        <v>768</v>
      </c>
      <c r="B127" s="6"/>
      <c r="C127" s="6"/>
      <c r="D127" s="6"/>
      <c r="E127" s="6"/>
      <c r="F127" s="6"/>
      <c r="G127" s="6">
        <v>54</v>
      </c>
      <c r="H127" s="6">
        <v>54</v>
      </c>
      <c r="J127" s="6"/>
      <c r="K127" s="6"/>
      <c r="L127" s="6"/>
      <c r="M127" s="6"/>
      <c r="N127" s="6"/>
      <c r="O127" s="6">
        <v>54</v>
      </c>
    </row>
    <row r="128" spans="1:15" x14ac:dyDescent="0.3">
      <c r="A128" s="2" t="s">
        <v>769</v>
      </c>
      <c r="B128" s="6"/>
      <c r="C128" s="6"/>
      <c r="D128" s="6"/>
      <c r="E128" s="6"/>
      <c r="F128" s="6"/>
      <c r="G128" s="6">
        <v>2</v>
      </c>
      <c r="H128" s="6">
        <v>2</v>
      </c>
      <c r="J128" s="6"/>
      <c r="K128" s="6"/>
      <c r="L128" s="6"/>
      <c r="M128" s="6"/>
      <c r="N128" s="6"/>
      <c r="O128" s="6">
        <v>2</v>
      </c>
    </row>
    <row r="129" spans="1:15" x14ac:dyDescent="0.3">
      <c r="A129" s="2" t="s">
        <v>770</v>
      </c>
      <c r="B129" s="6"/>
      <c r="C129" s="6"/>
      <c r="D129" s="6"/>
      <c r="E129" s="6"/>
      <c r="F129" s="6"/>
      <c r="G129" s="6">
        <v>4</v>
      </c>
      <c r="H129" s="6">
        <v>4</v>
      </c>
      <c r="J129" s="6"/>
      <c r="K129" s="6"/>
      <c r="L129" s="6"/>
      <c r="M129" s="6"/>
      <c r="N129" s="6"/>
      <c r="O129" s="6">
        <v>4</v>
      </c>
    </row>
    <row r="130" spans="1:15" x14ac:dyDescent="0.3">
      <c r="A130" s="2" t="s">
        <v>771</v>
      </c>
      <c r="B130" s="6"/>
      <c r="C130" s="6"/>
      <c r="D130" s="6"/>
      <c r="E130" s="6"/>
      <c r="F130" s="6"/>
      <c r="G130" s="6">
        <v>4</v>
      </c>
      <c r="H130" s="6">
        <v>4</v>
      </c>
      <c r="J130" s="6"/>
      <c r="K130" s="6"/>
      <c r="L130" s="6"/>
      <c r="M130" s="6"/>
      <c r="N130" s="6"/>
      <c r="O130" s="6">
        <v>4</v>
      </c>
    </row>
    <row r="131" spans="1:15" x14ac:dyDescent="0.3">
      <c r="A131" s="2" t="s">
        <v>772</v>
      </c>
      <c r="B131" s="6"/>
      <c r="C131" s="6"/>
      <c r="D131" s="6"/>
      <c r="E131" s="6"/>
      <c r="F131" s="6"/>
      <c r="G131" s="6">
        <v>2</v>
      </c>
      <c r="H131" s="6">
        <v>2</v>
      </c>
      <c r="J131" s="6"/>
      <c r="K131" s="6"/>
      <c r="L131" s="6"/>
      <c r="M131" s="6"/>
      <c r="N131" s="6"/>
      <c r="O131" s="6">
        <v>2</v>
      </c>
    </row>
    <row r="132" spans="1:15" x14ac:dyDescent="0.3">
      <c r="A132" s="2" t="s">
        <v>773</v>
      </c>
      <c r="B132" s="6"/>
      <c r="C132" s="6"/>
      <c r="D132" s="6"/>
      <c r="E132" s="6"/>
      <c r="F132" s="6"/>
      <c r="G132" s="6">
        <v>8</v>
      </c>
      <c r="H132" s="6">
        <v>8</v>
      </c>
      <c r="J132" s="6"/>
      <c r="K132" s="6"/>
      <c r="L132" s="6"/>
      <c r="M132" s="6"/>
      <c r="N132" s="6"/>
      <c r="O132" s="6">
        <v>8</v>
      </c>
    </row>
    <row r="133" spans="1:15" x14ac:dyDescent="0.3">
      <c r="A133" s="2" t="s">
        <v>774</v>
      </c>
      <c r="B133" s="6"/>
      <c r="C133" s="6"/>
      <c r="D133" s="6"/>
      <c r="E133" s="6"/>
      <c r="F133" s="6"/>
      <c r="G133" s="6">
        <v>8</v>
      </c>
      <c r="H133" s="6">
        <v>8</v>
      </c>
      <c r="J133" s="6"/>
      <c r="K133" s="6"/>
      <c r="L133" s="6"/>
      <c r="M133" s="6"/>
      <c r="N133" s="6"/>
      <c r="O133" s="6">
        <v>8</v>
      </c>
    </row>
    <row r="134" spans="1:15" x14ac:dyDescent="0.3">
      <c r="A134" s="2" t="s">
        <v>775</v>
      </c>
      <c r="B134" s="6"/>
      <c r="C134" s="6"/>
      <c r="D134" s="6"/>
      <c r="E134" s="6"/>
      <c r="F134" s="6"/>
      <c r="G134" s="6">
        <v>20</v>
      </c>
      <c r="H134" s="6">
        <v>20</v>
      </c>
      <c r="J134" s="6"/>
      <c r="K134" s="6"/>
      <c r="L134" s="6"/>
      <c r="M134" s="6"/>
      <c r="N134" s="6"/>
      <c r="O134" s="6">
        <v>20</v>
      </c>
    </row>
    <row r="135" spans="1:15" x14ac:dyDescent="0.3">
      <c r="A135" s="2" t="s">
        <v>776</v>
      </c>
      <c r="B135" s="6"/>
      <c r="C135" s="6"/>
      <c r="D135" s="6"/>
      <c r="E135" s="6"/>
      <c r="F135" s="6"/>
      <c r="G135" s="6">
        <v>4</v>
      </c>
      <c r="H135" s="6">
        <v>4</v>
      </c>
      <c r="J135" s="6"/>
      <c r="K135" s="6"/>
      <c r="L135" s="6"/>
      <c r="M135" s="6"/>
      <c r="N135" s="6"/>
      <c r="O135" s="6">
        <v>4</v>
      </c>
    </row>
    <row r="136" spans="1:15" x14ac:dyDescent="0.3">
      <c r="A136" s="2" t="s">
        <v>777</v>
      </c>
      <c r="B136" s="6"/>
      <c r="C136" s="6"/>
      <c r="D136" s="6"/>
      <c r="E136" s="6"/>
      <c r="F136" s="6"/>
      <c r="G136" s="6">
        <v>32</v>
      </c>
      <c r="H136" s="6">
        <v>32</v>
      </c>
      <c r="J136" s="6"/>
      <c r="K136" s="6"/>
      <c r="L136" s="6"/>
      <c r="M136" s="6"/>
      <c r="N136" s="6"/>
      <c r="O136" s="6">
        <v>32</v>
      </c>
    </row>
    <row r="137" spans="1:15" x14ac:dyDescent="0.3">
      <c r="A137" s="2" t="s">
        <v>778</v>
      </c>
      <c r="B137" s="6"/>
      <c r="C137" s="6"/>
      <c r="D137" s="6"/>
      <c r="E137" s="6"/>
      <c r="F137" s="6"/>
      <c r="G137" s="6">
        <v>6</v>
      </c>
      <c r="H137" s="6">
        <v>6</v>
      </c>
      <c r="J137" s="6"/>
      <c r="K137" s="6"/>
      <c r="L137" s="6"/>
      <c r="M137" s="6"/>
      <c r="N137" s="6"/>
      <c r="O137" s="6">
        <v>6</v>
      </c>
    </row>
    <row r="138" spans="1:15" x14ac:dyDescent="0.3">
      <c r="A138" s="2" t="s">
        <v>779</v>
      </c>
      <c r="B138" s="6"/>
      <c r="C138" s="6"/>
      <c r="D138" s="6"/>
      <c r="E138" s="6"/>
      <c r="F138" s="6"/>
      <c r="G138" s="6">
        <v>14</v>
      </c>
      <c r="H138" s="6">
        <v>14</v>
      </c>
      <c r="J138" s="6"/>
      <c r="K138" s="6"/>
      <c r="L138" s="6"/>
      <c r="M138" s="6"/>
      <c r="N138" s="6"/>
      <c r="O138" s="6">
        <v>14</v>
      </c>
    </row>
    <row r="139" spans="1:15" x14ac:dyDescent="0.3">
      <c r="A139" s="2" t="s">
        <v>780</v>
      </c>
      <c r="B139" s="6"/>
      <c r="C139" s="6"/>
      <c r="D139" s="6"/>
      <c r="E139" s="6"/>
      <c r="F139" s="6"/>
      <c r="G139" s="6">
        <v>24</v>
      </c>
      <c r="H139" s="6">
        <v>24</v>
      </c>
      <c r="J139" s="6"/>
      <c r="K139" s="6"/>
      <c r="L139" s="6"/>
      <c r="M139" s="6"/>
      <c r="N139" s="6"/>
      <c r="O139" s="6">
        <v>24</v>
      </c>
    </row>
    <row r="140" spans="1:15" x14ac:dyDescent="0.3">
      <c r="A140" s="2" t="s">
        <v>781</v>
      </c>
      <c r="B140" s="6"/>
      <c r="C140" s="6"/>
      <c r="D140" s="6"/>
      <c r="E140" s="6"/>
      <c r="F140" s="6"/>
      <c r="G140" s="6">
        <v>8</v>
      </c>
      <c r="H140" s="6">
        <v>8</v>
      </c>
      <c r="J140" s="6"/>
      <c r="K140" s="6"/>
      <c r="L140" s="6"/>
      <c r="M140" s="6"/>
      <c r="N140" s="6"/>
      <c r="O140" s="6">
        <v>8</v>
      </c>
    </row>
    <row r="141" spans="1:15" x14ac:dyDescent="0.3">
      <c r="A141" s="2" t="s">
        <v>782</v>
      </c>
      <c r="B141" s="6"/>
      <c r="C141" s="6"/>
      <c r="D141" s="6"/>
      <c r="E141" s="6"/>
      <c r="F141" s="6"/>
      <c r="G141" s="6">
        <v>2</v>
      </c>
      <c r="H141" s="6">
        <v>2</v>
      </c>
      <c r="J141" s="6"/>
      <c r="K141" s="6"/>
      <c r="L141" s="6"/>
      <c r="M141" s="6"/>
      <c r="N141" s="6"/>
      <c r="O141" s="6">
        <v>2</v>
      </c>
    </row>
    <row r="142" spans="1:15" x14ac:dyDescent="0.3">
      <c r="A142" s="2" t="s">
        <v>783</v>
      </c>
      <c r="B142" s="6"/>
      <c r="C142" s="6"/>
      <c r="D142" s="6"/>
      <c r="E142" s="6"/>
      <c r="F142" s="6"/>
      <c r="G142" s="6">
        <v>2</v>
      </c>
      <c r="H142" s="6">
        <v>2</v>
      </c>
      <c r="J142" s="6"/>
      <c r="K142" s="6"/>
      <c r="L142" s="6"/>
      <c r="M142" s="6"/>
      <c r="N142" s="6"/>
      <c r="O142" s="6">
        <v>2</v>
      </c>
    </row>
    <row r="143" spans="1:15" x14ac:dyDescent="0.3">
      <c r="A143" s="2" t="s">
        <v>784</v>
      </c>
      <c r="B143" s="6"/>
      <c r="C143" s="6"/>
      <c r="D143" s="6"/>
      <c r="E143" s="6"/>
      <c r="F143" s="6"/>
      <c r="G143" s="6">
        <v>12</v>
      </c>
      <c r="H143" s="6">
        <v>12</v>
      </c>
      <c r="J143" s="6"/>
      <c r="K143" s="6"/>
      <c r="L143" s="6"/>
      <c r="M143" s="6"/>
      <c r="N143" s="6"/>
      <c r="O143" s="6">
        <v>12</v>
      </c>
    </row>
    <row r="144" spans="1:15" x14ac:dyDescent="0.3">
      <c r="A144" s="2" t="s">
        <v>640</v>
      </c>
      <c r="B144" s="6">
        <v>156</v>
      </c>
      <c r="C144" s="6">
        <v>194</v>
      </c>
      <c r="D144" s="6">
        <v>204</v>
      </c>
      <c r="E144" s="6">
        <v>272</v>
      </c>
      <c r="F144" s="6">
        <v>178</v>
      </c>
      <c r="G144" s="6">
        <v>274</v>
      </c>
      <c r="H144" s="6">
        <v>1278</v>
      </c>
      <c r="J144" s="9"/>
      <c r="K144" s="9"/>
      <c r="L144" s="9"/>
      <c r="M144" s="9"/>
      <c r="N144" s="9"/>
      <c r="O144" s="9"/>
    </row>
  </sheetData>
  <autoFilter ref="J2:O2" xr:uid="{DD5FC582-35B8-450D-9F71-943063FCB0AF}"/>
  <phoneticPr fontId="2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F7A50-E799-4568-B7BA-5D4FFC22BA17}">
  <dimension ref="A1:C27"/>
  <sheetViews>
    <sheetView workbookViewId="0">
      <selection activeCell="C13" sqref="C13"/>
    </sheetView>
  </sheetViews>
  <sheetFormatPr defaultRowHeight="14.4" x14ac:dyDescent="0.3"/>
  <cols>
    <col min="1" max="1" width="42.21875" bestFit="1" customWidth="1"/>
    <col min="2" max="2" width="16.21875" bestFit="1" customWidth="1"/>
  </cols>
  <sheetData>
    <row r="1" spans="1:2" x14ac:dyDescent="0.3">
      <c r="A1" s="5" t="s">
        <v>20</v>
      </c>
      <c r="B1" t="s">
        <v>703</v>
      </c>
    </row>
    <row r="3" spans="1:2" x14ac:dyDescent="0.3">
      <c r="A3" s="5" t="s">
        <v>639</v>
      </c>
      <c r="B3" t="s">
        <v>344</v>
      </c>
    </row>
    <row r="4" spans="1:2" x14ac:dyDescent="0.3">
      <c r="A4" s="2" t="s">
        <v>152</v>
      </c>
      <c r="B4" s="8">
        <v>0.65359477124183007</v>
      </c>
    </row>
    <row r="5" spans="1:2" x14ac:dyDescent="0.3">
      <c r="A5" s="2" t="s">
        <v>705</v>
      </c>
      <c r="B5" s="8">
        <v>0.1111111111111111</v>
      </c>
    </row>
    <row r="6" spans="1:2" x14ac:dyDescent="0.3">
      <c r="A6" s="2" t="s">
        <v>704</v>
      </c>
      <c r="B6" s="8">
        <v>7.1895424836601302E-2</v>
      </c>
    </row>
    <row r="7" spans="1:2" x14ac:dyDescent="0.3">
      <c r="A7" s="2" t="s">
        <v>128</v>
      </c>
      <c r="B7" s="8">
        <v>7.1895424836601302E-2</v>
      </c>
    </row>
    <row r="8" spans="1:2" x14ac:dyDescent="0.3">
      <c r="A8" s="2" t="s">
        <v>103</v>
      </c>
      <c r="B8" s="8">
        <v>4.5751633986928102E-2</v>
      </c>
    </row>
    <row r="9" spans="1:2" x14ac:dyDescent="0.3">
      <c r="A9" s="2" t="s">
        <v>151</v>
      </c>
      <c r="B9" s="8">
        <v>1.3071895424836602E-2</v>
      </c>
    </row>
    <row r="10" spans="1:2" x14ac:dyDescent="0.3">
      <c r="A10" s="2" t="s">
        <v>378</v>
      </c>
      <c r="B10" s="8">
        <v>1.3071895424836602E-2</v>
      </c>
    </row>
    <row r="11" spans="1:2" x14ac:dyDescent="0.3">
      <c r="A11" s="2" t="s">
        <v>153</v>
      </c>
      <c r="B11" s="8">
        <v>1.3071895424836602E-2</v>
      </c>
    </row>
    <row r="12" spans="1:2" x14ac:dyDescent="0.3">
      <c r="A12" s="2" t="s">
        <v>154</v>
      </c>
      <c r="B12" s="8">
        <v>6.5359477124183009E-3</v>
      </c>
    </row>
    <row r="13" spans="1:2" x14ac:dyDescent="0.3">
      <c r="A13" s="2" t="s">
        <v>640</v>
      </c>
      <c r="B13" s="8">
        <v>1</v>
      </c>
    </row>
    <row r="18" spans="1:3" x14ac:dyDescent="0.3">
      <c r="A18" s="2" t="s">
        <v>152</v>
      </c>
      <c r="B18" s="6">
        <v>100</v>
      </c>
      <c r="C18" s="7">
        <f>$B18/$B$27</f>
        <v>0.65359477124183007</v>
      </c>
    </row>
    <row r="19" spans="1:3" x14ac:dyDescent="0.3">
      <c r="A19" s="2" t="s">
        <v>705</v>
      </c>
      <c r="B19" s="6">
        <v>17</v>
      </c>
      <c r="C19" s="7">
        <f t="shared" ref="C19:C26" si="0">$B19/$B$27</f>
        <v>0.1111111111111111</v>
      </c>
    </row>
    <row r="20" spans="1:3" x14ac:dyDescent="0.3">
      <c r="A20" s="2" t="s">
        <v>128</v>
      </c>
      <c r="B20" s="6">
        <v>11</v>
      </c>
      <c r="C20" s="7">
        <f t="shared" si="0"/>
        <v>7.1895424836601302E-2</v>
      </c>
    </row>
    <row r="21" spans="1:3" x14ac:dyDescent="0.3">
      <c r="A21" s="2" t="s">
        <v>704</v>
      </c>
      <c r="B21" s="6">
        <v>11</v>
      </c>
      <c r="C21" s="7">
        <f t="shared" si="0"/>
        <v>7.1895424836601302E-2</v>
      </c>
    </row>
    <row r="22" spans="1:3" x14ac:dyDescent="0.3">
      <c r="A22" s="2" t="s">
        <v>103</v>
      </c>
      <c r="B22" s="6">
        <v>7</v>
      </c>
      <c r="C22" s="7">
        <f t="shared" si="0"/>
        <v>4.5751633986928102E-2</v>
      </c>
    </row>
    <row r="23" spans="1:3" x14ac:dyDescent="0.3">
      <c r="A23" s="2" t="s">
        <v>378</v>
      </c>
      <c r="B23" s="6">
        <v>2</v>
      </c>
      <c r="C23" s="7">
        <f t="shared" si="0"/>
        <v>1.3071895424836602E-2</v>
      </c>
    </row>
    <row r="24" spans="1:3" x14ac:dyDescent="0.3">
      <c r="A24" s="2" t="s">
        <v>153</v>
      </c>
      <c r="B24" s="6">
        <v>2</v>
      </c>
      <c r="C24" s="7">
        <f t="shared" si="0"/>
        <v>1.3071895424836602E-2</v>
      </c>
    </row>
    <row r="25" spans="1:3" x14ac:dyDescent="0.3">
      <c r="A25" s="2" t="s">
        <v>151</v>
      </c>
      <c r="B25" s="6">
        <v>2</v>
      </c>
      <c r="C25" s="7">
        <f t="shared" si="0"/>
        <v>1.3071895424836602E-2</v>
      </c>
    </row>
    <row r="26" spans="1:3" x14ac:dyDescent="0.3">
      <c r="A26" s="2" t="s">
        <v>154</v>
      </c>
      <c r="B26" s="6">
        <v>1</v>
      </c>
      <c r="C26" s="7">
        <f t="shared" si="0"/>
        <v>6.5359477124183009E-3</v>
      </c>
    </row>
    <row r="27" spans="1:3" x14ac:dyDescent="0.3">
      <c r="A27" s="2"/>
      <c r="B27" s="6">
        <v>153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4D238-88DE-4AA6-AF6C-38833CF485A5}">
  <dimension ref="A1:B10"/>
  <sheetViews>
    <sheetView workbookViewId="0">
      <selection activeCell="N9" sqref="N9"/>
    </sheetView>
  </sheetViews>
  <sheetFormatPr defaultRowHeight="14.4" x14ac:dyDescent="0.3"/>
  <cols>
    <col min="1" max="1" width="16.77734375" bestFit="1" customWidth="1"/>
    <col min="2" max="2" width="16.21875" bestFit="1" customWidth="1"/>
  </cols>
  <sheetData>
    <row r="1" spans="1:2" x14ac:dyDescent="0.3">
      <c r="A1" s="5" t="s">
        <v>20</v>
      </c>
      <c r="B1" t="s">
        <v>703</v>
      </c>
    </row>
    <row r="3" spans="1:2" x14ac:dyDescent="0.3">
      <c r="A3" s="5" t="s">
        <v>639</v>
      </c>
      <c r="B3" t="s">
        <v>344</v>
      </c>
    </row>
    <row r="4" spans="1:2" x14ac:dyDescent="0.3">
      <c r="A4" s="2" t="s">
        <v>352</v>
      </c>
      <c r="B4" s="6">
        <v>156</v>
      </c>
    </row>
    <row r="5" spans="1:2" x14ac:dyDescent="0.3">
      <c r="A5" s="2" t="s">
        <v>353</v>
      </c>
      <c r="B5" s="6">
        <v>194</v>
      </c>
    </row>
    <row r="6" spans="1:2" x14ac:dyDescent="0.3">
      <c r="A6" s="2" t="s">
        <v>354</v>
      </c>
      <c r="B6" s="6">
        <v>204</v>
      </c>
    </row>
    <row r="7" spans="1:2" x14ac:dyDescent="0.3">
      <c r="A7" s="2" t="s">
        <v>785</v>
      </c>
      <c r="B7" s="6">
        <v>272</v>
      </c>
    </row>
    <row r="8" spans="1:2" x14ac:dyDescent="0.3">
      <c r="A8" s="2" t="s">
        <v>786</v>
      </c>
      <c r="B8" s="6">
        <v>178</v>
      </c>
    </row>
    <row r="9" spans="1:2" x14ac:dyDescent="0.3">
      <c r="A9" s="2" t="s">
        <v>787</v>
      </c>
      <c r="B9" s="6">
        <v>274</v>
      </c>
    </row>
    <row r="10" spans="1:2" x14ac:dyDescent="0.3">
      <c r="A10" s="2" t="s">
        <v>640</v>
      </c>
      <c r="B10" s="6">
        <v>1278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99837-DA6B-47C4-9978-C80EBF6D0381}">
  <dimension ref="A1:B54"/>
  <sheetViews>
    <sheetView workbookViewId="0">
      <selection activeCell="N5" sqref="N5"/>
    </sheetView>
  </sheetViews>
  <sheetFormatPr defaultRowHeight="14.4" x14ac:dyDescent="0.3"/>
  <cols>
    <col min="1" max="1" width="16.77734375" bestFit="1" customWidth="1"/>
    <col min="2" max="2" width="19.21875" bestFit="1" customWidth="1"/>
  </cols>
  <sheetData>
    <row r="1" spans="1:2" x14ac:dyDescent="0.3">
      <c r="A1" s="5" t="s">
        <v>20</v>
      </c>
      <c r="B1" t="s">
        <v>703</v>
      </c>
    </row>
    <row r="3" spans="1:2" x14ac:dyDescent="0.3">
      <c r="A3" s="5" t="s">
        <v>639</v>
      </c>
      <c r="B3" t="s">
        <v>789</v>
      </c>
    </row>
    <row r="4" spans="1:2" x14ac:dyDescent="0.3">
      <c r="A4" s="2" t="s">
        <v>105</v>
      </c>
      <c r="B4" s="6">
        <v>10</v>
      </c>
    </row>
    <row r="5" spans="1:2" x14ac:dyDescent="0.3">
      <c r="A5" s="2" t="s">
        <v>67</v>
      </c>
      <c r="B5" s="6">
        <v>30</v>
      </c>
    </row>
    <row r="6" spans="1:2" x14ac:dyDescent="0.3">
      <c r="A6" s="2" t="s">
        <v>60</v>
      </c>
      <c r="B6" s="6">
        <v>58</v>
      </c>
    </row>
    <row r="7" spans="1:2" x14ac:dyDescent="0.3">
      <c r="A7" s="2" t="s">
        <v>50</v>
      </c>
      <c r="B7" s="6">
        <v>22</v>
      </c>
    </row>
    <row r="8" spans="1:2" x14ac:dyDescent="0.3">
      <c r="A8" s="2" t="s">
        <v>81</v>
      </c>
      <c r="B8" s="6">
        <v>24</v>
      </c>
    </row>
    <row r="9" spans="1:2" x14ac:dyDescent="0.3">
      <c r="A9" s="2" t="s">
        <v>122</v>
      </c>
      <c r="B9" s="6">
        <v>24</v>
      </c>
    </row>
    <row r="10" spans="1:2" x14ac:dyDescent="0.3">
      <c r="A10" s="2" t="s">
        <v>83</v>
      </c>
      <c r="B10" s="6">
        <v>54</v>
      </c>
    </row>
    <row r="11" spans="1:2" x14ac:dyDescent="0.3">
      <c r="A11" s="2" t="s">
        <v>92</v>
      </c>
      <c r="B11" s="6">
        <v>10</v>
      </c>
    </row>
    <row r="12" spans="1:2" x14ac:dyDescent="0.3">
      <c r="A12" s="2" t="s">
        <v>40</v>
      </c>
      <c r="B12" s="6">
        <v>202</v>
      </c>
    </row>
    <row r="13" spans="1:2" x14ac:dyDescent="0.3">
      <c r="A13" s="2" t="s">
        <v>91</v>
      </c>
      <c r="B13" s="6">
        <v>6</v>
      </c>
    </row>
    <row r="14" spans="1:2" x14ac:dyDescent="0.3">
      <c r="A14" s="2" t="s">
        <v>125</v>
      </c>
      <c r="B14" s="6">
        <v>28</v>
      </c>
    </row>
    <row r="15" spans="1:2" x14ac:dyDescent="0.3">
      <c r="A15" s="2" t="s">
        <v>34</v>
      </c>
      <c r="B15" s="6">
        <v>40</v>
      </c>
    </row>
    <row r="16" spans="1:2" x14ac:dyDescent="0.3">
      <c r="A16" s="2" t="s">
        <v>78</v>
      </c>
      <c r="B16" s="6">
        <v>54</v>
      </c>
    </row>
    <row r="17" spans="1:2" x14ac:dyDescent="0.3">
      <c r="A17" s="2" t="s">
        <v>75</v>
      </c>
      <c r="B17" s="6">
        <v>8</v>
      </c>
    </row>
    <row r="18" spans="1:2" x14ac:dyDescent="0.3">
      <c r="A18" s="2" t="s">
        <v>95</v>
      </c>
      <c r="B18" s="6">
        <v>82</v>
      </c>
    </row>
    <row r="19" spans="1:2" x14ac:dyDescent="0.3">
      <c r="A19" s="2" t="s">
        <v>43</v>
      </c>
      <c r="B19" s="6">
        <v>230</v>
      </c>
    </row>
    <row r="20" spans="1:2" x14ac:dyDescent="0.3">
      <c r="A20" s="2" t="s">
        <v>117</v>
      </c>
      <c r="B20" s="6">
        <v>18</v>
      </c>
    </row>
    <row r="21" spans="1:2" x14ac:dyDescent="0.3">
      <c r="A21" s="2" t="s">
        <v>113</v>
      </c>
      <c r="B21" s="6">
        <v>4</v>
      </c>
    </row>
    <row r="22" spans="1:2" x14ac:dyDescent="0.3">
      <c r="A22" s="2" t="s">
        <v>70</v>
      </c>
      <c r="B22" s="6">
        <v>32</v>
      </c>
    </row>
    <row r="23" spans="1:2" x14ac:dyDescent="0.3">
      <c r="A23" s="2" t="s">
        <v>93</v>
      </c>
      <c r="B23" s="6">
        <v>20</v>
      </c>
    </row>
    <row r="24" spans="1:2" x14ac:dyDescent="0.3">
      <c r="A24" s="2" t="s">
        <v>96</v>
      </c>
      <c r="B24" s="6">
        <v>2</v>
      </c>
    </row>
    <row r="25" spans="1:2" x14ac:dyDescent="0.3">
      <c r="A25" s="2" t="s">
        <v>22</v>
      </c>
      <c r="B25" s="6">
        <v>234</v>
      </c>
    </row>
    <row r="26" spans="1:2" x14ac:dyDescent="0.3">
      <c r="A26" s="2" t="s">
        <v>79</v>
      </c>
      <c r="B26" s="6">
        <v>8</v>
      </c>
    </row>
    <row r="27" spans="1:2" x14ac:dyDescent="0.3">
      <c r="A27" s="2" t="s">
        <v>48</v>
      </c>
      <c r="B27" s="6">
        <v>78</v>
      </c>
    </row>
    <row r="28" spans="1:2" x14ac:dyDescent="0.3">
      <c r="A28" s="2" t="s">
        <v>640</v>
      </c>
      <c r="B28" s="6">
        <v>1278</v>
      </c>
    </row>
    <row r="30" spans="1:2" x14ac:dyDescent="0.3">
      <c r="A30" t="s">
        <v>639</v>
      </c>
      <c r="B30" t="s">
        <v>790</v>
      </c>
    </row>
    <row r="31" spans="1:2" x14ac:dyDescent="0.3">
      <c r="A31" s="2" t="s">
        <v>105</v>
      </c>
      <c r="B31" s="6">
        <v>10</v>
      </c>
    </row>
    <row r="32" spans="1:2" x14ac:dyDescent="0.3">
      <c r="A32" s="2" t="s">
        <v>67</v>
      </c>
      <c r="B32" s="6">
        <v>30</v>
      </c>
    </row>
    <row r="33" spans="1:2" x14ac:dyDescent="0.3">
      <c r="A33" s="2" t="s">
        <v>60</v>
      </c>
      <c r="B33" s="6">
        <v>58</v>
      </c>
    </row>
    <row r="34" spans="1:2" x14ac:dyDescent="0.3">
      <c r="A34" s="2" t="s">
        <v>50</v>
      </c>
      <c r="B34" s="6">
        <v>22</v>
      </c>
    </row>
    <row r="35" spans="1:2" x14ac:dyDescent="0.3">
      <c r="A35" s="2" t="s">
        <v>81</v>
      </c>
      <c r="B35" s="6">
        <v>24</v>
      </c>
    </row>
    <row r="36" spans="1:2" x14ac:dyDescent="0.3">
      <c r="A36" s="2" t="s">
        <v>122</v>
      </c>
      <c r="B36" s="6">
        <v>24</v>
      </c>
    </row>
    <row r="37" spans="1:2" x14ac:dyDescent="0.3">
      <c r="A37" s="2" t="s">
        <v>83</v>
      </c>
      <c r="B37" s="6">
        <v>54</v>
      </c>
    </row>
    <row r="38" spans="1:2" x14ac:dyDescent="0.3">
      <c r="A38" s="2" t="s">
        <v>92</v>
      </c>
      <c r="B38" s="6">
        <v>10</v>
      </c>
    </row>
    <row r="39" spans="1:2" x14ac:dyDescent="0.3">
      <c r="A39" s="2" t="s">
        <v>40</v>
      </c>
      <c r="B39" s="6">
        <v>202</v>
      </c>
    </row>
    <row r="40" spans="1:2" x14ac:dyDescent="0.3">
      <c r="A40" s="2" t="s">
        <v>91</v>
      </c>
      <c r="B40" s="6">
        <v>6</v>
      </c>
    </row>
    <row r="41" spans="1:2" x14ac:dyDescent="0.3">
      <c r="A41" s="2" t="s">
        <v>125</v>
      </c>
      <c r="B41" s="6">
        <v>28</v>
      </c>
    </row>
    <row r="42" spans="1:2" x14ac:dyDescent="0.3">
      <c r="A42" s="2" t="s">
        <v>34</v>
      </c>
      <c r="B42" s="6">
        <v>40</v>
      </c>
    </row>
    <row r="43" spans="1:2" x14ac:dyDescent="0.3">
      <c r="A43" s="2" t="s">
        <v>78</v>
      </c>
      <c r="B43" s="6">
        <v>54</v>
      </c>
    </row>
    <row r="44" spans="1:2" x14ac:dyDescent="0.3">
      <c r="A44" s="2" t="s">
        <v>75</v>
      </c>
      <c r="B44" s="6">
        <v>8</v>
      </c>
    </row>
    <row r="45" spans="1:2" x14ac:dyDescent="0.3">
      <c r="A45" s="2" t="s">
        <v>95</v>
      </c>
      <c r="B45" s="6">
        <v>82</v>
      </c>
    </row>
    <row r="46" spans="1:2" x14ac:dyDescent="0.3">
      <c r="A46" s="2" t="s">
        <v>43</v>
      </c>
      <c r="B46" s="6">
        <v>230</v>
      </c>
    </row>
    <row r="47" spans="1:2" x14ac:dyDescent="0.3">
      <c r="A47" s="2" t="s">
        <v>117</v>
      </c>
      <c r="B47" s="6">
        <v>18</v>
      </c>
    </row>
    <row r="48" spans="1:2" x14ac:dyDescent="0.3">
      <c r="A48" s="2" t="s">
        <v>113</v>
      </c>
      <c r="B48" s="6">
        <v>4</v>
      </c>
    </row>
    <row r="49" spans="1:2" x14ac:dyDescent="0.3">
      <c r="A49" s="2" t="s">
        <v>70</v>
      </c>
      <c r="B49" s="6">
        <v>32</v>
      </c>
    </row>
    <row r="50" spans="1:2" x14ac:dyDescent="0.3">
      <c r="A50" s="2" t="s">
        <v>93</v>
      </c>
      <c r="B50" s="6">
        <v>20</v>
      </c>
    </row>
    <row r="51" spans="1:2" x14ac:dyDescent="0.3">
      <c r="A51" s="2" t="s">
        <v>96</v>
      </c>
      <c r="B51" s="6">
        <v>2</v>
      </c>
    </row>
    <row r="52" spans="1:2" x14ac:dyDescent="0.3">
      <c r="A52" s="2" t="s">
        <v>22</v>
      </c>
      <c r="B52" s="6">
        <v>234</v>
      </c>
    </row>
    <row r="53" spans="1:2" x14ac:dyDescent="0.3">
      <c r="A53" s="2" t="s">
        <v>79</v>
      </c>
      <c r="B53" s="6">
        <v>8</v>
      </c>
    </row>
    <row r="54" spans="1:2" x14ac:dyDescent="0.3">
      <c r="A54" s="2" t="s">
        <v>48</v>
      </c>
      <c r="B54" s="6">
        <v>78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4A2A7-8123-4B66-96AC-93E24C3F9FA5}">
  <dimension ref="A1:E43"/>
  <sheetViews>
    <sheetView topLeftCell="E1" workbookViewId="0">
      <selection activeCell="B39" sqref="B39"/>
    </sheetView>
  </sheetViews>
  <sheetFormatPr defaultRowHeight="14.4" x14ac:dyDescent="0.3"/>
  <cols>
    <col min="1" max="1" width="16.77734375" bestFit="1" customWidth="1"/>
    <col min="2" max="2" width="16.21875" bestFit="1" customWidth="1"/>
    <col min="3" max="3" width="39.88671875" bestFit="1" customWidth="1"/>
    <col min="4" max="4" width="16.77734375" bestFit="1" customWidth="1"/>
    <col min="5" max="5" width="16.21875" bestFit="1" customWidth="1"/>
  </cols>
  <sheetData>
    <row r="1" spans="1:5" x14ac:dyDescent="0.3">
      <c r="A1" s="5" t="s">
        <v>20</v>
      </c>
      <c r="B1" t="s">
        <v>703</v>
      </c>
    </row>
    <row r="3" spans="1:5" x14ac:dyDescent="0.3">
      <c r="A3" s="5" t="s">
        <v>639</v>
      </c>
      <c r="B3" t="s">
        <v>344</v>
      </c>
      <c r="D3" s="5" t="s">
        <v>639</v>
      </c>
      <c r="E3" t="s">
        <v>344</v>
      </c>
    </row>
    <row r="4" spans="1:5" x14ac:dyDescent="0.3">
      <c r="A4" s="2" t="s">
        <v>142</v>
      </c>
      <c r="B4" s="6">
        <v>28</v>
      </c>
      <c r="D4" s="2" t="s">
        <v>32</v>
      </c>
      <c r="E4" s="6">
        <v>268</v>
      </c>
    </row>
    <row r="5" spans="1:5" x14ac:dyDescent="0.3">
      <c r="A5" s="2" t="s">
        <v>32</v>
      </c>
      <c r="B5" s="6">
        <v>214</v>
      </c>
      <c r="D5" s="2" t="s">
        <v>129</v>
      </c>
      <c r="E5" s="6">
        <v>2</v>
      </c>
    </row>
    <row r="6" spans="1:5" x14ac:dyDescent="0.3">
      <c r="A6" s="2" t="s">
        <v>129</v>
      </c>
      <c r="B6" s="6">
        <v>2</v>
      </c>
      <c r="D6" s="2" t="s">
        <v>48</v>
      </c>
      <c r="E6" s="6">
        <v>744</v>
      </c>
    </row>
    <row r="7" spans="1:5" x14ac:dyDescent="0.3">
      <c r="A7" s="2" t="s">
        <v>48</v>
      </c>
      <c r="B7" s="6">
        <v>588</v>
      </c>
      <c r="D7" s="2" t="s">
        <v>29</v>
      </c>
      <c r="E7" s="6">
        <v>206</v>
      </c>
    </row>
    <row r="8" spans="1:5" x14ac:dyDescent="0.3">
      <c r="A8" s="2" t="s">
        <v>29</v>
      </c>
      <c r="B8" s="6">
        <v>340</v>
      </c>
      <c r="D8" s="2" t="s">
        <v>55</v>
      </c>
      <c r="E8" s="6">
        <v>58</v>
      </c>
    </row>
    <row r="9" spans="1:5" x14ac:dyDescent="0.3">
      <c r="A9" s="2" t="s">
        <v>55</v>
      </c>
      <c r="B9" s="6">
        <v>106</v>
      </c>
      <c r="D9" s="2" t="s">
        <v>640</v>
      </c>
      <c r="E9" s="6">
        <v>1278</v>
      </c>
    </row>
    <row r="10" spans="1:5" x14ac:dyDescent="0.3">
      <c r="A10" s="2" t="s">
        <v>640</v>
      </c>
      <c r="B10" s="6">
        <v>1278</v>
      </c>
    </row>
    <row r="12" spans="1:5" x14ac:dyDescent="0.3">
      <c r="A12" s="5" t="s">
        <v>639</v>
      </c>
      <c r="B12" t="s">
        <v>344</v>
      </c>
      <c r="D12" s="5" t="s">
        <v>639</v>
      </c>
      <c r="E12" t="s">
        <v>344</v>
      </c>
    </row>
    <row r="13" spans="1:5" x14ac:dyDescent="0.3">
      <c r="A13" s="2" t="s">
        <v>148</v>
      </c>
      <c r="B13" s="6">
        <v>12</v>
      </c>
      <c r="D13" s="2" t="s">
        <v>30</v>
      </c>
      <c r="E13" s="6">
        <v>380</v>
      </c>
    </row>
    <row r="14" spans="1:5" x14ac:dyDescent="0.3">
      <c r="A14" s="2" t="s">
        <v>26</v>
      </c>
      <c r="B14" s="6">
        <v>834</v>
      </c>
      <c r="D14" s="2" t="s">
        <v>26</v>
      </c>
      <c r="E14" s="6">
        <v>526</v>
      </c>
    </row>
    <row r="15" spans="1:5" x14ac:dyDescent="0.3">
      <c r="A15" s="2" t="s">
        <v>48</v>
      </c>
      <c r="B15" s="6">
        <v>432</v>
      </c>
      <c r="D15" s="2" t="s">
        <v>48</v>
      </c>
      <c r="E15" s="6">
        <v>372</v>
      </c>
    </row>
    <row r="16" spans="1:5" x14ac:dyDescent="0.3">
      <c r="A16" s="2" t="s">
        <v>640</v>
      </c>
      <c r="B16" s="6">
        <v>1278</v>
      </c>
      <c r="D16" s="2" t="s">
        <v>640</v>
      </c>
      <c r="E16" s="6">
        <v>1278</v>
      </c>
    </row>
    <row r="18" spans="1:5" x14ac:dyDescent="0.3">
      <c r="A18" s="5" t="s">
        <v>639</v>
      </c>
      <c r="B18" t="s">
        <v>344</v>
      </c>
      <c r="D18" s="5" t="s">
        <v>639</v>
      </c>
      <c r="E18" t="s">
        <v>344</v>
      </c>
    </row>
    <row r="19" spans="1:5" x14ac:dyDescent="0.3">
      <c r="A19" s="2" t="s">
        <v>100</v>
      </c>
      <c r="B19" s="6">
        <v>88</v>
      </c>
      <c r="D19" s="2" t="s">
        <v>108</v>
      </c>
      <c r="E19" s="6">
        <v>8</v>
      </c>
    </row>
    <row r="20" spans="1:5" x14ac:dyDescent="0.3">
      <c r="A20" s="2" t="s">
        <v>58</v>
      </c>
      <c r="B20" s="6">
        <v>174</v>
      </c>
      <c r="D20" s="2" t="s">
        <v>138</v>
      </c>
      <c r="E20" s="6">
        <v>4</v>
      </c>
    </row>
    <row r="21" spans="1:5" x14ac:dyDescent="0.3">
      <c r="A21" s="2" t="s">
        <v>42</v>
      </c>
      <c r="B21" s="6">
        <v>130</v>
      </c>
      <c r="D21" s="2" t="s">
        <v>100</v>
      </c>
      <c r="E21" s="6">
        <v>16</v>
      </c>
    </row>
    <row r="22" spans="1:5" x14ac:dyDescent="0.3">
      <c r="A22" s="2" t="s">
        <v>27</v>
      </c>
      <c r="B22" s="6">
        <v>284</v>
      </c>
      <c r="D22" s="2" t="s">
        <v>58</v>
      </c>
      <c r="E22" s="6">
        <v>32</v>
      </c>
    </row>
    <row r="23" spans="1:5" x14ac:dyDescent="0.3">
      <c r="A23" s="2" t="s">
        <v>38</v>
      </c>
      <c r="B23" s="6">
        <v>206</v>
      </c>
      <c r="D23" s="2" t="s">
        <v>42</v>
      </c>
      <c r="E23" s="6">
        <v>26</v>
      </c>
    </row>
    <row r="24" spans="1:5" x14ac:dyDescent="0.3">
      <c r="A24" s="2" t="s">
        <v>52</v>
      </c>
      <c r="B24" s="6">
        <v>138</v>
      </c>
      <c r="D24" s="2" t="s">
        <v>27</v>
      </c>
      <c r="E24" s="6">
        <v>98</v>
      </c>
    </row>
    <row r="25" spans="1:5" x14ac:dyDescent="0.3">
      <c r="A25" s="2" t="s">
        <v>37</v>
      </c>
      <c r="B25" s="6">
        <v>134</v>
      </c>
      <c r="D25" s="2" t="s">
        <v>38</v>
      </c>
      <c r="E25" s="6">
        <v>38</v>
      </c>
    </row>
    <row r="26" spans="1:5" x14ac:dyDescent="0.3">
      <c r="A26" s="2" t="s">
        <v>45</v>
      </c>
      <c r="B26" s="6">
        <v>52</v>
      </c>
      <c r="D26" s="2" t="s">
        <v>52</v>
      </c>
      <c r="E26" s="6">
        <v>78</v>
      </c>
    </row>
    <row r="27" spans="1:5" x14ac:dyDescent="0.3">
      <c r="A27" s="2" t="s">
        <v>66</v>
      </c>
      <c r="B27" s="6">
        <v>42</v>
      </c>
      <c r="D27" s="2" t="s">
        <v>37</v>
      </c>
      <c r="E27" s="6">
        <v>50</v>
      </c>
    </row>
    <row r="28" spans="1:5" x14ac:dyDescent="0.3">
      <c r="A28" s="2" t="s">
        <v>48</v>
      </c>
      <c r="B28" s="6">
        <v>30</v>
      </c>
      <c r="D28" s="2" t="s">
        <v>45</v>
      </c>
      <c r="E28" s="6">
        <v>84</v>
      </c>
    </row>
    <row r="29" spans="1:5" x14ac:dyDescent="0.3">
      <c r="A29" s="2" t="s">
        <v>640</v>
      </c>
      <c r="B29" s="6">
        <v>1278</v>
      </c>
      <c r="D29" s="2" t="s">
        <v>66</v>
      </c>
      <c r="E29" s="6">
        <v>44</v>
      </c>
    </row>
    <row r="30" spans="1:5" x14ac:dyDescent="0.3">
      <c r="D30" s="2" t="s">
        <v>788</v>
      </c>
      <c r="E30" s="6">
        <v>92</v>
      </c>
    </row>
    <row r="31" spans="1:5" x14ac:dyDescent="0.3">
      <c r="D31" s="2" t="s">
        <v>48</v>
      </c>
      <c r="E31" s="6">
        <v>708</v>
      </c>
    </row>
    <row r="32" spans="1:5" x14ac:dyDescent="0.3">
      <c r="A32" s="5" t="s">
        <v>639</v>
      </c>
      <c r="B32" t="s">
        <v>344</v>
      </c>
      <c r="D32" s="2" t="s">
        <v>640</v>
      </c>
      <c r="E32" s="6">
        <v>1278</v>
      </c>
    </row>
    <row r="33" spans="1:2" x14ac:dyDescent="0.3">
      <c r="A33" s="2" t="s">
        <v>80</v>
      </c>
      <c r="B33" s="6">
        <v>8</v>
      </c>
    </row>
    <row r="34" spans="1:2" x14ac:dyDescent="0.3">
      <c r="A34" s="2" t="s">
        <v>115</v>
      </c>
      <c r="B34" s="6">
        <v>22</v>
      </c>
    </row>
    <row r="35" spans="1:2" x14ac:dyDescent="0.3">
      <c r="A35" s="2" t="s">
        <v>53</v>
      </c>
      <c r="B35" s="6">
        <v>30</v>
      </c>
    </row>
    <row r="36" spans="1:2" x14ac:dyDescent="0.3">
      <c r="A36" s="2" t="s">
        <v>76</v>
      </c>
      <c r="B36" s="6">
        <v>42</v>
      </c>
    </row>
    <row r="37" spans="1:2" x14ac:dyDescent="0.3">
      <c r="A37" s="2" t="s">
        <v>102</v>
      </c>
      <c r="B37" s="6">
        <v>18</v>
      </c>
    </row>
    <row r="38" spans="1:2" x14ac:dyDescent="0.3">
      <c r="A38" s="2" t="s">
        <v>141</v>
      </c>
      <c r="B38" s="6">
        <v>10</v>
      </c>
    </row>
    <row r="39" spans="1:2" x14ac:dyDescent="0.3">
      <c r="A39" s="2" t="s">
        <v>48</v>
      </c>
      <c r="B39" s="6">
        <v>1094</v>
      </c>
    </row>
    <row r="40" spans="1:2" x14ac:dyDescent="0.3">
      <c r="A40" s="2" t="s">
        <v>133</v>
      </c>
      <c r="B40" s="6">
        <v>26</v>
      </c>
    </row>
    <row r="41" spans="1:2" x14ac:dyDescent="0.3">
      <c r="A41" s="2" t="s">
        <v>120</v>
      </c>
      <c r="B41" s="6">
        <v>12</v>
      </c>
    </row>
    <row r="42" spans="1:2" x14ac:dyDescent="0.3">
      <c r="A42" s="2" t="s">
        <v>106</v>
      </c>
      <c r="B42" s="6">
        <v>16</v>
      </c>
    </row>
    <row r="43" spans="1:2" x14ac:dyDescent="0.3">
      <c r="A43" s="2" t="s">
        <v>640</v>
      </c>
      <c r="B43" s="6">
        <v>1278</v>
      </c>
    </row>
  </sheetData>
  <pageMargins left="0.511811024" right="0.511811024" top="0.78740157499999996" bottom="0.78740157499999996" header="0.31496062000000002" footer="0.31496062000000002"/>
  <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C7FBF-5EE4-432A-AB3E-DB5D69A3BC4C}">
  <dimension ref="A1:B5"/>
  <sheetViews>
    <sheetView workbookViewId="0">
      <selection activeCell="G10" sqref="G10"/>
    </sheetView>
  </sheetViews>
  <sheetFormatPr defaultRowHeight="14.4" x14ac:dyDescent="0.3"/>
  <cols>
    <col min="1" max="1" width="44" bestFit="1" customWidth="1"/>
    <col min="2" max="2" width="16.21875" bestFit="1" customWidth="1"/>
  </cols>
  <sheetData>
    <row r="1" spans="1:2" x14ac:dyDescent="0.3">
      <c r="A1" s="5" t="s">
        <v>639</v>
      </c>
      <c r="B1" t="s">
        <v>344</v>
      </c>
    </row>
    <row r="2" spans="1:2" x14ac:dyDescent="0.3">
      <c r="A2" s="2" t="s">
        <v>82</v>
      </c>
      <c r="B2" s="6">
        <v>682</v>
      </c>
    </row>
    <row r="3" spans="1:2" x14ac:dyDescent="0.3">
      <c r="A3" s="2" t="s">
        <v>146</v>
      </c>
      <c r="B3" s="6">
        <v>388</v>
      </c>
    </row>
    <row r="4" spans="1:2" x14ac:dyDescent="0.3">
      <c r="A4" s="2" t="s">
        <v>137</v>
      </c>
      <c r="B4" s="6">
        <v>208</v>
      </c>
    </row>
    <row r="5" spans="1:2" x14ac:dyDescent="0.3">
      <c r="A5" s="2" t="s">
        <v>640</v>
      </c>
      <c r="B5" s="6">
        <v>1278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7AC699-7214-4F5A-974D-F30816F5B8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disque100-primeiro-semestre-202</vt:lpstr>
      <vt:lpstr>BOXSPLOT</vt:lpstr>
      <vt:lpstr>Exploração de dados</vt:lpstr>
      <vt:lpstr>Vitimas x orientação religiosa</vt:lpstr>
      <vt:lpstr>Evolução das denuncias</vt:lpstr>
      <vt:lpstr>Densidade de denuncias por UF</vt:lpstr>
      <vt:lpstr>Vitimas e Suspeitos</vt:lpstr>
      <vt:lpstr>Tipos de violação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Oliveira</dc:creator>
  <cp:lastModifiedBy>Gabriele Oliveira</cp:lastModifiedBy>
  <dcterms:created xsi:type="dcterms:W3CDTF">2025-11-15T18:26:26Z</dcterms:created>
  <dcterms:modified xsi:type="dcterms:W3CDTF">2025-11-17T03:58:46Z</dcterms:modified>
</cp:coreProperties>
</file>